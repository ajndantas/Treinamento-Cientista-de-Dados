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rçamento 2024\"/>
    </mc:Choice>
  </mc:AlternateContent>
  <xr:revisionPtr revIDLastSave="0" documentId="13_ncr:1_{E850ABB2-4786-460C-8D84-01543A85F939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Plano de Contas" sheetId="2" r:id="rId1"/>
    <sheet name="Plano de Contas sem ponto" sheetId="4" r:id="rId2"/>
    <sheet name="Centro de lucro" sheetId="3" r:id="rId3"/>
    <sheet name="Fluxo de caixa" sheetId="5" r:id="rId4"/>
  </sheets>
  <externalReferences>
    <externalReference r:id="rId5"/>
  </externalReferences>
  <definedNames>
    <definedName name="_xlnm._FilterDatabase" localSheetId="2" hidden="1">'Centro de lucro'!$A$1:$J$140</definedName>
    <definedName name="_xlnm._FilterDatabase" localSheetId="3" hidden="1">'Fluxo de caixa'!$A$3:$D$148</definedName>
    <definedName name="_xlnm._FilterDatabase" localSheetId="0" hidden="1">'Plano de Contas'!$A$1:$M$847</definedName>
    <definedName name="_xlnm._FilterDatabase" localSheetId="1" hidden="1">'Plano de Contas sem ponto'!$A$1:$S$847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720" i="4" l="1"/>
  <c r="S719" i="4"/>
  <c r="S718" i="4"/>
  <c r="S719" i="2"/>
  <c r="H719" i="2"/>
  <c r="E719" i="2"/>
  <c r="S718" i="2"/>
  <c r="H718" i="2"/>
  <c r="I718" i="2" s="1"/>
  <c r="J718" i="2" s="1"/>
  <c r="E718" i="2"/>
  <c r="I719" i="2" l="1"/>
  <c r="J719" i="2" s="1"/>
  <c r="H727" i="4" l="1"/>
  <c r="E727" i="4"/>
  <c r="H726" i="4"/>
  <c r="I726" i="4" s="1"/>
  <c r="E726" i="4"/>
  <c r="H725" i="4"/>
  <c r="E725" i="4"/>
  <c r="H724" i="4"/>
  <c r="J724" i="4" s="1"/>
  <c r="E724" i="4"/>
  <c r="H723" i="4"/>
  <c r="E723" i="4"/>
  <c r="H722" i="4"/>
  <c r="I722" i="4" s="1"/>
  <c r="E722" i="4"/>
  <c r="H721" i="4"/>
  <c r="E721" i="4"/>
  <c r="H717" i="4"/>
  <c r="J717" i="4" s="1"/>
  <c r="E717" i="4"/>
  <c r="J725" i="4" l="1"/>
  <c r="J726" i="4"/>
  <c r="I724" i="4"/>
  <c r="I721" i="4"/>
  <c r="J721" i="4" s="1"/>
  <c r="J722" i="4" s="1"/>
  <c r="I725" i="4"/>
  <c r="I723" i="4"/>
  <c r="I727" i="4"/>
  <c r="J727" i="4" s="1"/>
  <c r="I717" i="4"/>
  <c r="J723" i="4" l="1"/>
  <c r="S287" i="4" l="1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H287" i="4"/>
  <c r="I287" i="4" s="1"/>
  <c r="J287" i="4" s="1"/>
  <c r="E287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2"/>
  <c r="H287" i="2"/>
  <c r="I287" i="2" s="1"/>
  <c r="E287" i="2"/>
  <c r="S493" i="2"/>
  <c r="H493" i="2"/>
  <c r="I493" i="2" s="1"/>
  <c r="E493" i="2"/>
  <c r="H381" i="2"/>
  <c r="I381" i="2" s="1"/>
  <c r="E381" i="2"/>
  <c r="H138" i="4"/>
  <c r="E138" i="4"/>
  <c r="H137" i="4"/>
  <c r="E137" i="4"/>
  <c r="H138" i="2"/>
  <c r="I138" i="2" s="1"/>
  <c r="E138" i="2"/>
  <c r="H137" i="2"/>
  <c r="I137" i="2" s="1"/>
  <c r="E13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S2" i="4"/>
  <c r="H604" i="4"/>
  <c r="E604" i="4"/>
  <c r="H104" i="2"/>
  <c r="E104" i="2"/>
  <c r="H103" i="2"/>
  <c r="I103" i="2" s="1"/>
  <c r="E103" i="2"/>
  <c r="H136" i="4"/>
  <c r="E136" i="4"/>
  <c r="H135" i="4"/>
  <c r="E135" i="4"/>
  <c r="H134" i="4"/>
  <c r="J134" i="4" s="1"/>
  <c r="E134" i="4"/>
  <c r="H136" i="2"/>
  <c r="E136" i="2"/>
  <c r="H135" i="2"/>
  <c r="E135" i="2"/>
  <c r="H134" i="2"/>
  <c r="I134" i="2" s="1"/>
  <c r="E134" i="2"/>
  <c r="H400" i="2"/>
  <c r="E400" i="2"/>
  <c r="H380" i="2"/>
  <c r="E380" i="2"/>
  <c r="H102" i="2"/>
  <c r="I102" i="2" s="1"/>
  <c r="E102" i="2"/>
  <c r="H63" i="2"/>
  <c r="I63" i="2" s="1"/>
  <c r="E63" i="2"/>
  <c r="H62" i="2"/>
  <c r="I62" i="2" s="1"/>
  <c r="E62" i="2"/>
  <c r="H63" i="4"/>
  <c r="E63" i="4"/>
  <c r="H62" i="4"/>
  <c r="E62" i="4"/>
  <c r="H625" i="2"/>
  <c r="E625" i="2"/>
  <c r="H624" i="2"/>
  <c r="I624" i="2" s="1"/>
  <c r="E624" i="2"/>
  <c r="H604" i="2"/>
  <c r="E604" i="2"/>
  <c r="I604" i="4" l="1"/>
  <c r="J604" i="4" s="1"/>
  <c r="I104" i="2"/>
  <c r="J135" i="4"/>
  <c r="J136" i="4" s="1"/>
  <c r="J137" i="4" s="1"/>
  <c r="J138" i="4" s="1"/>
  <c r="J134" i="2"/>
  <c r="I135" i="2"/>
  <c r="I136" i="2"/>
  <c r="I400" i="2"/>
  <c r="I380" i="2"/>
  <c r="J62" i="4"/>
  <c r="J63" i="4"/>
  <c r="I625" i="2"/>
  <c r="J624" i="2"/>
  <c r="I604" i="2"/>
  <c r="H18" i="2"/>
  <c r="J135" i="2" l="1"/>
  <c r="J136" i="2" s="1"/>
  <c r="J137" i="2" s="1"/>
  <c r="J138" i="2" s="1"/>
  <c r="J625" i="2"/>
  <c r="J736" i="4"/>
  <c r="S847" i="2" l="1"/>
  <c r="H533" i="2"/>
  <c r="E533" i="2"/>
  <c r="E530" i="2"/>
  <c r="H530" i="2"/>
  <c r="I530" i="2" s="1"/>
  <c r="E531" i="2"/>
  <c r="H531" i="2"/>
  <c r="I531" i="2" s="1"/>
  <c r="I533" i="2" l="1"/>
  <c r="J530" i="2"/>
  <c r="J531" i="2" s="1"/>
  <c r="H532" i="2" l="1"/>
  <c r="I532" i="2" s="1"/>
  <c r="E532" i="2"/>
  <c r="H727" i="2" l="1"/>
  <c r="E727" i="2"/>
  <c r="H726" i="2"/>
  <c r="E726" i="2"/>
  <c r="H725" i="2"/>
  <c r="E725" i="2"/>
  <c r="H724" i="2"/>
  <c r="E724" i="2"/>
  <c r="H723" i="2"/>
  <c r="E723" i="2"/>
  <c r="H722" i="2"/>
  <c r="E722" i="2"/>
  <c r="H721" i="2"/>
  <c r="E721" i="2"/>
  <c r="H717" i="2"/>
  <c r="J717" i="2" s="1"/>
  <c r="E717" i="2"/>
  <c r="I717" i="2" l="1"/>
  <c r="I722" i="2"/>
  <c r="I724" i="2"/>
  <c r="J724" i="2" s="1"/>
  <c r="I726" i="2"/>
  <c r="I721" i="2"/>
  <c r="J721" i="2" s="1"/>
  <c r="I723" i="2"/>
  <c r="I725" i="2"/>
  <c r="I727" i="2"/>
  <c r="J722" i="2" l="1"/>
  <c r="J723" i="2" s="1"/>
  <c r="J725" i="2"/>
  <c r="J726" i="2" s="1"/>
  <c r="J727" i="2" s="1"/>
  <c r="E582" i="2" l="1"/>
  <c r="H847" i="2" l="1"/>
  <c r="I847" i="2" s="1"/>
  <c r="E847" i="2"/>
  <c r="H846" i="2"/>
  <c r="E846" i="2"/>
  <c r="H845" i="2"/>
  <c r="I845" i="2" s="1"/>
  <c r="J845" i="2" s="1"/>
  <c r="E845" i="2"/>
  <c r="H844" i="2"/>
  <c r="J844" i="2" s="1"/>
  <c r="E844" i="2"/>
  <c r="H843" i="2"/>
  <c r="I843" i="2" s="1"/>
  <c r="E843" i="2"/>
  <c r="H842" i="2"/>
  <c r="J842" i="2" s="1"/>
  <c r="E842" i="2"/>
  <c r="H841" i="2"/>
  <c r="J841" i="2" s="1"/>
  <c r="E841" i="2"/>
  <c r="H840" i="2"/>
  <c r="E840" i="2"/>
  <c r="H839" i="2"/>
  <c r="I839" i="2" s="1"/>
  <c r="E839" i="2"/>
  <c r="H838" i="2"/>
  <c r="E838" i="2"/>
  <c r="H837" i="2"/>
  <c r="I837" i="2" s="1"/>
  <c r="J837" i="2" s="1"/>
  <c r="E837" i="2"/>
  <c r="H836" i="2"/>
  <c r="J836" i="2" s="1"/>
  <c r="E836" i="2"/>
  <c r="H835" i="2"/>
  <c r="J835" i="2" s="1"/>
  <c r="E835" i="2"/>
  <c r="H834" i="2"/>
  <c r="E834" i="2"/>
  <c r="H833" i="2"/>
  <c r="I833" i="2" s="1"/>
  <c r="E833" i="2"/>
  <c r="H832" i="2"/>
  <c r="E832" i="2"/>
  <c r="H831" i="2"/>
  <c r="J831" i="2" s="1"/>
  <c r="E831" i="2"/>
  <c r="H830" i="2"/>
  <c r="E830" i="2"/>
  <c r="H829" i="2"/>
  <c r="I829" i="2" s="1"/>
  <c r="E829" i="2"/>
  <c r="H828" i="2"/>
  <c r="E828" i="2"/>
  <c r="H827" i="2"/>
  <c r="I827" i="2" s="1"/>
  <c r="E827" i="2"/>
  <c r="H826" i="2"/>
  <c r="E826" i="2"/>
  <c r="H825" i="2"/>
  <c r="I825" i="2" s="1"/>
  <c r="J825" i="2" s="1"/>
  <c r="E825" i="2"/>
  <c r="H824" i="2"/>
  <c r="E824" i="2"/>
  <c r="H823" i="2"/>
  <c r="J823" i="2" s="1"/>
  <c r="E823" i="2"/>
  <c r="H822" i="2"/>
  <c r="E822" i="2"/>
  <c r="H821" i="2"/>
  <c r="I821" i="2" s="1"/>
  <c r="E821" i="2"/>
  <c r="H820" i="2"/>
  <c r="E820" i="2"/>
  <c r="H819" i="2"/>
  <c r="J819" i="2" s="1"/>
  <c r="E819" i="2"/>
  <c r="H818" i="2"/>
  <c r="E818" i="2"/>
  <c r="H817" i="2"/>
  <c r="I817" i="2" s="1"/>
  <c r="E817" i="2"/>
  <c r="H816" i="2"/>
  <c r="E816" i="2"/>
  <c r="H815" i="2"/>
  <c r="I815" i="2" s="1"/>
  <c r="E815" i="2"/>
  <c r="H814" i="2"/>
  <c r="E814" i="2"/>
  <c r="H813" i="2"/>
  <c r="I813" i="2" s="1"/>
  <c r="E813" i="2"/>
  <c r="H812" i="2"/>
  <c r="E812" i="2"/>
  <c r="H811" i="2"/>
  <c r="I811" i="2" s="1"/>
  <c r="E811" i="2"/>
  <c r="H810" i="2"/>
  <c r="E810" i="2"/>
  <c r="H809" i="2"/>
  <c r="I809" i="2" s="1"/>
  <c r="E809" i="2"/>
  <c r="H808" i="2"/>
  <c r="E808" i="2"/>
  <c r="H807" i="2"/>
  <c r="I807" i="2" s="1"/>
  <c r="E807" i="2"/>
  <c r="H806" i="2"/>
  <c r="E806" i="2"/>
  <c r="H805" i="2"/>
  <c r="I805" i="2" s="1"/>
  <c r="E805" i="2"/>
  <c r="H804" i="2"/>
  <c r="E804" i="2"/>
  <c r="H803" i="2"/>
  <c r="I803" i="2" s="1"/>
  <c r="E803" i="2"/>
  <c r="H802" i="2"/>
  <c r="E802" i="2"/>
  <c r="H801" i="2"/>
  <c r="I801" i="2" s="1"/>
  <c r="J801" i="2" s="1"/>
  <c r="E801" i="2"/>
  <c r="H800" i="2"/>
  <c r="E800" i="2"/>
  <c r="H799" i="2"/>
  <c r="I799" i="2" s="1"/>
  <c r="E799" i="2"/>
  <c r="H798" i="2"/>
  <c r="E798" i="2"/>
  <c r="H797" i="2"/>
  <c r="I797" i="2" s="1"/>
  <c r="E797" i="2"/>
  <c r="H796" i="2"/>
  <c r="E796" i="2"/>
  <c r="H795" i="2"/>
  <c r="I795" i="2" s="1"/>
  <c r="E795" i="2"/>
  <c r="H794" i="2"/>
  <c r="E794" i="2"/>
  <c r="H793" i="2"/>
  <c r="I793" i="2" s="1"/>
  <c r="E793" i="2"/>
  <c r="H792" i="2"/>
  <c r="E792" i="2"/>
  <c r="H791" i="2"/>
  <c r="I791" i="2" s="1"/>
  <c r="J791" i="2" s="1"/>
  <c r="E791" i="2"/>
  <c r="H790" i="2"/>
  <c r="E790" i="2"/>
  <c r="H789" i="2"/>
  <c r="I789" i="2" s="1"/>
  <c r="E789" i="2"/>
  <c r="H788" i="2"/>
  <c r="E788" i="2"/>
  <c r="H787" i="2"/>
  <c r="J787" i="2" s="1"/>
  <c r="E787" i="2"/>
  <c r="H786" i="2"/>
  <c r="E786" i="2"/>
  <c r="H785" i="2"/>
  <c r="I785" i="2" s="1"/>
  <c r="E785" i="2"/>
  <c r="H784" i="2"/>
  <c r="E784" i="2"/>
  <c r="H783" i="2"/>
  <c r="I783" i="2" s="1"/>
  <c r="E783" i="2"/>
  <c r="H782" i="2"/>
  <c r="E782" i="2"/>
  <c r="H781" i="2"/>
  <c r="J781" i="2" s="1"/>
  <c r="E781" i="2"/>
  <c r="H780" i="2"/>
  <c r="E780" i="2"/>
  <c r="H779" i="2"/>
  <c r="I779" i="2" s="1"/>
  <c r="E779" i="2"/>
  <c r="H778" i="2"/>
  <c r="E778" i="2"/>
  <c r="H777" i="2"/>
  <c r="J777" i="2" s="1"/>
  <c r="E777" i="2"/>
  <c r="H776" i="2"/>
  <c r="E776" i="2"/>
  <c r="H775" i="2"/>
  <c r="I775" i="2" s="1"/>
  <c r="E775" i="2"/>
  <c r="H774" i="2"/>
  <c r="E774" i="2"/>
  <c r="H773" i="2"/>
  <c r="I773" i="2" s="1"/>
  <c r="J773" i="2" s="1"/>
  <c r="E773" i="2"/>
  <c r="H772" i="2"/>
  <c r="E772" i="2"/>
  <c r="H771" i="2"/>
  <c r="I771" i="2" s="1"/>
  <c r="E771" i="2"/>
  <c r="H770" i="2"/>
  <c r="E770" i="2"/>
  <c r="H769" i="2"/>
  <c r="I769" i="2" s="1"/>
  <c r="E769" i="2"/>
  <c r="H768" i="2"/>
  <c r="E768" i="2"/>
  <c r="H767" i="2"/>
  <c r="I767" i="2" s="1"/>
  <c r="E767" i="2"/>
  <c r="H766" i="2"/>
  <c r="E766" i="2"/>
  <c r="H765" i="2"/>
  <c r="I765" i="2" s="1"/>
  <c r="E765" i="2"/>
  <c r="H764" i="2"/>
  <c r="E764" i="2"/>
  <c r="H763" i="2"/>
  <c r="I763" i="2" s="1"/>
  <c r="E763" i="2"/>
  <c r="H762" i="2"/>
  <c r="E762" i="2"/>
  <c r="H761" i="2"/>
  <c r="J761" i="2" s="1"/>
  <c r="E761" i="2"/>
  <c r="H760" i="2"/>
  <c r="E760" i="2"/>
  <c r="H759" i="2"/>
  <c r="I759" i="2" s="1"/>
  <c r="E759" i="2"/>
  <c r="H758" i="2"/>
  <c r="E758" i="2"/>
  <c r="H757" i="2"/>
  <c r="I757" i="2" s="1"/>
  <c r="E757" i="2"/>
  <c r="H756" i="2"/>
  <c r="E756" i="2"/>
  <c r="H755" i="2"/>
  <c r="I755" i="2" s="1"/>
  <c r="E755" i="2"/>
  <c r="H754" i="2"/>
  <c r="E754" i="2"/>
  <c r="H753" i="2"/>
  <c r="I753" i="2" s="1"/>
  <c r="E753" i="2"/>
  <c r="H752" i="2"/>
  <c r="E752" i="2"/>
  <c r="H751" i="2"/>
  <c r="I751" i="2" s="1"/>
  <c r="E751" i="2"/>
  <c r="H750" i="2"/>
  <c r="E750" i="2"/>
  <c r="H749" i="2"/>
  <c r="I749" i="2" s="1"/>
  <c r="E749" i="2"/>
  <c r="H748" i="2"/>
  <c r="E748" i="2"/>
  <c r="H747" i="2"/>
  <c r="J747" i="2" s="1"/>
  <c r="E747" i="2"/>
  <c r="H746" i="2"/>
  <c r="E746" i="2"/>
  <c r="H745" i="2"/>
  <c r="I745" i="2" s="1"/>
  <c r="J745" i="2" s="1"/>
  <c r="E745" i="2"/>
  <c r="H744" i="2"/>
  <c r="E744" i="2"/>
  <c r="H743" i="2"/>
  <c r="I743" i="2" s="1"/>
  <c r="E743" i="2"/>
  <c r="H742" i="2"/>
  <c r="E742" i="2"/>
  <c r="H741" i="2"/>
  <c r="I741" i="2" s="1"/>
  <c r="E741" i="2"/>
  <c r="H740" i="2"/>
  <c r="E740" i="2"/>
  <c r="H739" i="2"/>
  <c r="I739" i="2" s="1"/>
  <c r="E739" i="2"/>
  <c r="H738" i="2"/>
  <c r="E738" i="2"/>
  <c r="H737" i="2"/>
  <c r="J737" i="2" s="1"/>
  <c r="E737" i="2"/>
  <c r="H736" i="2"/>
  <c r="E736" i="2"/>
  <c r="H735" i="2"/>
  <c r="I735" i="2" s="1"/>
  <c r="E735" i="2"/>
  <c r="H734" i="2"/>
  <c r="I734" i="2" s="1"/>
  <c r="E734" i="2"/>
  <c r="H733" i="2"/>
  <c r="I733" i="2" s="1"/>
  <c r="E733" i="2"/>
  <c r="H732" i="2"/>
  <c r="I732" i="2" s="1"/>
  <c r="E732" i="2"/>
  <c r="H731" i="2"/>
  <c r="J731" i="2" s="1"/>
  <c r="E731" i="2"/>
  <c r="H730" i="2"/>
  <c r="I730" i="2" s="1"/>
  <c r="E730" i="2"/>
  <c r="H729" i="2"/>
  <c r="I729" i="2" s="1"/>
  <c r="J729" i="2" s="1"/>
  <c r="E729" i="2"/>
  <c r="H728" i="2"/>
  <c r="I728" i="2" s="1"/>
  <c r="E728" i="2"/>
  <c r="H716" i="2"/>
  <c r="I716" i="2" s="1"/>
  <c r="E716" i="2"/>
  <c r="H715" i="2"/>
  <c r="I715" i="2" s="1"/>
  <c r="E715" i="2"/>
  <c r="H714" i="2"/>
  <c r="I714" i="2" s="1"/>
  <c r="E714" i="2"/>
  <c r="H713" i="2"/>
  <c r="I713" i="2" s="1"/>
  <c r="E713" i="2"/>
  <c r="H712" i="2"/>
  <c r="E712" i="2"/>
  <c r="H711" i="2"/>
  <c r="I711" i="2" s="1"/>
  <c r="E711" i="2"/>
  <c r="H710" i="2"/>
  <c r="I710" i="2" s="1"/>
  <c r="E710" i="2"/>
  <c r="H709" i="2"/>
  <c r="I709" i="2" s="1"/>
  <c r="E709" i="2"/>
  <c r="H708" i="2"/>
  <c r="I708" i="2" s="1"/>
  <c r="E708" i="2"/>
  <c r="H707" i="2"/>
  <c r="I707" i="2" s="1"/>
  <c r="E707" i="2"/>
  <c r="H706" i="2"/>
  <c r="E706" i="2"/>
  <c r="H705" i="2"/>
  <c r="I705" i="2" s="1"/>
  <c r="E705" i="2"/>
  <c r="H704" i="2"/>
  <c r="I704" i="2" s="1"/>
  <c r="E704" i="2"/>
  <c r="H703" i="2"/>
  <c r="I703" i="2" s="1"/>
  <c r="E703" i="2"/>
  <c r="H702" i="2"/>
  <c r="I702" i="2" s="1"/>
  <c r="E702" i="2"/>
  <c r="H701" i="2"/>
  <c r="I701" i="2" s="1"/>
  <c r="E701" i="2"/>
  <c r="H700" i="2"/>
  <c r="J700" i="2" s="1"/>
  <c r="E700" i="2"/>
  <c r="H699" i="2"/>
  <c r="E699" i="2"/>
  <c r="H698" i="2"/>
  <c r="I698" i="2" s="1"/>
  <c r="E698" i="2"/>
  <c r="H697" i="2"/>
  <c r="I697" i="2" s="1"/>
  <c r="E697" i="2"/>
  <c r="H696" i="2"/>
  <c r="J696" i="2" s="1"/>
  <c r="E696" i="2"/>
  <c r="H695" i="2"/>
  <c r="I695" i="2" s="1"/>
  <c r="E695" i="2"/>
  <c r="H694" i="2"/>
  <c r="I694" i="2" s="1"/>
  <c r="E694" i="2"/>
  <c r="H693" i="2"/>
  <c r="I693" i="2" s="1"/>
  <c r="E693" i="2"/>
  <c r="H692" i="2"/>
  <c r="I692" i="2" s="1"/>
  <c r="E692" i="2"/>
  <c r="H691" i="2"/>
  <c r="I691" i="2" s="1"/>
  <c r="E691" i="2"/>
  <c r="H690" i="2"/>
  <c r="E690" i="2"/>
  <c r="H689" i="2"/>
  <c r="I689" i="2" s="1"/>
  <c r="E689" i="2"/>
  <c r="H688" i="2"/>
  <c r="I688" i="2" s="1"/>
  <c r="E688" i="2"/>
  <c r="H687" i="2"/>
  <c r="I687" i="2" s="1"/>
  <c r="E687" i="2"/>
  <c r="H686" i="2"/>
  <c r="I686" i="2" s="1"/>
  <c r="J686" i="2" s="1"/>
  <c r="E686" i="2"/>
  <c r="H685" i="2"/>
  <c r="I685" i="2" s="1"/>
  <c r="E685" i="2"/>
  <c r="H684" i="2"/>
  <c r="I684" i="2" s="1"/>
  <c r="E684" i="2"/>
  <c r="H683" i="2"/>
  <c r="E683" i="2"/>
  <c r="H682" i="2"/>
  <c r="I682" i="2" s="1"/>
  <c r="E682" i="2"/>
  <c r="H681" i="2"/>
  <c r="I681" i="2" s="1"/>
  <c r="E681" i="2"/>
  <c r="H680" i="2"/>
  <c r="E680" i="2"/>
  <c r="H679" i="2"/>
  <c r="I679" i="2" s="1"/>
  <c r="E679" i="2"/>
  <c r="H678" i="2"/>
  <c r="I678" i="2" s="1"/>
  <c r="E678" i="2"/>
  <c r="H677" i="2"/>
  <c r="E677" i="2"/>
  <c r="H676" i="2"/>
  <c r="I676" i="2" s="1"/>
  <c r="E676" i="2"/>
  <c r="H675" i="2"/>
  <c r="I675" i="2" s="1"/>
  <c r="E675" i="2"/>
  <c r="H674" i="2"/>
  <c r="E674" i="2"/>
  <c r="H673" i="2"/>
  <c r="E673" i="2"/>
  <c r="H672" i="2"/>
  <c r="I672" i="2" s="1"/>
  <c r="E672" i="2"/>
  <c r="H671" i="2"/>
  <c r="I671" i="2" s="1"/>
  <c r="E671" i="2"/>
  <c r="H670" i="2"/>
  <c r="I670" i="2" s="1"/>
  <c r="E670" i="2"/>
  <c r="H669" i="2"/>
  <c r="I669" i="2" s="1"/>
  <c r="E669" i="2"/>
  <c r="H668" i="2"/>
  <c r="I668" i="2" s="1"/>
  <c r="E668" i="2"/>
  <c r="H667" i="2"/>
  <c r="E667" i="2"/>
  <c r="H666" i="2"/>
  <c r="I666" i="2" s="1"/>
  <c r="E666" i="2"/>
  <c r="H665" i="2"/>
  <c r="E665" i="2"/>
  <c r="H664" i="2"/>
  <c r="J664" i="2" s="1"/>
  <c r="E664" i="2"/>
  <c r="H663" i="2"/>
  <c r="E663" i="2"/>
  <c r="H662" i="2"/>
  <c r="I662" i="2" s="1"/>
  <c r="E662" i="2"/>
  <c r="H661" i="2"/>
  <c r="E661" i="2"/>
  <c r="H660" i="2"/>
  <c r="I660" i="2" s="1"/>
  <c r="E660" i="2"/>
  <c r="H659" i="2"/>
  <c r="E659" i="2"/>
  <c r="H658" i="2"/>
  <c r="I658" i="2" s="1"/>
  <c r="E658" i="2"/>
  <c r="H657" i="2"/>
  <c r="I657" i="2" s="1"/>
  <c r="E657" i="2"/>
  <c r="H656" i="2"/>
  <c r="I656" i="2" s="1"/>
  <c r="E656" i="2"/>
  <c r="H655" i="2"/>
  <c r="I655" i="2" s="1"/>
  <c r="E655" i="2"/>
  <c r="H654" i="2"/>
  <c r="J654" i="2" s="1"/>
  <c r="E654" i="2"/>
  <c r="H653" i="2"/>
  <c r="E653" i="2"/>
  <c r="H652" i="2"/>
  <c r="I652" i="2" s="1"/>
  <c r="E652" i="2"/>
  <c r="H651" i="2"/>
  <c r="E651" i="2"/>
  <c r="H650" i="2"/>
  <c r="I650" i="2" s="1"/>
  <c r="E650" i="2"/>
  <c r="H649" i="2"/>
  <c r="I649" i="2" s="1"/>
  <c r="E649" i="2"/>
  <c r="H648" i="2"/>
  <c r="I648" i="2" s="1"/>
  <c r="E648" i="2"/>
  <c r="H647" i="2"/>
  <c r="I647" i="2" s="1"/>
  <c r="E647" i="2"/>
  <c r="H646" i="2"/>
  <c r="I646" i="2" s="1"/>
  <c r="E646" i="2"/>
  <c r="H645" i="2"/>
  <c r="E645" i="2"/>
  <c r="H644" i="2"/>
  <c r="I644" i="2" s="1"/>
  <c r="E644" i="2"/>
  <c r="H643" i="2"/>
  <c r="E643" i="2"/>
  <c r="H642" i="2"/>
  <c r="J642" i="2" s="1"/>
  <c r="E642" i="2"/>
  <c r="H641" i="2"/>
  <c r="I641" i="2" s="1"/>
  <c r="E641" i="2"/>
  <c r="H640" i="2"/>
  <c r="I640" i="2" s="1"/>
  <c r="E640" i="2"/>
  <c r="H639" i="2"/>
  <c r="E639" i="2"/>
  <c r="H638" i="2"/>
  <c r="I638" i="2" s="1"/>
  <c r="E638" i="2"/>
  <c r="H637" i="2"/>
  <c r="E637" i="2"/>
  <c r="H636" i="2"/>
  <c r="I636" i="2" s="1"/>
  <c r="E636" i="2"/>
  <c r="H635" i="2"/>
  <c r="E635" i="2"/>
  <c r="H634" i="2"/>
  <c r="I634" i="2" s="1"/>
  <c r="E634" i="2"/>
  <c r="H633" i="2"/>
  <c r="I633" i="2" s="1"/>
  <c r="E633" i="2"/>
  <c r="H632" i="2"/>
  <c r="I632" i="2" s="1"/>
  <c r="E632" i="2"/>
  <c r="H631" i="2"/>
  <c r="E631" i="2"/>
  <c r="H630" i="2"/>
  <c r="I630" i="2" s="1"/>
  <c r="E630" i="2"/>
  <c r="H629" i="2"/>
  <c r="E629" i="2"/>
  <c r="H628" i="2"/>
  <c r="I628" i="2" s="1"/>
  <c r="E628" i="2"/>
  <c r="H627" i="2"/>
  <c r="E627" i="2"/>
  <c r="H626" i="2"/>
  <c r="J626" i="2" s="1"/>
  <c r="E626" i="2"/>
  <c r="H623" i="2"/>
  <c r="I623" i="2" s="1"/>
  <c r="E623" i="2"/>
  <c r="H622" i="2"/>
  <c r="I622" i="2" s="1"/>
  <c r="E622" i="2"/>
  <c r="H621" i="2"/>
  <c r="E621" i="2"/>
  <c r="H620" i="2"/>
  <c r="I620" i="2" s="1"/>
  <c r="E620" i="2"/>
  <c r="H619" i="2"/>
  <c r="E619" i="2"/>
  <c r="H618" i="2"/>
  <c r="I618" i="2" s="1"/>
  <c r="E618" i="2"/>
  <c r="H617" i="2"/>
  <c r="E617" i="2"/>
  <c r="H616" i="2"/>
  <c r="I616" i="2" s="1"/>
  <c r="E616" i="2"/>
  <c r="H615" i="2"/>
  <c r="I615" i="2" s="1"/>
  <c r="E615" i="2"/>
  <c r="H614" i="2"/>
  <c r="I614" i="2" s="1"/>
  <c r="E614" i="2"/>
  <c r="H613" i="2"/>
  <c r="E613" i="2"/>
  <c r="H612" i="2"/>
  <c r="I612" i="2" s="1"/>
  <c r="E612" i="2"/>
  <c r="H611" i="2"/>
  <c r="E611" i="2"/>
  <c r="H610" i="2"/>
  <c r="I610" i="2" s="1"/>
  <c r="E610" i="2"/>
  <c r="H609" i="2"/>
  <c r="E609" i="2"/>
  <c r="H608" i="2"/>
  <c r="I608" i="2" s="1"/>
  <c r="E608" i="2"/>
  <c r="H607" i="2"/>
  <c r="I607" i="2" s="1"/>
  <c r="E607" i="2"/>
  <c r="H606" i="2"/>
  <c r="I606" i="2" s="1"/>
  <c r="E606" i="2"/>
  <c r="H605" i="2"/>
  <c r="E605" i="2"/>
  <c r="H603" i="2"/>
  <c r="I603" i="2" s="1"/>
  <c r="E603" i="2"/>
  <c r="H602" i="2"/>
  <c r="E602" i="2"/>
  <c r="H601" i="2"/>
  <c r="I601" i="2" s="1"/>
  <c r="E601" i="2"/>
  <c r="H600" i="2"/>
  <c r="E600" i="2"/>
  <c r="H599" i="2"/>
  <c r="I599" i="2" s="1"/>
  <c r="E599" i="2"/>
  <c r="H598" i="2"/>
  <c r="I598" i="2" s="1"/>
  <c r="E598" i="2"/>
  <c r="H597" i="2"/>
  <c r="J597" i="2" s="1"/>
  <c r="E597" i="2"/>
  <c r="H596" i="2"/>
  <c r="E596" i="2"/>
  <c r="H595" i="2"/>
  <c r="I595" i="2" s="1"/>
  <c r="E595" i="2"/>
  <c r="H594" i="2"/>
  <c r="E594" i="2"/>
  <c r="H593" i="2"/>
  <c r="I593" i="2" s="1"/>
  <c r="E593" i="2"/>
  <c r="H592" i="2"/>
  <c r="E592" i="2"/>
  <c r="H591" i="2"/>
  <c r="I591" i="2" s="1"/>
  <c r="E591" i="2"/>
  <c r="H590" i="2"/>
  <c r="I590" i="2" s="1"/>
  <c r="E590" i="2"/>
  <c r="H589" i="2"/>
  <c r="J589" i="2" s="1"/>
  <c r="E589" i="2"/>
  <c r="H588" i="2"/>
  <c r="E588" i="2"/>
  <c r="H587" i="2"/>
  <c r="I587" i="2" s="1"/>
  <c r="E587" i="2"/>
  <c r="H586" i="2"/>
  <c r="E586" i="2"/>
  <c r="H585" i="2"/>
  <c r="I585" i="2" s="1"/>
  <c r="E585" i="2"/>
  <c r="H584" i="2"/>
  <c r="E584" i="2"/>
  <c r="H583" i="2"/>
  <c r="I583" i="2" s="1"/>
  <c r="E583" i="2"/>
  <c r="H582" i="2"/>
  <c r="I582" i="2" s="1"/>
  <c r="H581" i="2"/>
  <c r="I581" i="2" s="1"/>
  <c r="E581" i="2"/>
  <c r="H580" i="2"/>
  <c r="E580" i="2"/>
  <c r="H579" i="2"/>
  <c r="J579" i="2" s="1"/>
  <c r="E579" i="2"/>
  <c r="H578" i="2"/>
  <c r="E578" i="2"/>
  <c r="H577" i="2"/>
  <c r="I577" i="2" s="1"/>
  <c r="E577" i="2"/>
  <c r="H576" i="2"/>
  <c r="E576" i="2"/>
  <c r="H575" i="2"/>
  <c r="I575" i="2" s="1"/>
  <c r="E575" i="2"/>
  <c r="H574" i="2"/>
  <c r="I574" i="2" s="1"/>
  <c r="E574" i="2"/>
  <c r="H573" i="2"/>
  <c r="I573" i="2" s="1"/>
  <c r="E573" i="2"/>
  <c r="H572" i="2"/>
  <c r="E572" i="2"/>
  <c r="H571" i="2"/>
  <c r="I571" i="2" s="1"/>
  <c r="E571" i="2"/>
  <c r="H570" i="2"/>
  <c r="E570" i="2"/>
  <c r="H569" i="2"/>
  <c r="I569" i="2" s="1"/>
  <c r="E569" i="2"/>
  <c r="H568" i="2"/>
  <c r="E568" i="2"/>
  <c r="H567" i="2"/>
  <c r="J567" i="2" s="1"/>
  <c r="E567" i="2"/>
  <c r="H566" i="2"/>
  <c r="J566" i="2" s="1"/>
  <c r="E566" i="2"/>
  <c r="H565" i="2"/>
  <c r="J565" i="2" s="1"/>
  <c r="E565" i="2"/>
  <c r="H564" i="2"/>
  <c r="E564" i="2"/>
  <c r="H563" i="2"/>
  <c r="I563" i="2" s="1"/>
  <c r="E563" i="2"/>
  <c r="H562" i="2"/>
  <c r="E562" i="2"/>
  <c r="H561" i="2"/>
  <c r="I561" i="2" s="1"/>
  <c r="E561" i="2"/>
  <c r="H560" i="2"/>
  <c r="E560" i="2"/>
  <c r="H559" i="2"/>
  <c r="J559" i="2" s="1"/>
  <c r="E559" i="2"/>
  <c r="H558" i="2"/>
  <c r="J558" i="2" s="1"/>
  <c r="E558" i="2"/>
  <c r="H557" i="2"/>
  <c r="I557" i="2" s="1"/>
  <c r="E557" i="2"/>
  <c r="H556" i="2"/>
  <c r="E556" i="2"/>
  <c r="H555" i="2"/>
  <c r="I555" i="2" s="1"/>
  <c r="E555" i="2"/>
  <c r="H554" i="2"/>
  <c r="E554" i="2"/>
  <c r="H553" i="2"/>
  <c r="I553" i="2" s="1"/>
  <c r="E553" i="2"/>
  <c r="H552" i="2"/>
  <c r="E552" i="2"/>
  <c r="H551" i="2"/>
  <c r="I551" i="2" s="1"/>
  <c r="E551" i="2"/>
  <c r="H550" i="2"/>
  <c r="J550" i="2" s="1"/>
  <c r="E550" i="2"/>
  <c r="H549" i="2"/>
  <c r="J549" i="2" s="1"/>
  <c r="E549" i="2"/>
  <c r="H548" i="2"/>
  <c r="E548" i="2"/>
  <c r="H547" i="2"/>
  <c r="I547" i="2" s="1"/>
  <c r="E547" i="2"/>
  <c r="H546" i="2"/>
  <c r="E546" i="2"/>
  <c r="H545" i="2"/>
  <c r="I545" i="2" s="1"/>
  <c r="E545" i="2"/>
  <c r="H544" i="2"/>
  <c r="E544" i="2"/>
  <c r="H543" i="2"/>
  <c r="I543" i="2" s="1"/>
  <c r="E543" i="2"/>
  <c r="H542" i="2"/>
  <c r="J542" i="2" s="1"/>
  <c r="E542" i="2"/>
  <c r="H541" i="2"/>
  <c r="I541" i="2" s="1"/>
  <c r="E541" i="2"/>
  <c r="H540" i="2"/>
  <c r="E540" i="2"/>
  <c r="H539" i="2"/>
  <c r="I539" i="2" s="1"/>
  <c r="E539" i="2"/>
  <c r="H538" i="2"/>
  <c r="E538" i="2"/>
  <c r="H537" i="2"/>
  <c r="E537" i="2"/>
  <c r="H536" i="2"/>
  <c r="E536" i="2"/>
  <c r="H535" i="2"/>
  <c r="J535" i="2" s="1"/>
  <c r="E535" i="2"/>
  <c r="H534" i="2"/>
  <c r="J534" i="2" s="1"/>
  <c r="E534" i="2"/>
  <c r="H529" i="2"/>
  <c r="I529" i="2" s="1"/>
  <c r="E529" i="2"/>
  <c r="H528" i="2"/>
  <c r="I528" i="2" s="1"/>
  <c r="E528" i="2"/>
  <c r="H527" i="2"/>
  <c r="E527" i="2"/>
  <c r="H526" i="2"/>
  <c r="I526" i="2" s="1"/>
  <c r="E526" i="2"/>
  <c r="H525" i="2"/>
  <c r="J525" i="2" s="1"/>
  <c r="E525" i="2"/>
  <c r="H524" i="2"/>
  <c r="J524" i="2" s="1"/>
  <c r="E524" i="2"/>
  <c r="H523" i="2"/>
  <c r="I523" i="2" s="1"/>
  <c r="E523" i="2"/>
  <c r="H522" i="2"/>
  <c r="I522" i="2" s="1"/>
  <c r="E522" i="2"/>
  <c r="H521" i="2"/>
  <c r="J521" i="2" s="1"/>
  <c r="E521" i="2"/>
  <c r="H520" i="2"/>
  <c r="I520" i="2" s="1"/>
  <c r="E520" i="2"/>
  <c r="H519" i="2"/>
  <c r="E519" i="2"/>
  <c r="H518" i="2"/>
  <c r="E518" i="2"/>
  <c r="H517" i="2"/>
  <c r="I517" i="2" s="1"/>
  <c r="E517" i="2"/>
  <c r="H516" i="2"/>
  <c r="I516" i="2" s="1"/>
  <c r="E516" i="2"/>
  <c r="H515" i="2"/>
  <c r="E515" i="2"/>
  <c r="H514" i="2"/>
  <c r="I514" i="2" s="1"/>
  <c r="E514" i="2"/>
  <c r="H513" i="2"/>
  <c r="I513" i="2" s="1"/>
  <c r="E513" i="2"/>
  <c r="H512" i="2"/>
  <c r="I512" i="2" s="1"/>
  <c r="E512" i="2"/>
  <c r="H511" i="2"/>
  <c r="I511" i="2" s="1"/>
  <c r="E511" i="2"/>
  <c r="H510" i="2"/>
  <c r="E510" i="2"/>
  <c r="H509" i="2"/>
  <c r="I509" i="2" s="1"/>
  <c r="E509" i="2"/>
  <c r="H508" i="2"/>
  <c r="E508" i="2"/>
  <c r="H507" i="2"/>
  <c r="I507" i="2" s="1"/>
  <c r="E507" i="2"/>
  <c r="H506" i="2"/>
  <c r="E506" i="2"/>
  <c r="H505" i="2"/>
  <c r="I505" i="2" s="1"/>
  <c r="J505" i="2" s="1"/>
  <c r="E505" i="2"/>
  <c r="H504" i="2"/>
  <c r="J504" i="2" s="1"/>
  <c r="E504" i="2"/>
  <c r="H503" i="2"/>
  <c r="I503" i="2" s="1"/>
  <c r="E503" i="2"/>
  <c r="H502" i="2"/>
  <c r="I502" i="2" s="1"/>
  <c r="E502" i="2"/>
  <c r="H501" i="2"/>
  <c r="I501" i="2" s="1"/>
  <c r="E501" i="2"/>
  <c r="H500" i="2"/>
  <c r="I500" i="2" s="1"/>
  <c r="E500" i="2"/>
  <c r="H499" i="2"/>
  <c r="I499" i="2" s="1"/>
  <c r="E499" i="2"/>
  <c r="H498" i="2"/>
  <c r="E498" i="2"/>
  <c r="H497" i="2"/>
  <c r="J497" i="2" s="1"/>
  <c r="E497" i="2"/>
  <c r="H496" i="2"/>
  <c r="I496" i="2" s="1"/>
  <c r="E496" i="2"/>
  <c r="H495" i="2"/>
  <c r="I495" i="2" s="1"/>
  <c r="J495" i="2" s="1"/>
  <c r="E495" i="2"/>
  <c r="H494" i="2"/>
  <c r="J494" i="2" s="1"/>
  <c r="E494" i="2"/>
  <c r="H492" i="2"/>
  <c r="I492" i="2" s="1"/>
  <c r="E492" i="2"/>
  <c r="H491" i="2"/>
  <c r="E491" i="2"/>
  <c r="H490" i="2"/>
  <c r="I490" i="2" s="1"/>
  <c r="E490" i="2"/>
  <c r="H489" i="2"/>
  <c r="E489" i="2"/>
  <c r="H488" i="2"/>
  <c r="J488" i="2" s="1"/>
  <c r="E488" i="2"/>
  <c r="H487" i="2"/>
  <c r="E487" i="2"/>
  <c r="H486" i="2"/>
  <c r="I486" i="2" s="1"/>
  <c r="J486" i="2" s="1"/>
  <c r="E486" i="2"/>
  <c r="H485" i="2"/>
  <c r="J485" i="2" s="1"/>
  <c r="E485" i="2"/>
  <c r="H484" i="2"/>
  <c r="I484" i="2" s="1"/>
  <c r="E484" i="2"/>
  <c r="H483" i="2"/>
  <c r="I483" i="2" s="1"/>
  <c r="E483" i="2"/>
  <c r="H482" i="2"/>
  <c r="I482" i="2" s="1"/>
  <c r="J482" i="2" s="1"/>
  <c r="E482" i="2"/>
  <c r="H481" i="2"/>
  <c r="J481" i="2" s="1"/>
  <c r="E481" i="2"/>
  <c r="H480" i="2"/>
  <c r="I480" i="2" s="1"/>
  <c r="E480" i="2"/>
  <c r="H479" i="2"/>
  <c r="E479" i="2"/>
  <c r="H478" i="2"/>
  <c r="I478" i="2" s="1"/>
  <c r="J478" i="2" s="1"/>
  <c r="E478" i="2"/>
  <c r="H477" i="2"/>
  <c r="E477" i="2"/>
  <c r="H476" i="2"/>
  <c r="I476" i="2" s="1"/>
  <c r="E476" i="2"/>
  <c r="H475" i="2"/>
  <c r="J475" i="2" s="1"/>
  <c r="E475" i="2"/>
  <c r="H474" i="2"/>
  <c r="J474" i="2" s="1"/>
  <c r="E474" i="2"/>
  <c r="H473" i="2"/>
  <c r="I473" i="2" s="1"/>
  <c r="E473" i="2"/>
  <c r="H472" i="2"/>
  <c r="I472" i="2" s="1"/>
  <c r="E472" i="2"/>
  <c r="H471" i="2"/>
  <c r="I471" i="2" s="1"/>
  <c r="E471" i="2"/>
  <c r="H470" i="2"/>
  <c r="I470" i="2" s="1"/>
  <c r="E470" i="2"/>
  <c r="H469" i="2"/>
  <c r="E469" i="2"/>
  <c r="H468" i="2"/>
  <c r="I468" i="2" s="1"/>
  <c r="E468" i="2"/>
  <c r="H467" i="2"/>
  <c r="E467" i="2"/>
  <c r="H466" i="2"/>
  <c r="I466" i="2" s="1"/>
  <c r="E466" i="2"/>
  <c r="H465" i="2"/>
  <c r="I465" i="2" s="1"/>
  <c r="E465" i="2"/>
  <c r="H464" i="2"/>
  <c r="I464" i="2" s="1"/>
  <c r="E464" i="2"/>
  <c r="H463" i="2"/>
  <c r="I463" i="2" s="1"/>
  <c r="E463" i="2"/>
  <c r="H462" i="2"/>
  <c r="I462" i="2" s="1"/>
  <c r="E462" i="2"/>
  <c r="H461" i="2"/>
  <c r="E461" i="2"/>
  <c r="H460" i="2"/>
  <c r="J460" i="2" s="1"/>
  <c r="E460" i="2"/>
  <c r="H459" i="2"/>
  <c r="J459" i="2" s="1"/>
  <c r="E459" i="2"/>
  <c r="H458" i="2"/>
  <c r="I458" i="2" s="1"/>
  <c r="E458" i="2"/>
  <c r="H457" i="2"/>
  <c r="E457" i="2"/>
  <c r="H456" i="2"/>
  <c r="J456" i="2" s="1"/>
  <c r="E456" i="2"/>
  <c r="H455" i="2"/>
  <c r="J455" i="2" s="1"/>
  <c r="E455" i="2"/>
  <c r="H454" i="2"/>
  <c r="J454" i="2" s="1"/>
  <c r="E454" i="2"/>
  <c r="H453" i="2"/>
  <c r="E453" i="2"/>
  <c r="H452" i="2"/>
  <c r="I452" i="2" s="1"/>
  <c r="J452" i="2" s="1"/>
  <c r="E452" i="2"/>
  <c r="H451" i="2"/>
  <c r="J451" i="2" s="1"/>
  <c r="E451" i="2"/>
  <c r="H450" i="2"/>
  <c r="J450" i="2" s="1"/>
  <c r="E450" i="2"/>
  <c r="H449" i="2"/>
  <c r="E449" i="2"/>
  <c r="H448" i="2"/>
  <c r="I448" i="2" s="1"/>
  <c r="E448" i="2"/>
  <c r="H447" i="2"/>
  <c r="E447" i="2"/>
  <c r="H446" i="2"/>
  <c r="J446" i="2" s="1"/>
  <c r="E446" i="2"/>
  <c r="H445" i="2"/>
  <c r="J445" i="2" s="1"/>
  <c r="E445" i="2"/>
  <c r="H444" i="2"/>
  <c r="I444" i="2" s="1"/>
  <c r="E444" i="2"/>
  <c r="H443" i="2"/>
  <c r="I443" i="2" s="1"/>
  <c r="E443" i="2"/>
  <c r="H442" i="2"/>
  <c r="I442" i="2" s="1"/>
  <c r="E442" i="2"/>
  <c r="H441" i="2"/>
  <c r="E441" i="2"/>
  <c r="H440" i="2"/>
  <c r="I440" i="2" s="1"/>
  <c r="E440" i="2"/>
  <c r="H439" i="2"/>
  <c r="I439" i="2" s="1"/>
  <c r="E439" i="2"/>
  <c r="H438" i="2"/>
  <c r="I438" i="2" s="1"/>
  <c r="J438" i="2" s="1"/>
  <c r="E438" i="2"/>
  <c r="H437" i="2"/>
  <c r="E437" i="2"/>
  <c r="H436" i="2"/>
  <c r="I436" i="2" s="1"/>
  <c r="E436" i="2"/>
  <c r="H435" i="2"/>
  <c r="I435" i="2" s="1"/>
  <c r="E435" i="2"/>
  <c r="H434" i="2"/>
  <c r="I434" i="2" s="1"/>
  <c r="E434" i="2"/>
  <c r="H433" i="2"/>
  <c r="E433" i="2"/>
  <c r="H432" i="2"/>
  <c r="I432" i="2" s="1"/>
  <c r="E432" i="2"/>
  <c r="H431" i="2"/>
  <c r="E431" i="2"/>
  <c r="H430" i="2"/>
  <c r="I430" i="2" s="1"/>
  <c r="J430" i="2" s="1"/>
  <c r="E430" i="2"/>
  <c r="H429" i="2"/>
  <c r="J429" i="2" s="1"/>
  <c r="E429" i="2"/>
  <c r="H428" i="2"/>
  <c r="I428" i="2" s="1"/>
  <c r="E428" i="2"/>
  <c r="H427" i="2"/>
  <c r="E427" i="2"/>
  <c r="H426" i="2"/>
  <c r="J426" i="2" s="1"/>
  <c r="E426" i="2"/>
  <c r="H425" i="2"/>
  <c r="E425" i="2"/>
  <c r="H424" i="2"/>
  <c r="I424" i="2" s="1"/>
  <c r="E424" i="2"/>
  <c r="H423" i="2"/>
  <c r="I423" i="2" s="1"/>
  <c r="E423" i="2"/>
  <c r="H422" i="2"/>
  <c r="I422" i="2" s="1"/>
  <c r="E422" i="2"/>
  <c r="H421" i="2"/>
  <c r="E421" i="2"/>
  <c r="H420" i="2"/>
  <c r="I420" i="2" s="1"/>
  <c r="E420" i="2"/>
  <c r="H419" i="2"/>
  <c r="I419" i="2" s="1"/>
  <c r="E419" i="2"/>
  <c r="H418" i="2"/>
  <c r="I418" i="2" s="1"/>
  <c r="E418" i="2"/>
  <c r="H417" i="2"/>
  <c r="E417" i="2"/>
  <c r="H416" i="2"/>
  <c r="I416" i="2" s="1"/>
  <c r="E416" i="2"/>
  <c r="H415" i="2"/>
  <c r="E415" i="2"/>
  <c r="H414" i="2"/>
  <c r="I414" i="2" s="1"/>
  <c r="E414" i="2"/>
  <c r="H413" i="2"/>
  <c r="I413" i="2" s="1"/>
  <c r="E413" i="2"/>
  <c r="H412" i="2"/>
  <c r="I412" i="2" s="1"/>
  <c r="J412" i="2" s="1"/>
  <c r="E412" i="2"/>
  <c r="H411" i="2"/>
  <c r="J411" i="2" s="1"/>
  <c r="E411" i="2"/>
  <c r="H410" i="2"/>
  <c r="J410" i="2" s="1"/>
  <c r="E410" i="2"/>
  <c r="H409" i="2"/>
  <c r="E409" i="2"/>
  <c r="H408" i="2"/>
  <c r="E408" i="2"/>
  <c r="H407" i="2"/>
  <c r="I407" i="2" s="1"/>
  <c r="E407" i="2"/>
  <c r="H406" i="2"/>
  <c r="E406" i="2"/>
  <c r="H405" i="2"/>
  <c r="I405" i="2" s="1"/>
  <c r="E405" i="2"/>
  <c r="H404" i="2"/>
  <c r="E404" i="2"/>
  <c r="H403" i="2"/>
  <c r="I403" i="2" s="1"/>
  <c r="E403" i="2"/>
  <c r="H402" i="2"/>
  <c r="E402" i="2"/>
  <c r="H401" i="2"/>
  <c r="I401" i="2" s="1"/>
  <c r="E401" i="2"/>
  <c r="H399" i="2"/>
  <c r="E399" i="2"/>
  <c r="H398" i="2"/>
  <c r="I398" i="2" s="1"/>
  <c r="E398" i="2"/>
  <c r="H397" i="2"/>
  <c r="E397" i="2"/>
  <c r="H396" i="2"/>
  <c r="I396" i="2" s="1"/>
  <c r="E396" i="2"/>
  <c r="H395" i="2"/>
  <c r="E395" i="2"/>
  <c r="H394" i="2"/>
  <c r="I394" i="2" s="1"/>
  <c r="E394" i="2"/>
  <c r="H393" i="2"/>
  <c r="E393" i="2"/>
  <c r="H392" i="2"/>
  <c r="I392" i="2" s="1"/>
  <c r="E392" i="2"/>
  <c r="H391" i="2"/>
  <c r="E391" i="2"/>
  <c r="H390" i="2"/>
  <c r="I390" i="2" s="1"/>
  <c r="E390" i="2"/>
  <c r="H389" i="2"/>
  <c r="E389" i="2"/>
  <c r="H388" i="2"/>
  <c r="I388" i="2" s="1"/>
  <c r="E388" i="2"/>
  <c r="H387" i="2"/>
  <c r="E387" i="2"/>
  <c r="H386" i="2"/>
  <c r="I386" i="2" s="1"/>
  <c r="E386" i="2"/>
  <c r="H385" i="2"/>
  <c r="E385" i="2"/>
  <c r="H384" i="2"/>
  <c r="I384" i="2" s="1"/>
  <c r="E384" i="2"/>
  <c r="H383" i="2"/>
  <c r="E383" i="2"/>
  <c r="H382" i="2"/>
  <c r="J382" i="2" s="1"/>
  <c r="E382" i="2"/>
  <c r="H379" i="2"/>
  <c r="E379" i="2"/>
  <c r="H378" i="2"/>
  <c r="E378" i="2"/>
  <c r="H377" i="2"/>
  <c r="E377" i="2"/>
  <c r="H376" i="2"/>
  <c r="I376" i="2" s="1"/>
  <c r="E376" i="2"/>
  <c r="H375" i="2"/>
  <c r="E375" i="2"/>
  <c r="H374" i="2"/>
  <c r="I374" i="2" s="1"/>
  <c r="J374" i="2" s="1"/>
  <c r="E374" i="2"/>
  <c r="H373" i="2"/>
  <c r="E373" i="2"/>
  <c r="H372" i="2"/>
  <c r="J372" i="2" s="1"/>
  <c r="E372" i="2"/>
  <c r="H371" i="2"/>
  <c r="E371" i="2"/>
  <c r="H370" i="2"/>
  <c r="E370" i="2"/>
  <c r="H369" i="2"/>
  <c r="J369" i="2" s="1"/>
  <c r="E369" i="2"/>
  <c r="H368" i="2"/>
  <c r="I368" i="2" s="1"/>
  <c r="E368" i="2"/>
  <c r="H367" i="2"/>
  <c r="E367" i="2"/>
  <c r="H366" i="2"/>
  <c r="I366" i="2" s="1"/>
  <c r="E366" i="2"/>
  <c r="H365" i="2"/>
  <c r="E365" i="2"/>
  <c r="H364" i="2"/>
  <c r="E364" i="2"/>
  <c r="H363" i="2"/>
  <c r="I363" i="2" s="1"/>
  <c r="E363" i="2"/>
  <c r="H362" i="2"/>
  <c r="I362" i="2" s="1"/>
  <c r="E362" i="2"/>
  <c r="H361" i="2"/>
  <c r="I361" i="2" s="1"/>
  <c r="E361" i="2"/>
  <c r="H360" i="2"/>
  <c r="I360" i="2" s="1"/>
  <c r="E360" i="2"/>
  <c r="H359" i="2"/>
  <c r="E359" i="2"/>
  <c r="H358" i="2"/>
  <c r="E358" i="2"/>
  <c r="H357" i="2"/>
  <c r="I357" i="2" s="1"/>
  <c r="E357" i="2"/>
  <c r="H356" i="2"/>
  <c r="J356" i="2" s="1"/>
  <c r="E356" i="2"/>
  <c r="H355" i="2"/>
  <c r="J355" i="2" s="1"/>
  <c r="E355" i="2"/>
  <c r="H354" i="2"/>
  <c r="I354" i="2" s="1"/>
  <c r="E354" i="2"/>
  <c r="H353" i="2"/>
  <c r="I353" i="2" s="1"/>
  <c r="E353" i="2"/>
  <c r="H352" i="2"/>
  <c r="I352" i="2" s="1"/>
  <c r="E352" i="2"/>
  <c r="H351" i="2"/>
  <c r="E351" i="2"/>
  <c r="H350" i="2"/>
  <c r="I350" i="2" s="1"/>
  <c r="E350" i="2"/>
  <c r="H349" i="2"/>
  <c r="E349" i="2"/>
  <c r="H348" i="2"/>
  <c r="E348" i="2"/>
  <c r="H347" i="2"/>
  <c r="I347" i="2" s="1"/>
  <c r="E347" i="2"/>
  <c r="H346" i="2"/>
  <c r="I346" i="2" s="1"/>
  <c r="E346" i="2"/>
  <c r="H345" i="2"/>
  <c r="I345" i="2" s="1"/>
  <c r="E345" i="2"/>
  <c r="H344" i="2"/>
  <c r="I344" i="2" s="1"/>
  <c r="E344" i="2"/>
  <c r="H343" i="2"/>
  <c r="E343" i="2"/>
  <c r="H342" i="2"/>
  <c r="E342" i="2"/>
  <c r="H341" i="2"/>
  <c r="I341" i="2" s="1"/>
  <c r="E341" i="2"/>
  <c r="H340" i="2"/>
  <c r="E340" i="2"/>
  <c r="H339" i="2"/>
  <c r="I339" i="2" s="1"/>
  <c r="E339" i="2"/>
  <c r="H338" i="2"/>
  <c r="I338" i="2" s="1"/>
  <c r="E338" i="2"/>
  <c r="H337" i="2"/>
  <c r="I337" i="2" s="1"/>
  <c r="E337" i="2"/>
  <c r="H336" i="2"/>
  <c r="I336" i="2" s="1"/>
  <c r="E336" i="2"/>
  <c r="H335" i="2"/>
  <c r="E335" i="2"/>
  <c r="H334" i="2"/>
  <c r="I334" i="2" s="1"/>
  <c r="E334" i="2"/>
  <c r="H333" i="2"/>
  <c r="E333" i="2"/>
  <c r="H332" i="2"/>
  <c r="E332" i="2"/>
  <c r="H331" i="2"/>
  <c r="I331" i="2" s="1"/>
  <c r="E331" i="2"/>
  <c r="H330" i="2"/>
  <c r="I330" i="2" s="1"/>
  <c r="E330" i="2"/>
  <c r="H329" i="2"/>
  <c r="I329" i="2" s="1"/>
  <c r="E329" i="2"/>
  <c r="H328" i="2"/>
  <c r="E328" i="2"/>
  <c r="H327" i="2"/>
  <c r="E327" i="2"/>
  <c r="H326" i="2"/>
  <c r="J326" i="2" s="1"/>
  <c r="E326" i="2"/>
  <c r="H325" i="2"/>
  <c r="J325" i="2" s="1"/>
  <c r="E325" i="2"/>
  <c r="H324" i="2"/>
  <c r="E324" i="2"/>
  <c r="H323" i="2"/>
  <c r="I323" i="2" s="1"/>
  <c r="E323" i="2"/>
  <c r="H322" i="2"/>
  <c r="I322" i="2" s="1"/>
  <c r="E322" i="2"/>
  <c r="H321" i="2"/>
  <c r="I321" i="2" s="1"/>
  <c r="E321" i="2"/>
  <c r="H320" i="2"/>
  <c r="I320" i="2" s="1"/>
  <c r="J320" i="2" s="1"/>
  <c r="E320" i="2"/>
  <c r="H319" i="2"/>
  <c r="J319" i="2" s="1"/>
  <c r="E319" i="2"/>
  <c r="H318" i="2"/>
  <c r="I318" i="2" s="1"/>
  <c r="E318" i="2"/>
  <c r="H317" i="2"/>
  <c r="E317" i="2"/>
  <c r="H316" i="2"/>
  <c r="E316" i="2"/>
  <c r="H315" i="2"/>
  <c r="I315" i="2" s="1"/>
  <c r="E315" i="2"/>
  <c r="H314" i="2"/>
  <c r="I314" i="2" s="1"/>
  <c r="E314" i="2"/>
  <c r="H313" i="2"/>
  <c r="I313" i="2" s="1"/>
  <c r="E313" i="2"/>
  <c r="H312" i="2"/>
  <c r="I312" i="2" s="1"/>
  <c r="E312" i="2"/>
  <c r="H311" i="2"/>
  <c r="E311" i="2"/>
  <c r="H310" i="2"/>
  <c r="E310" i="2"/>
  <c r="H309" i="2"/>
  <c r="I309" i="2" s="1"/>
  <c r="E309" i="2"/>
  <c r="H308" i="2"/>
  <c r="E308" i="2"/>
  <c r="H307" i="2"/>
  <c r="I307" i="2" s="1"/>
  <c r="E307" i="2"/>
  <c r="H306" i="2"/>
  <c r="E306" i="2"/>
  <c r="H305" i="2"/>
  <c r="I305" i="2" s="1"/>
  <c r="E305" i="2"/>
  <c r="H304" i="2"/>
  <c r="I304" i="2" s="1"/>
  <c r="J304" i="2" s="1"/>
  <c r="E304" i="2"/>
  <c r="H303" i="2"/>
  <c r="E303" i="2"/>
  <c r="H302" i="2"/>
  <c r="E302" i="2"/>
  <c r="H301" i="2"/>
  <c r="E301" i="2"/>
  <c r="H300" i="2"/>
  <c r="E300" i="2"/>
  <c r="H299" i="2"/>
  <c r="I299" i="2" s="1"/>
  <c r="E299" i="2"/>
  <c r="H298" i="2"/>
  <c r="I298" i="2" s="1"/>
  <c r="E298" i="2"/>
  <c r="H297" i="2"/>
  <c r="I297" i="2" s="1"/>
  <c r="E297" i="2"/>
  <c r="H296" i="2"/>
  <c r="I296" i="2" s="1"/>
  <c r="E296" i="2"/>
  <c r="H295" i="2"/>
  <c r="E295" i="2"/>
  <c r="H294" i="2"/>
  <c r="E294" i="2"/>
  <c r="H293" i="2"/>
  <c r="J293" i="2" s="1"/>
  <c r="E293" i="2"/>
  <c r="H292" i="2"/>
  <c r="E292" i="2"/>
  <c r="H291" i="2"/>
  <c r="I291" i="2" s="1"/>
  <c r="E291" i="2"/>
  <c r="H290" i="2"/>
  <c r="I290" i="2" s="1"/>
  <c r="E290" i="2"/>
  <c r="H289" i="2"/>
  <c r="I289" i="2" s="1"/>
  <c r="E289" i="2"/>
  <c r="H288" i="2"/>
  <c r="J288" i="2" s="1"/>
  <c r="E288" i="2"/>
  <c r="H286" i="2"/>
  <c r="E286" i="2"/>
  <c r="H285" i="2"/>
  <c r="E285" i="2"/>
  <c r="H284" i="2"/>
  <c r="E284" i="2"/>
  <c r="H283" i="2"/>
  <c r="E283" i="2"/>
  <c r="H282" i="2"/>
  <c r="I282" i="2" s="1"/>
  <c r="E282" i="2"/>
  <c r="H281" i="2"/>
  <c r="I281" i="2" s="1"/>
  <c r="E281" i="2"/>
  <c r="H280" i="2"/>
  <c r="I280" i="2" s="1"/>
  <c r="E280" i="2"/>
  <c r="H279" i="2"/>
  <c r="I279" i="2" s="1"/>
  <c r="E279" i="2"/>
  <c r="H278" i="2"/>
  <c r="E278" i="2"/>
  <c r="H277" i="2"/>
  <c r="E277" i="2"/>
  <c r="H276" i="2"/>
  <c r="E276" i="2"/>
  <c r="H275" i="2"/>
  <c r="E275" i="2"/>
  <c r="H274" i="2"/>
  <c r="E274" i="2"/>
  <c r="H273" i="2"/>
  <c r="E273" i="2"/>
  <c r="H272" i="2"/>
  <c r="E272" i="2"/>
  <c r="H271" i="2"/>
  <c r="E271" i="2"/>
  <c r="H270" i="2"/>
  <c r="E270" i="2"/>
  <c r="H269" i="2"/>
  <c r="E269" i="2"/>
  <c r="H268" i="2"/>
  <c r="E268" i="2"/>
  <c r="H267" i="2"/>
  <c r="E267" i="2"/>
  <c r="H266" i="2"/>
  <c r="E266" i="2"/>
  <c r="H265" i="2"/>
  <c r="E265" i="2"/>
  <c r="H264" i="2"/>
  <c r="E264" i="2"/>
  <c r="H263" i="2"/>
  <c r="E263" i="2"/>
  <c r="H262" i="2"/>
  <c r="E262" i="2"/>
  <c r="H261" i="2"/>
  <c r="E261" i="2"/>
  <c r="H260" i="2"/>
  <c r="E260" i="2"/>
  <c r="H259" i="2"/>
  <c r="E259" i="2"/>
  <c r="H258" i="2"/>
  <c r="E258" i="2"/>
  <c r="H257" i="2"/>
  <c r="E257" i="2"/>
  <c r="H256" i="2"/>
  <c r="E256" i="2"/>
  <c r="H255" i="2"/>
  <c r="E255" i="2"/>
  <c r="H254" i="2"/>
  <c r="E254" i="2"/>
  <c r="H253" i="2"/>
  <c r="E253" i="2"/>
  <c r="H252" i="2"/>
  <c r="E252" i="2"/>
  <c r="H251" i="2"/>
  <c r="E251" i="2"/>
  <c r="H250" i="2"/>
  <c r="E250" i="2"/>
  <c r="H249" i="2"/>
  <c r="E249" i="2"/>
  <c r="H248" i="2"/>
  <c r="E248" i="2"/>
  <c r="H247" i="2"/>
  <c r="E247" i="2"/>
  <c r="H246" i="2"/>
  <c r="E246" i="2"/>
  <c r="H245" i="2"/>
  <c r="E245" i="2"/>
  <c r="H244" i="2"/>
  <c r="E244" i="2"/>
  <c r="H243" i="2"/>
  <c r="E243" i="2"/>
  <c r="H242" i="2"/>
  <c r="E242" i="2"/>
  <c r="H241" i="2"/>
  <c r="E241" i="2"/>
  <c r="H240" i="2"/>
  <c r="E240" i="2"/>
  <c r="H239" i="2"/>
  <c r="E239" i="2"/>
  <c r="H238" i="2"/>
  <c r="E238" i="2"/>
  <c r="H237" i="2"/>
  <c r="E237" i="2"/>
  <c r="H236" i="2"/>
  <c r="E236" i="2"/>
  <c r="H235" i="2"/>
  <c r="E235" i="2"/>
  <c r="H234" i="2"/>
  <c r="E234" i="2"/>
  <c r="H233" i="2"/>
  <c r="E233" i="2"/>
  <c r="H232" i="2"/>
  <c r="E232" i="2"/>
  <c r="H231" i="2"/>
  <c r="E231" i="2"/>
  <c r="H230" i="2"/>
  <c r="E230" i="2"/>
  <c r="H229" i="2"/>
  <c r="E229" i="2"/>
  <c r="H228" i="2"/>
  <c r="E228" i="2"/>
  <c r="H227" i="2"/>
  <c r="E227" i="2"/>
  <c r="H226" i="2"/>
  <c r="E226" i="2"/>
  <c r="H225" i="2"/>
  <c r="E225" i="2"/>
  <c r="H224" i="2"/>
  <c r="E224" i="2"/>
  <c r="H223" i="2"/>
  <c r="E223" i="2"/>
  <c r="H222" i="2"/>
  <c r="E222" i="2"/>
  <c r="H221" i="2"/>
  <c r="E221" i="2"/>
  <c r="H220" i="2"/>
  <c r="E220" i="2"/>
  <c r="H219" i="2"/>
  <c r="E219" i="2"/>
  <c r="H218" i="2"/>
  <c r="E218" i="2"/>
  <c r="H217" i="2"/>
  <c r="E217" i="2"/>
  <c r="H216" i="2"/>
  <c r="E216" i="2"/>
  <c r="H215" i="2"/>
  <c r="E215" i="2"/>
  <c r="H214" i="2"/>
  <c r="E214" i="2"/>
  <c r="H213" i="2"/>
  <c r="E213" i="2"/>
  <c r="H212" i="2"/>
  <c r="E212" i="2"/>
  <c r="H211" i="2"/>
  <c r="E211" i="2"/>
  <c r="H210" i="2"/>
  <c r="E210" i="2"/>
  <c r="H209" i="2"/>
  <c r="E209" i="2"/>
  <c r="H208" i="2"/>
  <c r="E208" i="2"/>
  <c r="H207" i="2"/>
  <c r="E207" i="2"/>
  <c r="H206" i="2"/>
  <c r="E206" i="2"/>
  <c r="H205" i="2"/>
  <c r="E205" i="2"/>
  <c r="H204" i="2"/>
  <c r="E204" i="2"/>
  <c r="H203" i="2"/>
  <c r="E203" i="2"/>
  <c r="H202" i="2"/>
  <c r="E202" i="2"/>
  <c r="H201" i="2"/>
  <c r="E201" i="2"/>
  <c r="H200" i="2"/>
  <c r="E200" i="2"/>
  <c r="H199" i="2"/>
  <c r="E199" i="2"/>
  <c r="H198" i="2"/>
  <c r="E198" i="2"/>
  <c r="H197" i="2"/>
  <c r="E197" i="2"/>
  <c r="H196" i="2"/>
  <c r="E196" i="2"/>
  <c r="H195" i="2"/>
  <c r="E195" i="2"/>
  <c r="H194" i="2"/>
  <c r="E194" i="2"/>
  <c r="H193" i="2"/>
  <c r="E193" i="2"/>
  <c r="H192" i="2"/>
  <c r="E192" i="2"/>
  <c r="H191" i="2"/>
  <c r="E191" i="2"/>
  <c r="H190" i="2"/>
  <c r="E190" i="2"/>
  <c r="H189" i="2"/>
  <c r="E189" i="2"/>
  <c r="H188" i="2"/>
  <c r="E188" i="2"/>
  <c r="H187" i="2"/>
  <c r="E187" i="2"/>
  <c r="H186" i="2"/>
  <c r="E186" i="2"/>
  <c r="H185" i="2"/>
  <c r="E185" i="2"/>
  <c r="H184" i="2"/>
  <c r="E184" i="2"/>
  <c r="H183" i="2"/>
  <c r="E183" i="2"/>
  <c r="H182" i="2"/>
  <c r="E182" i="2"/>
  <c r="H181" i="2"/>
  <c r="E181" i="2"/>
  <c r="H180" i="2"/>
  <c r="E180" i="2"/>
  <c r="H179" i="2"/>
  <c r="E179" i="2"/>
  <c r="H178" i="2"/>
  <c r="E178" i="2"/>
  <c r="H177" i="2"/>
  <c r="E177" i="2"/>
  <c r="H176" i="2"/>
  <c r="E176" i="2"/>
  <c r="H175" i="2"/>
  <c r="E175" i="2"/>
  <c r="H174" i="2"/>
  <c r="E174" i="2"/>
  <c r="H173" i="2"/>
  <c r="E173" i="2"/>
  <c r="H172" i="2"/>
  <c r="E172" i="2"/>
  <c r="H171" i="2"/>
  <c r="E171" i="2"/>
  <c r="H170" i="2"/>
  <c r="E170" i="2"/>
  <c r="H169" i="2"/>
  <c r="E169" i="2"/>
  <c r="H168" i="2"/>
  <c r="E168" i="2"/>
  <c r="H167" i="2"/>
  <c r="E167" i="2"/>
  <c r="H166" i="2"/>
  <c r="E166" i="2"/>
  <c r="H165" i="2"/>
  <c r="E165" i="2"/>
  <c r="H164" i="2"/>
  <c r="E164" i="2"/>
  <c r="H163" i="2"/>
  <c r="J163" i="2" s="1"/>
  <c r="E163" i="2"/>
  <c r="H162" i="2"/>
  <c r="I162" i="2" s="1"/>
  <c r="E162" i="2"/>
  <c r="H161" i="2"/>
  <c r="I161" i="2" s="1"/>
  <c r="E161" i="2"/>
  <c r="H160" i="2"/>
  <c r="J160" i="2" s="1"/>
  <c r="E160" i="2"/>
  <c r="H159" i="2"/>
  <c r="J159" i="2" s="1"/>
  <c r="E159" i="2"/>
  <c r="H158" i="2"/>
  <c r="E158" i="2"/>
  <c r="H157" i="2"/>
  <c r="I157" i="2" s="1"/>
  <c r="E157" i="2"/>
  <c r="H156" i="2"/>
  <c r="I156" i="2" s="1"/>
  <c r="E156" i="2"/>
  <c r="H155" i="2"/>
  <c r="I155" i="2" s="1"/>
  <c r="E155" i="2"/>
  <c r="H154" i="2"/>
  <c r="I154" i="2" s="1"/>
  <c r="E154" i="2"/>
  <c r="H153" i="2"/>
  <c r="J153" i="2" s="1"/>
  <c r="E153" i="2"/>
  <c r="H152" i="2"/>
  <c r="J152" i="2" s="1"/>
  <c r="E152" i="2"/>
  <c r="H151" i="2"/>
  <c r="E151" i="2"/>
  <c r="H150" i="2"/>
  <c r="E150" i="2"/>
  <c r="H149" i="2"/>
  <c r="I149" i="2" s="1"/>
  <c r="E149" i="2"/>
  <c r="H148" i="2"/>
  <c r="I148" i="2" s="1"/>
  <c r="E148" i="2"/>
  <c r="H147" i="2"/>
  <c r="I147" i="2" s="1"/>
  <c r="E147" i="2"/>
  <c r="H146" i="2"/>
  <c r="I146" i="2" s="1"/>
  <c r="E146" i="2"/>
  <c r="H145" i="2"/>
  <c r="I145" i="2" s="1"/>
  <c r="E145" i="2"/>
  <c r="H144" i="2"/>
  <c r="J144" i="2" s="1"/>
  <c r="E144" i="2"/>
  <c r="H143" i="2"/>
  <c r="J143" i="2" s="1"/>
  <c r="E143" i="2"/>
  <c r="H142" i="2"/>
  <c r="E142" i="2"/>
  <c r="H141" i="2"/>
  <c r="I141" i="2" s="1"/>
  <c r="E141" i="2"/>
  <c r="H140" i="2"/>
  <c r="J140" i="2" s="1"/>
  <c r="E140" i="2"/>
  <c r="H139" i="2"/>
  <c r="J139" i="2" s="1"/>
  <c r="E139" i="2"/>
  <c r="H133" i="2"/>
  <c r="I133" i="2" s="1"/>
  <c r="E133" i="2"/>
  <c r="H132" i="2"/>
  <c r="I132" i="2" s="1"/>
  <c r="E132" i="2"/>
  <c r="H131" i="2"/>
  <c r="E131" i="2"/>
  <c r="H130" i="2"/>
  <c r="E130" i="2"/>
  <c r="H129" i="2"/>
  <c r="E129" i="2"/>
  <c r="H128" i="2"/>
  <c r="I128" i="2" s="1"/>
  <c r="E128" i="2"/>
  <c r="H127" i="2"/>
  <c r="I127" i="2" s="1"/>
  <c r="E127" i="2"/>
  <c r="H126" i="2"/>
  <c r="I126" i="2" s="1"/>
  <c r="E126" i="2"/>
  <c r="H125" i="2"/>
  <c r="I125" i="2" s="1"/>
  <c r="E125" i="2"/>
  <c r="H124" i="2"/>
  <c r="I124" i="2" s="1"/>
  <c r="E124" i="2"/>
  <c r="H123" i="2"/>
  <c r="E123" i="2"/>
  <c r="H122" i="2"/>
  <c r="E122" i="2"/>
  <c r="H121" i="2"/>
  <c r="E121" i="2"/>
  <c r="H120" i="2"/>
  <c r="I120" i="2" s="1"/>
  <c r="E120" i="2"/>
  <c r="H119" i="2"/>
  <c r="I119" i="2" s="1"/>
  <c r="E119" i="2"/>
  <c r="H118" i="2"/>
  <c r="I118" i="2" s="1"/>
  <c r="E118" i="2"/>
  <c r="H117" i="2"/>
  <c r="I117" i="2" s="1"/>
  <c r="E117" i="2"/>
  <c r="H116" i="2"/>
  <c r="I116" i="2" s="1"/>
  <c r="E116" i="2"/>
  <c r="H115" i="2"/>
  <c r="E115" i="2"/>
  <c r="H114" i="2"/>
  <c r="E114" i="2"/>
  <c r="H113" i="2"/>
  <c r="E113" i="2"/>
  <c r="H112" i="2"/>
  <c r="I112" i="2" s="1"/>
  <c r="E112" i="2"/>
  <c r="H111" i="2"/>
  <c r="I111" i="2" s="1"/>
  <c r="E111" i="2"/>
  <c r="H110" i="2"/>
  <c r="I110" i="2" s="1"/>
  <c r="E110" i="2"/>
  <c r="H109" i="2"/>
  <c r="I109" i="2" s="1"/>
  <c r="E109" i="2"/>
  <c r="H108" i="2"/>
  <c r="I108" i="2" s="1"/>
  <c r="E108" i="2"/>
  <c r="H107" i="2"/>
  <c r="E107" i="2"/>
  <c r="H106" i="2"/>
  <c r="E106" i="2"/>
  <c r="H105" i="2"/>
  <c r="E105" i="2"/>
  <c r="H101" i="2"/>
  <c r="I101" i="2" s="1"/>
  <c r="E101" i="2"/>
  <c r="H100" i="2"/>
  <c r="I100" i="2" s="1"/>
  <c r="E100" i="2"/>
  <c r="H99" i="2"/>
  <c r="I99" i="2" s="1"/>
  <c r="E99" i="2"/>
  <c r="H98" i="2"/>
  <c r="I98" i="2" s="1"/>
  <c r="E98" i="2"/>
  <c r="H97" i="2"/>
  <c r="E97" i="2"/>
  <c r="H96" i="2"/>
  <c r="E96" i="2"/>
  <c r="H95" i="2"/>
  <c r="E95" i="2"/>
  <c r="H94" i="2"/>
  <c r="I94" i="2" s="1"/>
  <c r="E94" i="2"/>
  <c r="H93" i="2"/>
  <c r="I93" i="2" s="1"/>
  <c r="E93" i="2"/>
  <c r="H92" i="2"/>
  <c r="I92" i="2" s="1"/>
  <c r="E92" i="2"/>
  <c r="H91" i="2"/>
  <c r="I91" i="2" s="1"/>
  <c r="E91" i="2"/>
  <c r="H90" i="2"/>
  <c r="I90" i="2" s="1"/>
  <c r="E90" i="2"/>
  <c r="H89" i="2"/>
  <c r="E89" i="2"/>
  <c r="H88" i="2"/>
  <c r="E88" i="2"/>
  <c r="H87" i="2"/>
  <c r="E87" i="2"/>
  <c r="H86" i="2"/>
  <c r="I86" i="2" s="1"/>
  <c r="E86" i="2"/>
  <c r="H85" i="2"/>
  <c r="I85" i="2" s="1"/>
  <c r="E85" i="2"/>
  <c r="H84" i="2"/>
  <c r="J84" i="2" s="1"/>
  <c r="E84" i="2"/>
  <c r="H83" i="2"/>
  <c r="J83" i="2" s="1"/>
  <c r="E83" i="2"/>
  <c r="H82" i="2"/>
  <c r="I82" i="2" s="1"/>
  <c r="E82" i="2"/>
  <c r="H81" i="2"/>
  <c r="E81" i="2"/>
  <c r="H80" i="2"/>
  <c r="E80" i="2"/>
  <c r="H79" i="2"/>
  <c r="E79" i="2"/>
  <c r="H78" i="2"/>
  <c r="I78" i="2" s="1"/>
  <c r="E78" i="2"/>
  <c r="H77" i="2"/>
  <c r="I77" i="2" s="1"/>
  <c r="E77" i="2"/>
  <c r="H76" i="2"/>
  <c r="J76" i="2" s="1"/>
  <c r="E76" i="2"/>
  <c r="H75" i="2"/>
  <c r="J75" i="2" s="1"/>
  <c r="E75" i="2"/>
  <c r="H74" i="2"/>
  <c r="I74" i="2" s="1"/>
  <c r="E74" i="2"/>
  <c r="H73" i="2"/>
  <c r="E73" i="2"/>
  <c r="H72" i="2"/>
  <c r="E72" i="2"/>
  <c r="H71" i="2"/>
  <c r="E71" i="2"/>
  <c r="H70" i="2"/>
  <c r="I70" i="2" s="1"/>
  <c r="E70" i="2"/>
  <c r="H69" i="2"/>
  <c r="I69" i="2" s="1"/>
  <c r="E69" i="2"/>
  <c r="H68" i="2"/>
  <c r="I68" i="2" s="1"/>
  <c r="E68" i="2"/>
  <c r="H67" i="2"/>
  <c r="I67" i="2" s="1"/>
  <c r="E67" i="2"/>
  <c r="H66" i="2"/>
  <c r="J66" i="2" s="1"/>
  <c r="E66" i="2"/>
  <c r="H65" i="2"/>
  <c r="E65" i="2"/>
  <c r="H64" i="2"/>
  <c r="E64" i="2"/>
  <c r="H61" i="2"/>
  <c r="E61" i="2"/>
  <c r="H60" i="2"/>
  <c r="I60" i="2" s="1"/>
  <c r="E60" i="2"/>
  <c r="H59" i="2"/>
  <c r="I59" i="2" s="1"/>
  <c r="E59" i="2"/>
  <c r="H58" i="2"/>
  <c r="I58" i="2" s="1"/>
  <c r="E58" i="2"/>
  <c r="H57" i="2"/>
  <c r="I57" i="2" s="1"/>
  <c r="E57" i="2"/>
  <c r="H56" i="2"/>
  <c r="I56" i="2" s="1"/>
  <c r="E56" i="2"/>
  <c r="H55" i="2"/>
  <c r="E55" i="2"/>
  <c r="H54" i="2"/>
  <c r="E54" i="2"/>
  <c r="H53" i="2"/>
  <c r="E53" i="2"/>
  <c r="H52" i="2"/>
  <c r="I52" i="2" s="1"/>
  <c r="E52" i="2"/>
  <c r="H51" i="2"/>
  <c r="I51" i="2" s="1"/>
  <c r="E51" i="2"/>
  <c r="H50" i="2"/>
  <c r="I50" i="2" s="1"/>
  <c r="E50" i="2"/>
  <c r="H49" i="2"/>
  <c r="I49" i="2" s="1"/>
  <c r="E49" i="2"/>
  <c r="H48" i="2"/>
  <c r="I48" i="2" s="1"/>
  <c r="E48" i="2"/>
  <c r="H47" i="2"/>
  <c r="E47" i="2"/>
  <c r="H46" i="2"/>
  <c r="E46" i="2"/>
  <c r="H45" i="2"/>
  <c r="I45" i="2" s="1"/>
  <c r="E45" i="2"/>
  <c r="H44" i="2"/>
  <c r="I44" i="2" s="1"/>
  <c r="E44" i="2"/>
  <c r="H43" i="2"/>
  <c r="I43" i="2" s="1"/>
  <c r="E43" i="2"/>
  <c r="H42" i="2"/>
  <c r="I42" i="2" s="1"/>
  <c r="E42" i="2"/>
  <c r="H41" i="2"/>
  <c r="E41" i="2"/>
  <c r="H40" i="2"/>
  <c r="I40" i="2" s="1"/>
  <c r="E40" i="2"/>
  <c r="H39" i="2"/>
  <c r="E39" i="2"/>
  <c r="H38" i="2"/>
  <c r="E38" i="2"/>
  <c r="H37" i="2"/>
  <c r="E37" i="2"/>
  <c r="H36" i="2"/>
  <c r="I36" i="2" s="1"/>
  <c r="E36" i="2"/>
  <c r="H35" i="2"/>
  <c r="I35" i="2" s="1"/>
  <c r="E35" i="2"/>
  <c r="H34" i="2"/>
  <c r="I34" i="2" s="1"/>
  <c r="E34" i="2"/>
  <c r="H33" i="2"/>
  <c r="I33" i="2" s="1"/>
  <c r="E33" i="2"/>
  <c r="H32" i="2"/>
  <c r="I32" i="2" s="1"/>
  <c r="E32" i="2"/>
  <c r="H31" i="2"/>
  <c r="E31" i="2"/>
  <c r="H30" i="2"/>
  <c r="I30" i="2" s="1"/>
  <c r="E30" i="2"/>
  <c r="H29" i="2"/>
  <c r="E29" i="2"/>
  <c r="H28" i="2"/>
  <c r="I28" i="2" s="1"/>
  <c r="E28" i="2"/>
  <c r="H27" i="2"/>
  <c r="I27" i="2" s="1"/>
  <c r="E27" i="2"/>
  <c r="H26" i="2"/>
  <c r="I26" i="2" s="1"/>
  <c r="E26" i="2"/>
  <c r="H25" i="2"/>
  <c r="I25" i="2" s="1"/>
  <c r="E25" i="2"/>
  <c r="H24" i="2"/>
  <c r="I24" i="2" s="1"/>
  <c r="E24" i="2"/>
  <c r="H23" i="2"/>
  <c r="E23" i="2"/>
  <c r="H22" i="2"/>
  <c r="E22" i="2"/>
  <c r="H21" i="2"/>
  <c r="E21" i="2"/>
  <c r="H20" i="2"/>
  <c r="I20" i="2" s="1"/>
  <c r="E20" i="2"/>
  <c r="H19" i="2"/>
  <c r="I19" i="2" s="1"/>
  <c r="E19" i="2"/>
  <c r="I18" i="2"/>
  <c r="E18" i="2"/>
  <c r="H17" i="2"/>
  <c r="J17" i="2" s="1"/>
  <c r="E17" i="2"/>
  <c r="H16" i="2"/>
  <c r="I16" i="2" s="1"/>
  <c r="E16" i="2"/>
  <c r="H15" i="2"/>
  <c r="E15" i="2"/>
  <c r="H14" i="2"/>
  <c r="I14" i="2" s="1"/>
  <c r="E14" i="2"/>
  <c r="H13" i="2"/>
  <c r="E13" i="2"/>
  <c r="H12" i="2"/>
  <c r="I12" i="2" s="1"/>
  <c r="E12" i="2"/>
  <c r="H11" i="2"/>
  <c r="I11" i="2" s="1"/>
  <c r="E11" i="2"/>
  <c r="H10" i="2"/>
  <c r="I10" i="2" s="1"/>
  <c r="E10" i="2"/>
  <c r="H9" i="2"/>
  <c r="E9" i="2"/>
  <c r="H8" i="2"/>
  <c r="I8" i="2" s="1"/>
  <c r="E8" i="2"/>
  <c r="H7" i="2"/>
  <c r="E7" i="2"/>
  <c r="H6" i="2"/>
  <c r="I6" i="2" s="1"/>
  <c r="E6" i="2"/>
  <c r="H5" i="2"/>
  <c r="J5" i="2" s="1"/>
  <c r="E5" i="2"/>
  <c r="H4" i="2"/>
  <c r="J4" i="2" s="1"/>
  <c r="E4" i="2"/>
  <c r="H3" i="2"/>
  <c r="J3" i="2" s="1"/>
  <c r="E3" i="2"/>
  <c r="H2" i="2"/>
  <c r="J2" i="2" s="1"/>
  <c r="E2" i="2"/>
  <c r="I328" i="2" l="1"/>
  <c r="I823" i="2"/>
  <c r="I410" i="2"/>
  <c r="I488" i="2"/>
  <c r="I565" i="2"/>
  <c r="J416" i="2"/>
  <c r="I597" i="2"/>
  <c r="I140" i="2"/>
  <c r="J741" i="2"/>
  <c r="J312" i="2"/>
  <c r="J362" i="2"/>
  <c r="I747" i="2"/>
  <c r="I787" i="2"/>
  <c r="I3" i="2"/>
  <c r="I781" i="2"/>
  <c r="I411" i="2"/>
  <c r="J434" i="2"/>
  <c r="I626" i="2"/>
  <c r="J797" i="2"/>
  <c r="J829" i="2"/>
  <c r="I153" i="2"/>
  <c r="J405" i="2"/>
  <c r="J526" i="2"/>
  <c r="I664" i="2"/>
  <c r="J701" i="2"/>
  <c r="J702" i="2" s="1"/>
  <c r="I66" i="2"/>
  <c r="J420" i="2"/>
  <c r="I542" i="2"/>
  <c r="I761" i="2"/>
  <c r="J424" i="2"/>
  <c r="J476" i="2"/>
  <c r="J685" i="2"/>
  <c r="J811" i="2"/>
  <c r="J843" i="2"/>
  <c r="I4" i="2"/>
  <c r="J368" i="2"/>
  <c r="I445" i="2"/>
  <c r="J507" i="2"/>
  <c r="I566" i="2"/>
  <c r="I642" i="2"/>
  <c r="J815" i="2"/>
  <c r="I2" i="2"/>
  <c r="I84" i="2"/>
  <c r="I139" i="2"/>
  <c r="I306" i="2"/>
  <c r="J306" i="2" s="1"/>
  <c r="J307" i="2" s="1"/>
  <c r="I378" i="2"/>
  <c r="J378" i="2" s="1"/>
  <c r="J407" i="2"/>
  <c r="I426" i="2"/>
  <c r="I451" i="2"/>
  <c r="I456" i="2"/>
  <c r="I481" i="2"/>
  <c r="I579" i="2"/>
  <c r="J728" i="2"/>
  <c r="I731" i="2"/>
  <c r="I737" i="2"/>
  <c r="I819" i="2"/>
  <c r="I288" i="2"/>
  <c r="I369" i="2"/>
  <c r="I429" i="2"/>
  <c r="I446" i="2"/>
  <c r="I454" i="2"/>
  <c r="I459" i="2"/>
  <c r="I497" i="2"/>
  <c r="I524" i="2"/>
  <c r="I549" i="2"/>
  <c r="I558" i="2"/>
  <c r="I567" i="2"/>
  <c r="I777" i="2"/>
  <c r="I831" i="2"/>
  <c r="J384" i="2"/>
  <c r="I534" i="2"/>
  <c r="I537" i="2"/>
  <c r="J537" i="2" s="1"/>
  <c r="I589" i="2"/>
  <c r="J672" i="2"/>
  <c r="I163" i="2"/>
  <c r="I370" i="2"/>
  <c r="J370" i="2" s="1"/>
  <c r="I450" i="2"/>
  <c r="I460" i="2"/>
  <c r="I474" i="2"/>
  <c r="I525" i="2"/>
  <c r="I550" i="2"/>
  <c r="I559" i="2"/>
  <c r="I835" i="2"/>
  <c r="I841" i="2"/>
  <c r="I76" i="2"/>
  <c r="I355" i="2"/>
  <c r="I455" i="2"/>
  <c r="I535" i="2"/>
  <c r="I654" i="2"/>
  <c r="I9" i="2"/>
  <c r="I17" i="2"/>
  <c r="I41" i="2"/>
  <c r="I75" i="2"/>
  <c r="I83" i="2"/>
  <c r="J94" i="2"/>
  <c r="J112" i="2"/>
  <c r="J120" i="2"/>
  <c r="J141" i="2"/>
  <c r="I166" i="2"/>
  <c r="J166" i="2" s="1"/>
  <c r="I170" i="2"/>
  <c r="I174" i="2"/>
  <c r="J174" i="2"/>
  <c r="I178" i="2"/>
  <c r="J178" i="2"/>
  <c r="I182" i="2"/>
  <c r="I186" i="2"/>
  <c r="J186" i="2"/>
  <c r="I190" i="2"/>
  <c r="I194" i="2"/>
  <c r="I198" i="2"/>
  <c r="I202" i="2"/>
  <c r="I206" i="2"/>
  <c r="I210" i="2"/>
  <c r="J210" i="2"/>
  <c r="I214" i="2"/>
  <c r="I218" i="2"/>
  <c r="I222" i="2"/>
  <c r="I226" i="2"/>
  <c r="J226" i="2"/>
  <c r="I230" i="2"/>
  <c r="J230" i="2"/>
  <c r="I234" i="2"/>
  <c r="I238" i="2"/>
  <c r="I242" i="2"/>
  <c r="I246" i="2"/>
  <c r="J246" i="2"/>
  <c r="I250" i="2"/>
  <c r="J250" i="2"/>
  <c r="I254" i="2"/>
  <c r="I258" i="2"/>
  <c r="J258" i="2"/>
  <c r="I262" i="2"/>
  <c r="I266" i="2"/>
  <c r="J266" i="2" s="1"/>
  <c r="I270" i="2"/>
  <c r="J270" i="2" s="1"/>
  <c r="I274" i="2"/>
  <c r="J274" i="2" s="1"/>
  <c r="I278" i="2"/>
  <c r="J278" i="2" s="1"/>
  <c r="J279" i="2" s="1"/>
  <c r="I303" i="2"/>
  <c r="I7" i="2"/>
  <c r="I15" i="2"/>
  <c r="J18" i="2"/>
  <c r="J19" i="2" s="1"/>
  <c r="J20" i="2" s="1"/>
  <c r="I23" i="2"/>
  <c r="I31" i="2"/>
  <c r="I39" i="2"/>
  <c r="I47" i="2"/>
  <c r="I55" i="2"/>
  <c r="I65" i="2"/>
  <c r="I73" i="2"/>
  <c r="J73" i="2" s="1"/>
  <c r="J74" i="2" s="1"/>
  <c r="I81" i="2"/>
  <c r="J81" i="2" s="1"/>
  <c r="J82" i="2" s="1"/>
  <c r="I89" i="2"/>
  <c r="I97" i="2"/>
  <c r="I107" i="2"/>
  <c r="J107" i="2" s="1"/>
  <c r="J108" i="2" s="1"/>
  <c r="I115" i="2"/>
  <c r="I123" i="2"/>
  <c r="I131" i="2"/>
  <c r="I144" i="2"/>
  <c r="I152" i="2"/>
  <c r="I160" i="2"/>
  <c r="J294" i="2"/>
  <c r="I294" i="2"/>
  <c r="I167" i="2"/>
  <c r="J171" i="2"/>
  <c r="I171" i="2"/>
  <c r="I175" i="2"/>
  <c r="J175" i="2" s="1"/>
  <c r="I179" i="2"/>
  <c r="J179" i="2" s="1"/>
  <c r="I183" i="2"/>
  <c r="I187" i="2"/>
  <c r="J187" i="2" s="1"/>
  <c r="J191" i="2"/>
  <c r="I191" i="2"/>
  <c r="I195" i="2"/>
  <c r="I199" i="2"/>
  <c r="I203" i="2"/>
  <c r="I207" i="2"/>
  <c r="I211" i="2"/>
  <c r="J211" i="2" s="1"/>
  <c r="I215" i="2"/>
  <c r="I219" i="2"/>
  <c r="I223" i="2"/>
  <c r="I227" i="2"/>
  <c r="J227" i="2" s="1"/>
  <c r="I231" i="2"/>
  <c r="J231" i="2" s="1"/>
  <c r="I235" i="2"/>
  <c r="I239" i="2"/>
  <c r="I243" i="2"/>
  <c r="J247" i="2"/>
  <c r="I247" i="2"/>
  <c r="I251" i="2"/>
  <c r="J251" i="2" s="1"/>
  <c r="J255" i="2"/>
  <c r="I255" i="2"/>
  <c r="J259" i="2"/>
  <c r="I259" i="2"/>
  <c r="I263" i="2"/>
  <c r="I267" i="2"/>
  <c r="I271" i="2"/>
  <c r="I275" i="2"/>
  <c r="I5" i="2"/>
  <c r="I13" i="2"/>
  <c r="I21" i="2"/>
  <c r="I29" i="2"/>
  <c r="I37" i="2"/>
  <c r="I53" i="2"/>
  <c r="I61" i="2"/>
  <c r="I71" i="2"/>
  <c r="J71" i="2" s="1"/>
  <c r="I79" i="2"/>
  <c r="J79" i="2" s="1"/>
  <c r="I87" i="2"/>
  <c r="I95" i="2"/>
  <c r="I105" i="2"/>
  <c r="J105" i="2" s="1"/>
  <c r="I113" i="2"/>
  <c r="I121" i="2"/>
  <c r="I129" i="2"/>
  <c r="I142" i="2"/>
  <c r="J145" i="2"/>
  <c r="J146" i="2" s="1"/>
  <c r="J147" i="2" s="1"/>
  <c r="J148" i="2" s="1"/>
  <c r="J149" i="2" s="1"/>
  <c r="I150" i="2"/>
  <c r="I158" i="2"/>
  <c r="J161" i="2"/>
  <c r="J162" i="2" s="1"/>
  <c r="I285" i="2"/>
  <c r="I295" i="2"/>
  <c r="J295" i="2" s="1"/>
  <c r="J296" i="2" s="1"/>
  <c r="J297" i="2" s="1"/>
  <c r="J298" i="2" s="1"/>
  <c r="I310" i="2"/>
  <c r="J310" i="2" s="1"/>
  <c r="J69" i="2"/>
  <c r="J70" i="2" s="1"/>
  <c r="J77" i="2"/>
  <c r="J78" i="2" s="1"/>
  <c r="J85" i="2"/>
  <c r="J86" i="2" s="1"/>
  <c r="J127" i="2"/>
  <c r="J128" i="2" s="1"/>
  <c r="I164" i="2"/>
  <c r="J164" i="2"/>
  <c r="I168" i="2"/>
  <c r="I172" i="2"/>
  <c r="J172" i="2" s="1"/>
  <c r="I176" i="2"/>
  <c r="I180" i="2"/>
  <c r="I184" i="2"/>
  <c r="I188" i="2"/>
  <c r="I192" i="2"/>
  <c r="J192" i="2"/>
  <c r="I196" i="2"/>
  <c r="I200" i="2"/>
  <c r="I204" i="2"/>
  <c r="I208" i="2"/>
  <c r="I212" i="2"/>
  <c r="I216" i="2"/>
  <c r="I220" i="2"/>
  <c r="J220" i="2"/>
  <c r="I224" i="2"/>
  <c r="J224" i="2"/>
  <c r="I228" i="2"/>
  <c r="I232" i="2"/>
  <c r="I236" i="2"/>
  <c r="I240" i="2"/>
  <c r="I244" i="2"/>
  <c r="J244" i="2"/>
  <c r="I248" i="2"/>
  <c r="J248" i="2" s="1"/>
  <c r="I252" i="2"/>
  <c r="I256" i="2"/>
  <c r="J256" i="2" s="1"/>
  <c r="I260" i="2"/>
  <c r="J260" i="2" s="1"/>
  <c r="I264" i="2"/>
  <c r="I268" i="2"/>
  <c r="I272" i="2"/>
  <c r="I276" i="2"/>
  <c r="J6" i="2"/>
  <c r="I286" i="2"/>
  <c r="I22" i="2"/>
  <c r="I38" i="2"/>
  <c r="I46" i="2"/>
  <c r="I54" i="2"/>
  <c r="I64" i="2"/>
  <c r="J64" i="2" s="1"/>
  <c r="J67" i="2"/>
  <c r="J68" i="2" s="1"/>
  <c r="I72" i="2"/>
  <c r="I80" i="2"/>
  <c r="I88" i="2"/>
  <c r="I96" i="2"/>
  <c r="I106" i="2"/>
  <c r="J109" i="2"/>
  <c r="J110" i="2" s="1"/>
  <c r="J111" i="2" s="1"/>
  <c r="I114" i="2"/>
  <c r="I122" i="2"/>
  <c r="I130" i="2"/>
  <c r="J130" i="2" s="1"/>
  <c r="I143" i="2"/>
  <c r="I151" i="2"/>
  <c r="J154" i="2"/>
  <c r="J155" i="2" s="1"/>
  <c r="J156" i="2" s="1"/>
  <c r="J157" i="2" s="1"/>
  <c r="I159" i="2"/>
  <c r="J165" i="2"/>
  <c r="I165" i="2"/>
  <c r="I169" i="2"/>
  <c r="J169" i="2" s="1"/>
  <c r="I173" i="2"/>
  <c r="J177" i="2"/>
  <c r="I177" i="2"/>
  <c r="I181" i="2"/>
  <c r="I185" i="2"/>
  <c r="I189" i="2"/>
  <c r="I193" i="2"/>
  <c r="J193" i="2" s="1"/>
  <c r="I197" i="2"/>
  <c r="I201" i="2"/>
  <c r="I205" i="2"/>
  <c r="J205" i="2" s="1"/>
  <c r="I209" i="2"/>
  <c r="I213" i="2"/>
  <c r="I217" i="2"/>
  <c r="I221" i="2"/>
  <c r="J221" i="2" s="1"/>
  <c r="J225" i="2"/>
  <c r="I225" i="2"/>
  <c r="J229" i="2"/>
  <c r="I229" i="2"/>
  <c r="I233" i="2"/>
  <c r="I237" i="2"/>
  <c r="I241" i="2"/>
  <c r="J245" i="2"/>
  <c r="I245" i="2"/>
  <c r="I249" i="2"/>
  <c r="I253" i="2"/>
  <c r="I257" i="2"/>
  <c r="I261" i="2"/>
  <c r="I265" i="2"/>
  <c r="J269" i="2"/>
  <c r="I269" i="2"/>
  <c r="I273" i="2"/>
  <c r="I277" i="2"/>
  <c r="I302" i="2"/>
  <c r="I283" i="2"/>
  <c r="J291" i="2"/>
  <c r="I293" i="2"/>
  <c r="I300" i="2"/>
  <c r="I316" i="2"/>
  <c r="I325" i="2"/>
  <c r="I332" i="2"/>
  <c r="I348" i="2"/>
  <c r="I364" i="2"/>
  <c r="I371" i="2"/>
  <c r="J376" i="2"/>
  <c r="I379" i="2"/>
  <c r="I399" i="2"/>
  <c r="J403" i="2"/>
  <c r="J425" i="2"/>
  <c r="I425" i="2"/>
  <c r="I453" i="2"/>
  <c r="J453" i="2" s="1"/>
  <c r="J289" i="2"/>
  <c r="J290" i="2" s="1"/>
  <c r="J305" i="2"/>
  <c r="J321" i="2"/>
  <c r="J322" i="2" s="1"/>
  <c r="J323" i="2" s="1"/>
  <c r="I393" i="2"/>
  <c r="J393" i="2" s="1"/>
  <c r="J394" i="2" s="1"/>
  <c r="J396" i="2"/>
  <c r="J433" i="2"/>
  <c r="I433" i="2"/>
  <c r="J377" i="2"/>
  <c r="I377" i="2"/>
  <c r="I387" i="2"/>
  <c r="J387" i="2" s="1"/>
  <c r="J388" i="2" s="1"/>
  <c r="I404" i="2"/>
  <c r="I441" i="2"/>
  <c r="I467" i="2"/>
  <c r="I319" i="2"/>
  <c r="I326" i="2"/>
  <c r="I335" i="2"/>
  <c r="I342" i="2"/>
  <c r="I351" i="2"/>
  <c r="I358" i="2"/>
  <c r="I367" i="2"/>
  <c r="I372" i="2"/>
  <c r="I382" i="2"/>
  <c r="I397" i="2"/>
  <c r="J397" i="2" s="1"/>
  <c r="J398" i="2" s="1"/>
  <c r="J401" i="2"/>
  <c r="I421" i="2"/>
  <c r="J421" i="2" s="1"/>
  <c r="J422" i="2" s="1"/>
  <c r="J423" i="2" s="1"/>
  <c r="I449" i="2"/>
  <c r="J282" i="2"/>
  <c r="I284" i="2"/>
  <c r="I292" i="2"/>
  <c r="J299" i="2"/>
  <c r="I301" i="2"/>
  <c r="I308" i="2"/>
  <c r="J308" i="2" s="1"/>
  <c r="J309" i="2" s="1"/>
  <c r="I317" i="2"/>
  <c r="I324" i="2"/>
  <c r="I333" i="2"/>
  <c r="I340" i="2"/>
  <c r="I349" i="2"/>
  <c r="I356" i="2"/>
  <c r="J363" i="2"/>
  <c r="I365" i="2"/>
  <c r="I375" i="2"/>
  <c r="J375" i="2" s="1"/>
  <c r="I385" i="2"/>
  <c r="J385" i="2" s="1"/>
  <c r="J386" i="2" s="1"/>
  <c r="J391" i="2"/>
  <c r="I391" i="2"/>
  <c r="I408" i="2"/>
  <c r="J280" i="2"/>
  <c r="J281" i="2" s="1"/>
  <c r="J313" i="2"/>
  <c r="J314" i="2" s="1"/>
  <c r="J315" i="2" s="1"/>
  <c r="J402" i="2"/>
  <c r="I402" i="2"/>
  <c r="J373" i="2"/>
  <c r="I373" i="2"/>
  <c r="J383" i="2"/>
  <c r="I383" i="2"/>
  <c r="J395" i="2"/>
  <c r="I395" i="2"/>
  <c r="J409" i="2"/>
  <c r="I409" i="2"/>
  <c r="J437" i="2"/>
  <c r="I437" i="2"/>
  <c r="I311" i="2"/>
  <c r="I327" i="2"/>
  <c r="J327" i="2" s="1"/>
  <c r="I343" i="2"/>
  <c r="J357" i="2"/>
  <c r="I359" i="2"/>
  <c r="I389" i="2"/>
  <c r="J389" i="2" s="1"/>
  <c r="J390" i="2" s="1"/>
  <c r="J392" i="2"/>
  <c r="I406" i="2"/>
  <c r="I417" i="2"/>
  <c r="J417" i="2" s="1"/>
  <c r="J418" i="2" s="1"/>
  <c r="J419" i="2" s="1"/>
  <c r="I427" i="2"/>
  <c r="J427" i="2" s="1"/>
  <c r="J428" i="2" s="1"/>
  <c r="J477" i="2"/>
  <c r="I477" i="2"/>
  <c r="J439" i="2"/>
  <c r="J440" i="2" s="1"/>
  <c r="I457" i="2"/>
  <c r="J457" i="2" s="1"/>
  <c r="J458" i="2" s="1"/>
  <c r="I475" i="2"/>
  <c r="J483" i="2"/>
  <c r="J484" i="2" s="1"/>
  <c r="I494" i="2"/>
  <c r="J548" i="2"/>
  <c r="I548" i="2"/>
  <c r="I554" i="2"/>
  <c r="J554" i="2" s="1"/>
  <c r="J555" i="2" s="1"/>
  <c r="J560" i="2"/>
  <c r="I560" i="2"/>
  <c r="I613" i="2"/>
  <c r="J613" i="2" s="1"/>
  <c r="J614" i="2" s="1"/>
  <c r="I627" i="2"/>
  <c r="J627" i="2" s="1"/>
  <c r="J628" i="2" s="1"/>
  <c r="I515" i="2"/>
  <c r="J536" i="2"/>
  <c r="I536" i="2"/>
  <c r="I588" i="2"/>
  <c r="I594" i="2"/>
  <c r="I600" i="2"/>
  <c r="J435" i="2"/>
  <c r="J436" i="2" s="1"/>
  <c r="I491" i="2"/>
  <c r="I510" i="2"/>
  <c r="I518" i="2"/>
  <c r="I521" i="2"/>
  <c r="J561" i="2"/>
  <c r="J564" i="2"/>
  <c r="I564" i="2"/>
  <c r="I570" i="2"/>
  <c r="I576" i="2"/>
  <c r="I631" i="2"/>
  <c r="J643" i="2"/>
  <c r="I643" i="2"/>
  <c r="I527" i="2"/>
  <c r="I540" i="2"/>
  <c r="J540" i="2" s="1"/>
  <c r="J541" i="2" s="1"/>
  <c r="I546" i="2"/>
  <c r="J546" i="2" s="1"/>
  <c r="J547" i="2" s="1"/>
  <c r="I552" i="2"/>
  <c r="I605" i="2"/>
  <c r="J605" i="2" s="1"/>
  <c r="J606" i="2" s="1"/>
  <c r="J607" i="2" s="1"/>
  <c r="I611" i="2"/>
  <c r="I617" i="2"/>
  <c r="I489" i="2"/>
  <c r="J489" i="2" s="1"/>
  <c r="J490" i="2" s="1"/>
  <c r="I508" i="2"/>
  <c r="J508" i="2" s="1"/>
  <c r="J509" i="2" s="1"/>
  <c r="I519" i="2"/>
  <c r="I580" i="2"/>
  <c r="J580" i="2" s="1"/>
  <c r="J581" i="2" s="1"/>
  <c r="J582" i="2" s="1"/>
  <c r="J583" i="2" s="1"/>
  <c r="I586" i="2"/>
  <c r="I592" i="2"/>
  <c r="J413" i="2"/>
  <c r="J414" i="2" s="1"/>
  <c r="I415" i="2"/>
  <c r="I431" i="2"/>
  <c r="J431" i="2" s="1"/>
  <c r="J432" i="2" s="1"/>
  <c r="I447" i="2"/>
  <c r="J447" i="2" s="1"/>
  <c r="J448" i="2" s="1"/>
  <c r="I461" i="2"/>
  <c r="J461" i="2" s="1"/>
  <c r="J462" i="2" s="1"/>
  <c r="J463" i="2" s="1"/>
  <c r="J464" i="2" s="1"/>
  <c r="J465" i="2" s="1"/>
  <c r="J466" i="2" s="1"/>
  <c r="I469" i="2"/>
  <c r="I479" i="2"/>
  <c r="J479" i="2" s="1"/>
  <c r="J480" i="2" s="1"/>
  <c r="I487" i="2"/>
  <c r="J487" i="2" s="1"/>
  <c r="J496" i="2"/>
  <c r="I498" i="2"/>
  <c r="J498" i="2" s="1"/>
  <c r="J499" i="2" s="1"/>
  <c r="J500" i="2" s="1"/>
  <c r="J501" i="2" s="1"/>
  <c r="J502" i="2" s="1"/>
  <c r="J503" i="2" s="1"/>
  <c r="I506" i="2"/>
  <c r="J506" i="2" s="1"/>
  <c r="J522" i="2"/>
  <c r="J523" i="2" s="1"/>
  <c r="I556" i="2"/>
  <c r="J556" i="2" s="1"/>
  <c r="J557" i="2" s="1"/>
  <c r="I562" i="2"/>
  <c r="I568" i="2"/>
  <c r="J568" i="2" s="1"/>
  <c r="J569" i="2" s="1"/>
  <c r="I621" i="2"/>
  <c r="I635" i="2"/>
  <c r="I538" i="2"/>
  <c r="I544" i="2"/>
  <c r="I596" i="2"/>
  <c r="I602" i="2"/>
  <c r="I609" i="2"/>
  <c r="I485" i="2"/>
  <c r="I504" i="2"/>
  <c r="I572" i="2"/>
  <c r="J572" i="2" s="1"/>
  <c r="J573" i="2" s="1"/>
  <c r="J574" i="2" s="1"/>
  <c r="J575" i="2" s="1"/>
  <c r="J578" i="2"/>
  <c r="I578" i="2"/>
  <c r="I584" i="2"/>
  <c r="I639" i="2"/>
  <c r="J543" i="2"/>
  <c r="J551" i="2"/>
  <c r="J608" i="2"/>
  <c r="I661" i="2"/>
  <c r="I683" i="2"/>
  <c r="I674" i="2"/>
  <c r="I677" i="2"/>
  <c r="I680" i="2"/>
  <c r="J513" i="2"/>
  <c r="J514" i="2" s="1"/>
  <c r="I619" i="2"/>
  <c r="I629" i="2"/>
  <c r="J632" i="2"/>
  <c r="J633" i="2" s="1"/>
  <c r="J634" i="2" s="1"/>
  <c r="I637" i="2"/>
  <c r="J637" i="2" s="1"/>
  <c r="J638" i="2" s="1"/>
  <c r="I645" i="2"/>
  <c r="I653" i="2"/>
  <c r="I665" i="2"/>
  <c r="J665" i="2" s="1"/>
  <c r="J666" i="2" s="1"/>
  <c r="I690" i="2"/>
  <c r="J690" i="2" s="1"/>
  <c r="J691" i="2" s="1"/>
  <c r="J692" i="2" s="1"/>
  <c r="J693" i="2" s="1"/>
  <c r="J694" i="2" s="1"/>
  <c r="J695" i="2" s="1"/>
  <c r="I659" i="2"/>
  <c r="I651" i="2"/>
  <c r="J590" i="2"/>
  <c r="J591" i="2" s="1"/>
  <c r="J598" i="2"/>
  <c r="J599" i="2" s="1"/>
  <c r="J615" i="2"/>
  <c r="J616" i="2" s="1"/>
  <c r="I663" i="2"/>
  <c r="J601" i="2"/>
  <c r="J610" i="2"/>
  <c r="J644" i="2"/>
  <c r="J655" i="2"/>
  <c r="J656" i="2" s="1"/>
  <c r="J657" i="2" s="1"/>
  <c r="J658" i="2" s="1"/>
  <c r="I667" i="2"/>
  <c r="I673" i="2"/>
  <c r="J673" i="2" s="1"/>
  <c r="I699" i="2"/>
  <c r="I706" i="2"/>
  <c r="J706" i="2" s="1"/>
  <c r="J707" i="2" s="1"/>
  <c r="J708" i="2" s="1"/>
  <c r="J709" i="2" s="1"/>
  <c r="J710" i="2" s="1"/>
  <c r="J711" i="2" s="1"/>
  <c r="J697" i="2"/>
  <c r="J698" i="2" s="1"/>
  <c r="J824" i="2"/>
  <c r="I824" i="2"/>
  <c r="J830" i="2"/>
  <c r="I830" i="2"/>
  <c r="I736" i="2"/>
  <c r="J744" i="2"/>
  <c r="I744" i="2"/>
  <c r="I752" i="2"/>
  <c r="I760" i="2"/>
  <c r="I768" i="2"/>
  <c r="I776" i="2"/>
  <c r="I784" i="2"/>
  <c r="I792" i="2"/>
  <c r="J792" i="2" s="1"/>
  <c r="J793" i="2" s="1"/>
  <c r="J800" i="2"/>
  <c r="I800" i="2"/>
  <c r="I808" i="2"/>
  <c r="I816" i="2"/>
  <c r="J816" i="2" s="1"/>
  <c r="J817" i="2" s="1"/>
  <c r="I700" i="2"/>
  <c r="J822" i="2"/>
  <c r="I822" i="2"/>
  <c r="I828" i="2"/>
  <c r="I742" i="2"/>
  <c r="J742" i="2" s="1"/>
  <c r="J743" i="2" s="1"/>
  <c r="I750" i="2"/>
  <c r="I758" i="2"/>
  <c r="I766" i="2"/>
  <c r="I774" i="2"/>
  <c r="J774" i="2" s="1"/>
  <c r="J775" i="2" s="1"/>
  <c r="I782" i="2"/>
  <c r="J782" i="2" s="1"/>
  <c r="J783" i="2" s="1"/>
  <c r="I790" i="2"/>
  <c r="I798" i="2"/>
  <c r="J798" i="2" s="1"/>
  <c r="J799" i="2" s="1"/>
  <c r="I806" i="2"/>
  <c r="I814" i="2"/>
  <c r="I834" i="2"/>
  <c r="J689" i="2"/>
  <c r="I696" i="2"/>
  <c r="J705" i="2"/>
  <c r="I712" i="2"/>
  <c r="J732" i="2"/>
  <c r="J733" i="2" s="1"/>
  <c r="J734" i="2" s="1"/>
  <c r="J735" i="2" s="1"/>
  <c r="J687" i="2"/>
  <c r="J688" i="2" s="1"/>
  <c r="J703" i="2"/>
  <c r="J704" i="2" s="1"/>
  <c r="J730" i="2"/>
  <c r="I740" i="2"/>
  <c r="I748" i="2"/>
  <c r="J748" i="2" s="1"/>
  <c r="J749" i="2" s="1"/>
  <c r="I756" i="2"/>
  <c r="I764" i="2"/>
  <c r="J772" i="2"/>
  <c r="I772" i="2"/>
  <c r="I780" i="2"/>
  <c r="I788" i="2"/>
  <c r="J788" i="2" s="1"/>
  <c r="J789" i="2" s="1"/>
  <c r="I796" i="2"/>
  <c r="I804" i="2"/>
  <c r="I812" i="2"/>
  <c r="J812" i="2" s="1"/>
  <c r="J813" i="2" s="1"/>
  <c r="I820" i="2"/>
  <c r="J820" i="2" s="1"/>
  <c r="J821" i="2" s="1"/>
  <c r="I826" i="2"/>
  <c r="J826" i="2" s="1"/>
  <c r="J827" i="2" s="1"/>
  <c r="I832" i="2"/>
  <c r="J832" i="2" s="1"/>
  <c r="J833" i="2" s="1"/>
  <c r="I738" i="2"/>
  <c r="J738" i="2" s="1"/>
  <c r="J739" i="2" s="1"/>
  <c r="I746" i="2"/>
  <c r="J746" i="2" s="1"/>
  <c r="I754" i="2"/>
  <c r="I762" i="2"/>
  <c r="J762" i="2" s="1"/>
  <c r="J763" i="2" s="1"/>
  <c r="I770" i="2"/>
  <c r="I778" i="2"/>
  <c r="J778" i="2" s="1"/>
  <c r="J779" i="2" s="1"/>
  <c r="J786" i="2"/>
  <c r="I786" i="2"/>
  <c r="I794" i="2"/>
  <c r="I802" i="2"/>
  <c r="J802" i="2" s="1"/>
  <c r="J803" i="2" s="1"/>
  <c r="I810" i="2"/>
  <c r="J818" i="2"/>
  <c r="I818" i="2"/>
  <c r="I836" i="2"/>
  <c r="I838" i="2"/>
  <c r="J838" i="2" s="1"/>
  <c r="J839" i="2" s="1"/>
  <c r="I840" i="2"/>
  <c r="I842" i="2"/>
  <c r="I844" i="2"/>
  <c r="I846" i="2"/>
  <c r="J846" i="2" s="1"/>
  <c r="J847" i="2" s="1"/>
  <c r="J635" i="2" l="1"/>
  <c r="J636" i="2" s="1"/>
  <c r="J629" i="2"/>
  <c r="J630" i="2" s="1"/>
  <c r="J631" i="2" s="1"/>
  <c r="J328" i="2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408" i="2"/>
  <c r="J527" i="2"/>
  <c r="J528" i="2" s="1"/>
  <c r="J206" i="2"/>
  <c r="J207" i="2" s="1"/>
  <c r="J208" i="2" s="1"/>
  <c r="J209" i="2" s="1"/>
  <c r="J170" i="2"/>
  <c r="J113" i="2"/>
  <c r="J114" i="2" s="1"/>
  <c r="J115" i="2" s="1"/>
  <c r="J116" i="2" s="1"/>
  <c r="J117" i="2" s="1"/>
  <c r="J118" i="2" s="1"/>
  <c r="J119" i="2" s="1"/>
  <c r="J173" i="2"/>
  <c r="J406" i="2"/>
  <c r="J840" i="2"/>
  <c r="J292" i="2"/>
  <c r="J834" i="2"/>
  <c r="J639" i="2"/>
  <c r="J640" i="2" s="1"/>
  <c r="J641" i="2" s="1"/>
  <c r="J121" i="2"/>
  <c r="J122" i="2" s="1"/>
  <c r="J123" i="2" s="1"/>
  <c r="J124" i="2" s="1"/>
  <c r="J125" i="2" s="1"/>
  <c r="J126" i="2" s="1"/>
  <c r="J267" i="2"/>
  <c r="J268" i="2" s="1"/>
  <c r="J814" i="2"/>
  <c r="J784" i="2"/>
  <c r="J785" i="2" s="1"/>
  <c r="J222" i="2"/>
  <c r="J223" i="2" s="1"/>
  <c r="J740" i="2"/>
  <c r="J467" i="2"/>
  <c r="J468" i="2" s="1"/>
  <c r="J469" i="2" s="1"/>
  <c r="J470" i="2" s="1"/>
  <c r="J471" i="2" s="1"/>
  <c r="J472" i="2" s="1"/>
  <c r="J473" i="2" s="1"/>
  <c r="J106" i="2"/>
  <c r="J736" i="2"/>
  <c r="J617" i="2"/>
  <c r="J618" i="2" s="1"/>
  <c r="J619" i="2" s="1"/>
  <c r="J620" i="2" s="1"/>
  <c r="J621" i="2" s="1"/>
  <c r="J622" i="2" s="1"/>
  <c r="J623" i="2" s="1"/>
  <c r="J491" i="2"/>
  <c r="J492" i="2" s="1"/>
  <c r="J493" i="2" s="1"/>
  <c r="J167" i="2"/>
  <c r="J168" i="2" s="1"/>
  <c r="J415" i="2"/>
  <c r="J576" i="2"/>
  <c r="J577" i="2" s="1"/>
  <c r="J404" i="2"/>
  <c r="J699" i="2"/>
  <c r="J95" i="2"/>
  <c r="J96" i="2" s="1"/>
  <c r="J97" i="2" s="1"/>
  <c r="J98" i="2" s="1"/>
  <c r="J99" i="2" s="1"/>
  <c r="J100" i="2" s="1"/>
  <c r="J232" i="2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794" i="2"/>
  <c r="J795" i="2" s="1"/>
  <c r="J796" i="2" s="1"/>
  <c r="J510" i="2"/>
  <c r="J511" i="2" s="1"/>
  <c r="J512" i="2" s="1"/>
  <c r="J600" i="2"/>
  <c r="J252" i="2"/>
  <c r="J253" i="2" s="1"/>
  <c r="J254" i="2" s="1"/>
  <c r="J142" i="2"/>
  <c r="J129" i="2"/>
  <c r="J271" i="2"/>
  <c r="J272" i="2" s="1"/>
  <c r="J273" i="2" s="1"/>
  <c r="J80" i="2"/>
  <c r="J780" i="2"/>
  <c r="J552" i="2"/>
  <c r="J553" i="2" s="1"/>
  <c r="J570" i="2"/>
  <c r="J571" i="2" s="1"/>
  <c r="J399" i="2"/>
  <c r="J400" i="2" s="1"/>
  <c r="J609" i="2"/>
  <c r="J562" i="2"/>
  <c r="J563" i="2" s="1"/>
  <c r="J257" i="2"/>
  <c r="J764" i="2"/>
  <c r="J765" i="2" s="1"/>
  <c r="J766" i="2" s="1"/>
  <c r="J767" i="2" s="1"/>
  <c r="J768" i="2" s="1"/>
  <c r="J769" i="2" s="1"/>
  <c r="J770" i="2" s="1"/>
  <c r="J771" i="2" s="1"/>
  <c r="J790" i="2"/>
  <c r="J602" i="2"/>
  <c r="J603" i="2" s="1"/>
  <c r="J604" i="2" s="1"/>
  <c r="J804" i="2"/>
  <c r="J805" i="2" s="1"/>
  <c r="J674" i="2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584" i="2"/>
  <c r="J585" i="2" s="1"/>
  <c r="J586" i="2" s="1"/>
  <c r="J587" i="2" s="1"/>
  <c r="J588" i="2" s="1"/>
  <c r="J592" i="2"/>
  <c r="J593" i="2" s="1"/>
  <c r="J594" i="2" s="1"/>
  <c r="J595" i="2" s="1"/>
  <c r="J596" i="2" s="1"/>
  <c r="J371" i="2"/>
  <c r="J300" i="2"/>
  <c r="J301" i="2" s="1"/>
  <c r="J302" i="2" s="1"/>
  <c r="J303" i="2" s="1"/>
  <c r="J194" i="2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180" i="2"/>
  <c r="J181" i="2" s="1"/>
  <c r="J182" i="2" s="1"/>
  <c r="J183" i="2" s="1"/>
  <c r="J184" i="2" s="1"/>
  <c r="J185" i="2" s="1"/>
  <c r="J7" i="2"/>
  <c r="J8" i="2" s="1"/>
  <c r="J9" i="2" s="1"/>
  <c r="J10" i="2" s="1"/>
  <c r="J11" i="2" s="1"/>
  <c r="J12" i="2" s="1"/>
  <c r="J13" i="2" s="1"/>
  <c r="J14" i="2" s="1"/>
  <c r="J15" i="2" s="1"/>
  <c r="J16" i="2" s="1"/>
  <c r="J544" i="2"/>
  <c r="J545" i="2" s="1"/>
  <c r="J611" i="2"/>
  <c r="J612" i="2" s="1"/>
  <c r="J72" i="2"/>
  <c r="J21" i="2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188" i="2"/>
  <c r="J189" i="2" s="1"/>
  <c r="J190" i="2" s="1"/>
  <c r="J364" i="2"/>
  <c r="J365" i="2" s="1"/>
  <c r="J366" i="2" s="1"/>
  <c r="J367" i="2" s="1"/>
  <c r="J667" i="2"/>
  <c r="J668" i="2" s="1"/>
  <c r="J669" i="2" s="1"/>
  <c r="J670" i="2" s="1"/>
  <c r="J671" i="2" s="1"/>
  <c r="J538" i="2"/>
  <c r="J539" i="2" s="1"/>
  <c r="J449" i="2"/>
  <c r="J261" i="2"/>
  <c r="J262" i="2" s="1"/>
  <c r="J263" i="2" s="1"/>
  <c r="J264" i="2" s="1"/>
  <c r="J265" i="2" s="1"/>
  <c r="J150" i="2"/>
  <c r="J151" i="2" s="1"/>
  <c r="J87" i="2"/>
  <c r="J88" i="2" s="1"/>
  <c r="J89" i="2" s="1"/>
  <c r="J90" i="2" s="1"/>
  <c r="J91" i="2" s="1"/>
  <c r="J92" i="2" s="1"/>
  <c r="J93" i="2" s="1"/>
  <c r="J645" i="2"/>
  <c r="J646" i="2" s="1"/>
  <c r="J647" i="2" s="1"/>
  <c r="J648" i="2" s="1"/>
  <c r="J649" i="2" s="1"/>
  <c r="J650" i="2" s="1"/>
  <c r="J651" i="2" s="1"/>
  <c r="J652" i="2" s="1"/>
  <c r="J653" i="2" s="1"/>
  <c r="J324" i="2"/>
  <c r="J283" i="2"/>
  <c r="J284" i="2" s="1"/>
  <c r="J285" i="2" s="1"/>
  <c r="J286" i="2" s="1"/>
  <c r="J287" i="2" s="1"/>
  <c r="J806" i="2"/>
  <c r="J807" i="2" s="1"/>
  <c r="J808" i="2" s="1"/>
  <c r="J809" i="2" s="1"/>
  <c r="J810" i="2" s="1"/>
  <c r="J358" i="2"/>
  <c r="J359" i="2" s="1"/>
  <c r="J360" i="2" s="1"/>
  <c r="J361" i="2" s="1"/>
  <c r="J275" i="2"/>
  <c r="J276" i="2" s="1"/>
  <c r="J277" i="2" s="1"/>
  <c r="J176" i="2"/>
  <c r="J249" i="2"/>
  <c r="J379" i="2"/>
  <c r="J380" i="2" s="1"/>
  <c r="J381" i="2" s="1"/>
  <c r="J316" i="2"/>
  <c r="J317" i="2" s="1"/>
  <c r="J318" i="2" s="1"/>
  <c r="J750" i="2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828" i="2"/>
  <c r="J659" i="2"/>
  <c r="J660" i="2" s="1"/>
  <c r="J661" i="2" s="1"/>
  <c r="J662" i="2" s="1"/>
  <c r="J663" i="2" s="1"/>
  <c r="J311" i="2"/>
  <c r="J212" i="2"/>
  <c r="J213" i="2" s="1"/>
  <c r="J214" i="2" s="1"/>
  <c r="J215" i="2" s="1"/>
  <c r="J216" i="2" s="1"/>
  <c r="J217" i="2" s="1"/>
  <c r="J218" i="2" s="1"/>
  <c r="J219" i="2" s="1"/>
  <c r="J131" i="2"/>
  <c r="J132" i="2" s="1"/>
  <c r="J133" i="2" s="1"/>
  <c r="J65" i="2"/>
  <c r="J712" i="2"/>
  <c r="J713" i="2" s="1"/>
  <c r="J714" i="2" s="1"/>
  <c r="J715" i="2" s="1"/>
  <c r="J716" i="2" s="1"/>
  <c r="J228" i="2"/>
  <c r="J158" i="2"/>
  <c r="J776" i="2"/>
  <c r="J515" i="2"/>
  <c r="J516" i="2" s="1"/>
  <c r="J517" i="2" s="1"/>
  <c r="J518" i="2" s="1"/>
  <c r="J519" i="2" s="1"/>
  <c r="J520" i="2" s="1"/>
  <c r="J441" i="2"/>
  <c r="J442" i="2" s="1"/>
  <c r="J443" i="2" s="1"/>
  <c r="J444" i="2" s="1"/>
  <c r="J101" i="2" l="1"/>
  <c r="J102" i="2"/>
  <c r="J60" i="2"/>
  <c r="J62" i="2"/>
  <c r="J529" i="2"/>
  <c r="J533" i="2" s="1"/>
  <c r="J532" i="2"/>
  <c r="J103" i="2" l="1"/>
  <c r="J104" i="2"/>
  <c r="J61" i="2"/>
  <c r="J6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Augusto Moreira Borges</author>
    <author>Marcelo Ferreira Rodrigues / SUPEC</author>
  </authors>
  <commentList>
    <comment ref="L32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2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4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5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6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7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8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9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0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4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5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6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7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8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9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50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51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52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53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54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A718" authorId="1" shapeId="0" xr:uid="{DBE1BB1D-4C70-4F9F-9E2F-2E099F19DAF0}">
      <text>
        <r>
          <rPr>
            <b/>
            <sz val="9"/>
            <color indexed="81"/>
            <rFont val="Segoe UI"/>
            <charset val="1"/>
          </rPr>
          <t xml:space="preserve">Conta inserida a pedido do Projeto BI </t>
        </r>
      </text>
    </comment>
    <comment ref="O718" authorId="1" shapeId="0" xr:uid="{A0428E7D-2874-4772-8997-7E50DDE0F77E}">
      <text>
        <r>
          <rPr>
            <b/>
            <sz val="9"/>
            <color indexed="81"/>
            <rFont val="Segoe UI"/>
            <charset val="1"/>
          </rPr>
          <t xml:space="preserve">Conta inserida a pedido do Projeto BI </t>
        </r>
      </text>
    </comment>
    <comment ref="A719" authorId="1" shapeId="0" xr:uid="{B6AE7F42-B1B1-4514-A1FD-ED3B25DB33D3}">
      <text>
        <r>
          <rPr>
            <b/>
            <sz val="9"/>
            <color indexed="81"/>
            <rFont val="Segoe UI"/>
            <charset val="1"/>
          </rPr>
          <t xml:space="preserve">Conta inserida a pedido do Projeto BI </t>
        </r>
      </text>
    </comment>
    <comment ref="O719" authorId="1" shapeId="0" xr:uid="{80D2B7DE-BE64-40D5-923E-C99D6807F775}">
      <text>
        <r>
          <rPr>
            <b/>
            <sz val="9"/>
            <color indexed="81"/>
            <rFont val="Segoe UI"/>
            <charset val="1"/>
          </rPr>
          <t xml:space="preserve">Conta inserida a pedido do Projeto BI </t>
        </r>
      </text>
    </comment>
    <comment ref="A720" authorId="1" shapeId="0" xr:uid="{F1202E4A-D9DB-4A37-BF6E-F16AE805B7BE}">
      <text>
        <r>
          <rPr>
            <b/>
            <sz val="9"/>
            <color indexed="81"/>
            <rFont val="Segoe UI"/>
            <charset val="1"/>
          </rPr>
          <t xml:space="preserve">Conta inserida a pedido do Projeto BI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Augusto Moreira Borges</author>
    <author>Marcelo Ferreira Rodrigues / SUPEC</author>
  </authors>
  <commentList>
    <comment ref="L32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2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7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8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39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0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2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3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4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5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6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7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8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49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50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51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52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53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L354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Carlos Augusto Moreira Borges:</t>
        </r>
        <r>
          <rPr>
            <sz val="9"/>
            <color indexed="81"/>
            <rFont val="Tahoma"/>
            <family val="2"/>
          </rPr>
          <t xml:space="preserve">
SNG e sistema de contratos estão juntos?</t>
        </r>
      </text>
    </comment>
    <comment ref="A718" authorId="1" shapeId="0" xr:uid="{B5023138-F59B-4897-8C9A-E98296BBFAC9}">
      <text>
        <r>
          <rPr>
            <b/>
            <sz val="9"/>
            <color indexed="81"/>
            <rFont val="Segoe UI"/>
            <charset val="1"/>
          </rPr>
          <t xml:space="preserve">Conta inserida a pedido do Projeto BI </t>
        </r>
      </text>
    </comment>
    <comment ref="O718" authorId="1" shapeId="0" xr:uid="{43F55B40-B7C4-413A-B9B5-C29A2A8E8F90}">
      <text>
        <r>
          <rPr>
            <b/>
            <sz val="9"/>
            <color indexed="81"/>
            <rFont val="Segoe UI"/>
            <charset val="1"/>
          </rPr>
          <t xml:space="preserve">Conta inserida a pedido do Projeto BI </t>
        </r>
      </text>
    </comment>
    <comment ref="A719" authorId="1" shapeId="0" xr:uid="{CF89741A-FC9B-4CD2-B5BD-C3D0571E5B1E}">
      <text>
        <r>
          <rPr>
            <b/>
            <sz val="9"/>
            <color indexed="81"/>
            <rFont val="Segoe UI"/>
            <charset val="1"/>
          </rPr>
          <t xml:space="preserve">Conta inserida a pedido do Projeto BI </t>
        </r>
      </text>
    </comment>
    <comment ref="O719" authorId="1" shapeId="0" xr:uid="{D3AF2D69-23CE-44DE-A206-8938D3A5ACD3}">
      <text>
        <r>
          <rPr>
            <b/>
            <sz val="9"/>
            <color indexed="81"/>
            <rFont val="Segoe UI"/>
            <charset val="1"/>
          </rPr>
          <t xml:space="preserve">Conta inserida a pedido do Projeto BI </t>
        </r>
      </text>
    </comment>
    <comment ref="A720" authorId="1" shapeId="0" xr:uid="{89E472F4-1ED0-46BF-9596-3ED2C44F57D1}">
      <text>
        <r>
          <rPr>
            <b/>
            <sz val="9"/>
            <color indexed="81"/>
            <rFont val="Segoe UI"/>
            <charset val="1"/>
          </rPr>
          <t xml:space="preserve">Conta inserida a pedido do Projeto BI </t>
        </r>
      </text>
    </comment>
    <comment ref="O720" authorId="1" shapeId="0" xr:uid="{15FB13A4-4393-4B19-8B71-6DE030E1A27C}">
      <text>
        <r>
          <rPr>
            <b/>
            <sz val="9"/>
            <color indexed="81"/>
            <rFont val="Segoe UI"/>
            <charset val="1"/>
          </rPr>
          <t xml:space="preserve">Conta inserida a pedido do Projeto BI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 Ferreira Rodrigues / SUPEC</author>
  </authors>
  <commentList>
    <comment ref="A2" authorId="0" shapeId="0" xr:uid="{189838C7-F3CB-49BF-A6F3-7B959C930730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12" authorId="0" shapeId="0" xr:uid="{7211F8F5-E6B4-4034-87D8-DF05FB7B984C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16" authorId="0" shapeId="0" xr:uid="{F97F71A0-7C0C-4C98-905B-5D1888398163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23" authorId="0" shapeId="0" xr:uid="{B8EF95F2-5A32-4156-B89B-C0793382D31C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33" authorId="0" shapeId="0" xr:uid="{07FE6E40-6ED4-4049-A526-B6A99A0545A2}">
      <text>
        <r>
          <rPr>
            <b/>
            <sz val="9"/>
            <color indexed="81"/>
            <rFont val="Segoe UI"/>
            <family val="2"/>
          </rPr>
          <t>Novo centro de custo que não foi contemplado no organograma, aguardando para posterior acerto.</t>
        </r>
      </text>
    </comment>
    <comment ref="A59" authorId="0" shapeId="0" xr:uid="{A3831D3F-5D86-496D-A172-00771809D973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60" authorId="0" shapeId="0" xr:uid="{FB4FD571-CCDF-4A71-A695-31B013FF77C3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74" authorId="0" shapeId="0" xr:uid="{F4EAD06E-FE63-49D9-8221-A975E98DDD06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77" authorId="0" shapeId="0" xr:uid="{A093AF50-0799-48BC-9258-5EFBE6B0FD36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78" authorId="0" shapeId="0" xr:uid="{2B505465-2856-4238-9E4F-F4978D47A55D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81" authorId="0" shapeId="0" xr:uid="{E5EC333E-A7E3-48C2-B814-EB2CB39E5DC2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82" authorId="0" shapeId="0" xr:uid="{A6597317-9F5A-41E9-A588-C3740B3ABC67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83" authorId="0" shapeId="0" xr:uid="{CD73C7EC-EAE1-4BC2-AC3F-F5A0E4424A5C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87" authorId="0" shapeId="0" xr:uid="{C6B0F0BB-D66D-4A5A-AF18-6A682C7261E9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  <comment ref="A119" authorId="0" shapeId="0" xr:uid="{53E50A94-AEA5-4CBD-AB81-5D43C94023AE}">
      <text>
        <r>
          <rPr>
            <b/>
            <sz val="9"/>
            <color indexed="81"/>
            <rFont val="Segoe UI"/>
            <family val="2"/>
          </rPr>
          <t>Não consta no Centro de Custo 2024</t>
        </r>
      </text>
    </comment>
  </commentList>
</comments>
</file>

<file path=xl/sharedStrings.xml><?xml version="1.0" encoding="utf-8"?>
<sst xmlns="http://schemas.openxmlformats.org/spreadsheetml/2006/main" count="18277" uniqueCount="3205">
  <si>
    <t>CONSELHO DIRETOR</t>
  </si>
  <si>
    <t>PRESIDÊNCIA</t>
  </si>
  <si>
    <t>PRESIDENCIA</t>
  </si>
  <si>
    <t>SUPERINTENDÊNCIA JURÍDICA</t>
  </si>
  <si>
    <t>GERÊNCIA DE CONTENCIOSO</t>
  </si>
  <si>
    <t>GERÊNCIA DE CONSULTORIAS</t>
  </si>
  <si>
    <t>SUPERINTENDÊNCIA DE EVENTOS</t>
  </si>
  <si>
    <t>GERÊNCIA DE EVENTOS</t>
  </si>
  <si>
    <t>BDV</t>
  </si>
  <si>
    <t>RENACH</t>
  </si>
  <si>
    <t>RENAVAM BIN FABRIL</t>
  </si>
  <si>
    <t>RENAVAM BIN RF</t>
  </si>
  <si>
    <t>SIBLOQ</t>
  </si>
  <si>
    <t>SICON</t>
  </si>
  <si>
    <t>SINOB</t>
  </si>
  <si>
    <t>SIPLAV</t>
  </si>
  <si>
    <t>RNPA PESSOAS</t>
  </si>
  <si>
    <t>SIVVE</t>
  </si>
  <si>
    <t>SIDE GESTÃO OPERACIONAL</t>
  </si>
  <si>
    <t>MONITORAMENTO-RF</t>
  </si>
  <si>
    <t>GERÊNCIA OPERACIONAL</t>
  </si>
  <si>
    <t>SIRCOF REGISTROS</t>
  </si>
  <si>
    <t>GERÊNCIA DE TI</t>
  </si>
  <si>
    <t>GERÊNCIA DE CONDUTA DE MERCADO E RI</t>
  </si>
  <si>
    <t>SUPERINTENDÊNCIA DE ESTUDOS E PROJETOS</t>
  </si>
  <si>
    <t>GERÊNCIA ADMINISTRATIVA</t>
  </si>
  <si>
    <t>GERÊNCIA FINANCEIRA</t>
  </si>
  <si>
    <t>ESCRITÓRIO DE PROJETOS</t>
  </si>
  <si>
    <t>REVISTA DE SEGUROS</t>
  </si>
  <si>
    <t>INSTITUCIONAL FEDERAÇÕES</t>
  </si>
  <si>
    <t>INSTITUCIONAL - SINDICATO</t>
  </si>
  <si>
    <t>CONTA</t>
  </si>
  <si>
    <t>D E N O M I N A C A O</t>
  </si>
  <si>
    <t>Natureza</t>
  </si>
  <si>
    <t>Classificação</t>
  </si>
  <si>
    <t>Grupo</t>
  </si>
  <si>
    <t>Caracteres</t>
  </si>
  <si>
    <t>Grupo conta</t>
  </si>
  <si>
    <t>Grupo Relatório</t>
  </si>
  <si>
    <t>1</t>
  </si>
  <si>
    <t>S</t>
  </si>
  <si>
    <t>ATIVO</t>
  </si>
  <si>
    <t>D</t>
  </si>
  <si>
    <t>Ativo</t>
  </si>
  <si>
    <t>1.1</t>
  </si>
  <si>
    <t>ATIVO CIRCULANTE</t>
  </si>
  <si>
    <t>1.1.1</t>
  </si>
  <si>
    <t>DISPONIVEL</t>
  </si>
  <si>
    <t>1.1.1.01</t>
  </si>
  <si>
    <t>CAIXA</t>
  </si>
  <si>
    <t>1.1.1.01.01</t>
  </si>
  <si>
    <t>FUNDOS FIXOS</t>
  </si>
  <si>
    <t>Caixa e equivalentes de caixa</t>
  </si>
  <si>
    <t>1.1.1.01.01.0001</t>
  </si>
  <si>
    <t>A</t>
  </si>
  <si>
    <t>FUNDO FIXO - RIO</t>
  </si>
  <si>
    <t>1.1.1.01.01.0002</t>
  </si>
  <si>
    <t>FUNDO FIXO - BRASILIA</t>
  </si>
  <si>
    <t>1.1.1.01.01.0003</t>
  </si>
  <si>
    <t>FUNDO FIXO - FENAPREVI</t>
  </si>
  <si>
    <t>1.1.1.01.01.0004</t>
  </si>
  <si>
    <t>FUNDO FIXO - FENSEG</t>
  </si>
  <si>
    <t>1.1.1.01.01.0005</t>
  </si>
  <si>
    <t>FUNDO FIXO - FENASAÚDE</t>
  </si>
  <si>
    <t>1.1.1.01.01.0006</t>
  </si>
  <si>
    <t>FUNDO FIXO - FENACAP</t>
  </si>
  <si>
    <t>1.1.1.01.01.0007</t>
  </si>
  <si>
    <t>FUNDO FIXO - SINDICATO</t>
  </si>
  <si>
    <t>1.1.1.01.01.0008</t>
  </si>
  <si>
    <t>FUNDO FIXO - CNSIMO</t>
  </si>
  <si>
    <t>1.1.1.01.01.0009</t>
  </si>
  <si>
    <t>FUNDO FIXO - CNSEG</t>
  </si>
  <si>
    <t>1.1.1.01.01.0010</t>
  </si>
  <si>
    <t>FUNDO FIXO - CNSPAR</t>
  </si>
  <si>
    <t>1.1.1.02</t>
  </si>
  <si>
    <t>BANCOS</t>
  </si>
  <si>
    <t>1.1.1.02.01</t>
  </si>
  <si>
    <t>BANCOS CONTA MOVIMENTO</t>
  </si>
  <si>
    <t>1.1.1.02.01.0001</t>
  </si>
  <si>
    <t>BCO ITAU S/A - 0477/32832</t>
  </si>
  <si>
    <t>1.1.1.02.01.0002</t>
  </si>
  <si>
    <t>BCO ITAU S/A - 0477/34759</t>
  </si>
  <si>
    <t>1.1.1.02.01.0003</t>
  </si>
  <si>
    <t>BCO CAIXA ECONOMICA - 0542/775715-0</t>
  </si>
  <si>
    <t>1.1.1.02.01.0004</t>
  </si>
  <si>
    <t>BCO BRASIL S/A - 1769/410</t>
  </si>
  <si>
    <t>1.1.1.02.01.0005</t>
  </si>
  <si>
    <t>BCO ITAU S/A - 0477/63974</t>
  </si>
  <si>
    <t>1.1.1.02.01.0006</t>
  </si>
  <si>
    <t>BCO BRADESCO - 2373/41669</t>
  </si>
  <si>
    <t>1.1.1.02.01.0007</t>
  </si>
  <si>
    <t>BCO BRADESCO - 2373/41818</t>
  </si>
  <si>
    <t>1.1.1.02.01.0008</t>
  </si>
  <si>
    <t>BCO ALFA S/A 0004/31276-2</t>
  </si>
  <si>
    <t>1.1.1.02.01.0009</t>
  </si>
  <si>
    <t>BCO BRASIL -1769/8188-4</t>
  </si>
  <si>
    <t>1.1.1.02.01.0010</t>
  </si>
  <si>
    <t>BCO BRADESCO 1803/415754-0 GRA</t>
  </si>
  <si>
    <t>1.1.1.02.01.0011</t>
  </si>
  <si>
    <t>BCO ITAU S/A - 0477/87124-8</t>
  </si>
  <si>
    <t>1.1.1.02.01.0012</t>
  </si>
  <si>
    <t>BCO ITAU S/A - 0477/87120-6</t>
  </si>
  <si>
    <t>1.1.1.02.01.0013</t>
  </si>
  <si>
    <t>BCO ITAU S/A - 0477/83522-7</t>
  </si>
  <si>
    <t>1.1.1.02.01.0014</t>
  </si>
  <si>
    <t>BCO ITAU S/A - 0477/87122-2</t>
  </si>
  <si>
    <t>1.1.1.02.01.0015</t>
  </si>
  <si>
    <t>BCO ITAU S/A - 0477/83314-9</t>
  </si>
  <si>
    <t>1.1.1.02.01.0016</t>
  </si>
  <si>
    <t>BCO BRADESCO-1803/35753-7</t>
  </si>
  <si>
    <t>1.1.1.02.01.0017</t>
  </si>
  <si>
    <t>BCO ITAU S/A - 0576 / 98277-1 - FENAPREVI</t>
  </si>
  <si>
    <t>1.1.1.02.01.0018</t>
  </si>
  <si>
    <t>BCO ITAU S/A - 6157/49765 - FENAPREVI</t>
  </si>
  <si>
    <t>1.1.1.02.01.0019</t>
  </si>
  <si>
    <t>BCO BRADESCO - 2373-6/1517-2 - FENSEG</t>
  </si>
  <si>
    <t>1.1.1.02.01.0020</t>
  </si>
  <si>
    <t>BCO BRADESCO - 2373-6/1931-3 - FENSEG</t>
  </si>
  <si>
    <t>1.1.1.02.01.0021</t>
  </si>
  <si>
    <t>BCO BRADESCO- 2373-6 / 1518-0 - FENASAUDE</t>
  </si>
  <si>
    <t>1.1.1.02.01.0022</t>
  </si>
  <si>
    <t>BCO BRASIL - 1769/8141-8 - FENACAP</t>
  </si>
  <si>
    <t>1.1.1.02.01.0023</t>
  </si>
  <si>
    <t>BCO BRADESCO - 63812-9 - SINDICATO</t>
  </si>
  <si>
    <t>1.1.1.02.01.0024</t>
  </si>
  <si>
    <t>BCO CAIXA ECONOMICA - 775794-0 - SINDICATO</t>
  </si>
  <si>
    <t>1.1.1.02.01.0025</t>
  </si>
  <si>
    <t>BCO BRADESCO - 64081-6 CS - SINDICATO</t>
  </si>
  <si>
    <t>1.1.1.02.01.0026</t>
  </si>
  <si>
    <t>BCO ITAU S/A - 33.000-5 - CRMS</t>
  </si>
  <si>
    <t>1.1.1.02.01.0027</t>
  </si>
  <si>
    <t>BCO SAFRA - 36.831-3 - CRMS</t>
  </si>
  <si>
    <t>1.1.1.02.01.0028</t>
  </si>
  <si>
    <t>BCO BRADESCO - 409.506-5 - CRMS</t>
  </si>
  <si>
    <t>1.1.1.02.01.0029</t>
  </si>
  <si>
    <t>BCO SANTANDER ABN - 29.000242-9 - CRMS</t>
  </si>
  <si>
    <t>1.1.1.02.01.0030</t>
  </si>
  <si>
    <t>BCO SANTANDER - 13.000942-4 - CRMS</t>
  </si>
  <si>
    <t>1.1.1.02.01.0031</t>
  </si>
  <si>
    <t>BCO ITAU S/A - 01.776-0 - CRMS</t>
  </si>
  <si>
    <t>1.1.1.02.01.0032</t>
  </si>
  <si>
    <t>BCO ALFA - 2700-6 - CRMS</t>
  </si>
  <si>
    <t>1.1.1.02.01.0033</t>
  </si>
  <si>
    <t>BCO ITAU BRASILIA - 4298/2793</t>
  </si>
  <si>
    <t>1.1.1.02.01.0034</t>
  </si>
  <si>
    <t>BCO BRASIL - 0001/500.460-8- FENAPREVI</t>
  </si>
  <si>
    <t>1.1.1.02.01.0035</t>
  </si>
  <si>
    <t>BCO BRADESCO 2373/415754-0 GRA</t>
  </si>
  <si>
    <t>1.1.1.02.01.0036</t>
  </si>
  <si>
    <t>BCO ABN AMRO REAL - CRMS</t>
  </si>
  <si>
    <t>1.1.1.02.01.0037</t>
  </si>
  <si>
    <t>BCO ITAU S/A - 0477/14958-7 - FENACAP</t>
  </si>
  <si>
    <t>1.1.1.02.01.0038</t>
  </si>
  <si>
    <t>BCO ITAU S/A - 0477/14873-8 - FENSEG</t>
  </si>
  <si>
    <t>1.1.1.02.01.0039</t>
  </si>
  <si>
    <t>BCO ITAU S/A - 0477/15102-1 - FENASAUDE</t>
  </si>
  <si>
    <t>1.1.1.02.01.0040</t>
  </si>
  <si>
    <t>BCO ITAU S/A - 0477/18954-2 - CNSIMO</t>
  </si>
  <si>
    <t>1.1.1.02.01.0041</t>
  </si>
  <si>
    <t>BCO ITAU S/A - 0477/18739-7 - CNSEG</t>
  </si>
  <si>
    <t>1.1.1.02.01.0042</t>
  </si>
  <si>
    <t>BCO ITAU S/A - 0477/20199-0 - SINDICATO</t>
  </si>
  <si>
    <t>1.1.1.02.01.0043</t>
  </si>
  <si>
    <t>BCO ITAU S/A - 0477/19735-4 - CNSPAR</t>
  </si>
  <si>
    <t>1.1.1.02.02</t>
  </si>
  <si>
    <t>INVESTIMENTOS</t>
  </si>
  <si>
    <t>1.1.1.02.02.0001</t>
  </si>
  <si>
    <t>INVESTIMENTOS - EQUIVALENTE DE CAIXA</t>
  </si>
  <si>
    <t>1.1.1.03</t>
  </si>
  <si>
    <t>APLICACOES FINANCEIRAS</t>
  </si>
  <si>
    <t>1.1.1.03.01</t>
  </si>
  <si>
    <t xml:space="preserve">TITULOS DE RENDA FIXA </t>
  </si>
  <si>
    <t>1.1.1.03.01.0001</t>
  </si>
  <si>
    <t>CDB/CDI</t>
  </si>
  <si>
    <t>1.1.1.03.02</t>
  </si>
  <si>
    <t>TITULOS RENDA VARIÁVEL</t>
  </si>
  <si>
    <t>1.1.1.03.02.0001</t>
  </si>
  <si>
    <t>ACOES</t>
  </si>
  <si>
    <t>1.1.1.03.03</t>
  </si>
  <si>
    <t>QUOTAS E FUNDOS DE INVESTIMENTOS</t>
  </si>
  <si>
    <t>1.1.1.03.03.0001</t>
  </si>
  <si>
    <t>1.1.1.03.04</t>
  </si>
  <si>
    <t>OUTRAS APLICACOES</t>
  </si>
  <si>
    <t>1.1.1.03.04.0001</t>
  </si>
  <si>
    <t>1.1.2</t>
  </si>
  <si>
    <t>CONTAS A RECEBER</t>
  </si>
  <si>
    <t>Contas a receber</t>
  </si>
  <si>
    <t>1.1.2.01</t>
  </si>
  <si>
    <t>1.1.2.01.01</t>
  </si>
  <si>
    <t xml:space="preserve">CONTAS A RECEBER </t>
  </si>
  <si>
    <t>1.1.2.01.01.0001</t>
  </si>
  <si>
    <t>1.1.2.01.02</t>
  </si>
  <si>
    <t>CONTAS A RECEBER - OUTROS CLIENTES</t>
  </si>
  <si>
    <t>1.1.2.01.02.0001</t>
  </si>
  <si>
    <t>1.1.2.01.99</t>
  </si>
  <si>
    <t>PROVISAO CREDITO LIQUID. DUVIDOSA</t>
  </si>
  <si>
    <t>C</t>
  </si>
  <si>
    <t>1.1.2.01.99.0001</t>
  </si>
  <si>
    <t>1.1.3</t>
  </si>
  <si>
    <t>CREDITOS A RECEBER</t>
  </si>
  <si>
    <t>Outros ativos</t>
  </si>
  <si>
    <t>1.1.3.01</t>
  </si>
  <si>
    <t>1.1.3.01.00</t>
  </si>
  <si>
    <t>FEDERACOES / SINDICATOS</t>
  </si>
  <si>
    <t>1.1.3.01.00.0001</t>
  </si>
  <si>
    <t>1.1.3.01.00.0002</t>
  </si>
  <si>
    <t>FENSEG</t>
  </si>
  <si>
    <t>1.1.3.01.00.0003</t>
  </si>
  <si>
    <t>FENASAUDE</t>
  </si>
  <si>
    <t>1.1.3.01.00.0004</t>
  </si>
  <si>
    <t>FENAPREVI</t>
  </si>
  <si>
    <t>1.1.3.01.00.0005</t>
  </si>
  <si>
    <t>FENACAP</t>
  </si>
  <si>
    <t>1.1.3.01.00.0006</t>
  </si>
  <si>
    <t>SINDICATO DAS SEGURADORAS</t>
  </si>
  <si>
    <t>1.1.3.01.00.0007</t>
  </si>
  <si>
    <t>CNSIMO</t>
  </si>
  <si>
    <t>1.1.3.01.00.0008</t>
  </si>
  <si>
    <t>CNSEG</t>
  </si>
  <si>
    <t>1.1.3.01.01</t>
  </si>
  <si>
    <t>CREDITOS A RECEBER - OUTROS</t>
  </si>
  <si>
    <t>1.1.3.01.01.0001</t>
  </si>
  <si>
    <t>BLOQUEIOS JUDICIAIS</t>
  </si>
  <si>
    <t>1.1.3.01.01.0002</t>
  </si>
  <si>
    <t>CREDITOS A RECEBER - IMOBILIARIA SEG. REUNIDAS</t>
  </si>
  <si>
    <t>1.1.3.01.01.0003</t>
  </si>
  <si>
    <t>OUTROS CREDITOS A RECEBER</t>
  </si>
  <si>
    <t>1.1.3.01.01.0004</t>
  </si>
  <si>
    <t>C/C EM MOEDA ESTRANGEIRA - DOLAR</t>
  </si>
  <si>
    <t>1.1.3.01.01.0005</t>
  </si>
  <si>
    <t>C/C EM MOEDA ESTRANGEIRA - EURO</t>
  </si>
  <si>
    <t>1.1.3.01.01.0006</t>
  </si>
  <si>
    <t>C/C EM MOEDA ESTRANGEIRA - DIVERSAS MOEDAS</t>
  </si>
  <si>
    <t>1.1.3.01.01.0007</t>
  </si>
  <si>
    <t>COMPRA DE MOEDA ESTRANGEIRA - DOLAR</t>
  </si>
  <si>
    <t>1.1.3.01.01.0008</t>
  </si>
  <si>
    <t>COMPRA DE MOEDA ESTRANGEIRA - EURO</t>
  </si>
  <si>
    <t>1.1.3.01.02</t>
  </si>
  <si>
    <t>RATEIOS A RECUPERAR</t>
  </si>
  <si>
    <t>1.1.3.01.02.0001</t>
  </si>
  <si>
    <t>1.1.3.01.03</t>
  </si>
  <si>
    <t>ADIANTAMENTOS A TERCEIROS</t>
  </si>
  <si>
    <t>1.1.3.01.03.0001</t>
  </si>
  <si>
    <t>1.1.3.01.04</t>
  </si>
  <si>
    <t>VALORES A RECUPERAR</t>
  </si>
  <si>
    <t>1.1.3.01.04.0001</t>
  </si>
  <si>
    <t>1.1.3.01.04.0002</t>
  </si>
  <si>
    <t>VALORES A RECUPERAR - GRAVAMES</t>
  </si>
  <si>
    <t>1.1.3.01.05</t>
  </si>
  <si>
    <t>ADIANTAMENTOS A FUNCIONARIOS</t>
  </si>
  <si>
    <t>1.1.3.01.05.0001</t>
  </si>
  <si>
    <t>ADIANTAMENTO SALARIAL</t>
  </si>
  <si>
    <t>1.1.3.01.05.0002</t>
  </si>
  <si>
    <t>ADIANTAMENTO DE FERIAS</t>
  </si>
  <si>
    <t>1.1.3.01.05.0003</t>
  </si>
  <si>
    <t>ANTECIPACAO DO 13 SALARIO</t>
  </si>
  <si>
    <t>1.1.3.01.05.0004</t>
  </si>
  <si>
    <t>ADIANTAMENTO DE GRATIFICACAO</t>
  </si>
  <si>
    <t>1.1.3.01.05.0005</t>
  </si>
  <si>
    <t>PIS - RENDIMENTO/ABONO</t>
  </si>
  <si>
    <t>1.1.3.01.05.0006</t>
  </si>
  <si>
    <t>OUTROS ADIANTAMENTOS</t>
  </si>
  <si>
    <t>1.1.3.01.05.0099</t>
  </si>
  <si>
    <t>TRANSITORIA DE FERIAS</t>
  </si>
  <si>
    <t>1.1.3.01.06</t>
  </si>
  <si>
    <t>TRIBUTOS A COMPENSAR</t>
  </si>
  <si>
    <t>1.1.3.01.06.0001</t>
  </si>
  <si>
    <t xml:space="preserve">IRRF A COMPENSAR </t>
  </si>
  <si>
    <t>1.1.3.01.06.0002</t>
  </si>
  <si>
    <t>RETENCAO LEI 10833 A COMPENSAR - 5952</t>
  </si>
  <si>
    <t>1.1.3.01.06.0003</t>
  </si>
  <si>
    <t>PIS S/ FATURAMENTO A COMPENSAR</t>
  </si>
  <si>
    <t>1.1.3.01.06.0004</t>
  </si>
  <si>
    <t>COFINS S/ FATURAMENTO A COMPENSAR</t>
  </si>
  <si>
    <t>1.1.3.01.06.0006</t>
  </si>
  <si>
    <t>ISS S/FATURAMENTO A COMPENSAR</t>
  </si>
  <si>
    <t>1.1.3.01.06.0007</t>
  </si>
  <si>
    <t>INSS S/ FOLHA A RECUPERAR</t>
  </si>
  <si>
    <t>1.1.3.01.07</t>
  </si>
  <si>
    <t>DEPOSITOS JUDICIAIS</t>
  </si>
  <si>
    <t>1.1.3.01.07.0001</t>
  </si>
  <si>
    <t>DEPOSITOS JUDICIAIS - TRABALHISTAS</t>
  </si>
  <si>
    <t>1.1.3.01.07.0002</t>
  </si>
  <si>
    <t>DEPOSITOS JUDICIAIS - FISCAIS</t>
  </si>
  <si>
    <t>1.1.3.01.08</t>
  </si>
  <si>
    <t xml:space="preserve">ANTECIPACAO DE ENCARGOS S/ 13 SALARIO </t>
  </si>
  <si>
    <t>1.1.3.01.08.0001</t>
  </si>
  <si>
    <t>ANTECIPACAO INSS S/ 13 SALARIO</t>
  </si>
  <si>
    <t>1.1.3.01.08.0002</t>
  </si>
  <si>
    <t>ANTECIPACAO FGTS S/ 13 SALARIO</t>
  </si>
  <si>
    <t>1.1.3.01.08.0003</t>
  </si>
  <si>
    <t>ANTECIPACAO PIS S/ 13 SALARIO</t>
  </si>
  <si>
    <t>1.1.4</t>
  </si>
  <si>
    <t>PARTES RELACIONADAS</t>
  </si>
  <si>
    <t>Transações com partes relacionadas (Ativo)</t>
  </si>
  <si>
    <t>1.1.4.01</t>
  </si>
  <si>
    <t>1.1.4.01.01</t>
  </si>
  <si>
    <t>1.1.4.01.01.0001</t>
  </si>
  <si>
    <t>1.1.5</t>
  </si>
  <si>
    <t>ALMOXARIFADO</t>
  </si>
  <si>
    <t>1.1.5.01</t>
  </si>
  <si>
    <t>1.1.5.01.01</t>
  </si>
  <si>
    <t>MATERIAIS DIVERSOS</t>
  </si>
  <si>
    <t>1.1.5.01.01.0001</t>
  </si>
  <si>
    <t>MATERIAL DE ESCRITORIO</t>
  </si>
  <si>
    <t>1.1.5.01.01.0002</t>
  </si>
  <si>
    <t>MATERIAL SERVICOS/COPA</t>
  </si>
  <si>
    <t>1.1.5.01.01.0003</t>
  </si>
  <si>
    <t>MATERIAL DE LIMPEZA</t>
  </si>
  <si>
    <t>1.1.5.01.01.0004</t>
  </si>
  <si>
    <t>MATERIAL DE INFORMATICA</t>
  </si>
  <si>
    <t>1.1.5.01.01.0005</t>
  </si>
  <si>
    <t>MATERIAL DE MANUTENCAO</t>
  </si>
  <si>
    <t>1.1.5.01.01.0006</t>
  </si>
  <si>
    <t>MATERIAL DE EVENTOS</t>
  </si>
  <si>
    <t>1.1.6</t>
  </si>
  <si>
    <t>DESPESAS ANTECIPADAS</t>
  </si>
  <si>
    <t>1.1.6.01</t>
  </si>
  <si>
    <t>1.1.6.01.01</t>
  </si>
  <si>
    <t>DESPESAS ADMINISTRATIVAS ANTECIPADAS</t>
  </si>
  <si>
    <t>1.1.6.01.01.0001</t>
  </si>
  <si>
    <t>AQUISICAO DE VALE-TRANSPORTE</t>
  </si>
  <si>
    <t>1.1.6.01.01.0002</t>
  </si>
  <si>
    <t>AQUISICAO DE VALE-REFEIÇÃO</t>
  </si>
  <si>
    <t>1.1.6.01.01.0003</t>
  </si>
  <si>
    <t>AQUISICAO DE VALE-ALIMENTAÇÃO</t>
  </si>
  <si>
    <t>1.1.6.01.01.0004</t>
  </si>
  <si>
    <t>1.1.7</t>
  </si>
  <si>
    <t>DESPESAS DO EXERCICIO SEGUINTE</t>
  </si>
  <si>
    <t>1.1.7.01</t>
  </si>
  <si>
    <t>VALORES A APROPRIAR</t>
  </si>
  <si>
    <t>1.1.7.01.01</t>
  </si>
  <si>
    <t>1.1.7.01.01.0001</t>
  </si>
  <si>
    <t>PREMIOS DE SEGUROS A APROPRIAR</t>
  </si>
  <si>
    <t>1.2</t>
  </si>
  <si>
    <t>ATIVO NAO CIRCULANTE</t>
  </si>
  <si>
    <t>1.2.1</t>
  </si>
  <si>
    <t>ATIVO REALIZAVEL A LONGO PRAZO</t>
  </si>
  <si>
    <t>1.2.1.01</t>
  </si>
  <si>
    <t>CREDITOS E VALORES</t>
  </si>
  <si>
    <t>1.2.1.01.01</t>
  </si>
  <si>
    <t>DIREITOS CREDITORIOS</t>
  </si>
  <si>
    <t>1.2.1.01.01.0001</t>
  </si>
  <si>
    <t>CONVENIO DPVAT</t>
  </si>
  <si>
    <t>1.2.1.01.01.0002</t>
  </si>
  <si>
    <t>DEPOSITOS JUDICIAIS-DPVAT</t>
  </si>
  <si>
    <t>1.2.1.01.02</t>
  </si>
  <si>
    <t>1.2.1.01.02.0001</t>
  </si>
  <si>
    <t>1.2.1.02</t>
  </si>
  <si>
    <t>1.2.1.02.01</t>
  </si>
  <si>
    <t>1.2.1.02.01.0001</t>
  </si>
  <si>
    <t>1.2.1.03</t>
  </si>
  <si>
    <t>EMPRESTIMOS A FUNCIONÁRIOS</t>
  </si>
  <si>
    <t>1.2.1.03.01</t>
  </si>
  <si>
    <t>1.2.1.03.01.0001</t>
  </si>
  <si>
    <t>1.2.2</t>
  </si>
  <si>
    <t>Investimentos</t>
  </si>
  <si>
    <t>1.2.2.01</t>
  </si>
  <si>
    <t>PARTICIPACOES EM SOCIEDADES</t>
  </si>
  <si>
    <t>1.2.2.01.01</t>
  </si>
  <si>
    <t>1.2.2.01.01.0001</t>
  </si>
  <si>
    <t>CLUBE DE SEG. E BANQUEIRO</t>
  </si>
  <si>
    <t>1.2.2.01.01.0002</t>
  </si>
  <si>
    <t>IMOBILIARIA SEGURADORAS REUNIDAS</t>
  </si>
  <si>
    <t>1.2.2.01.01.0003</t>
  </si>
  <si>
    <t>AGIO - IMOBILIARIA SEG. REUNIDAS</t>
  </si>
  <si>
    <t>1.2.2.01.01.0004</t>
  </si>
  <si>
    <t>1.2.2.01.01.0005</t>
  </si>
  <si>
    <t>CNSPAR</t>
  </si>
  <si>
    <t>1.2.2.01.01.0006</t>
  </si>
  <si>
    <t>CVENTURI EMPREENDIMENTOS</t>
  </si>
  <si>
    <t>1.2.2.02</t>
  </si>
  <si>
    <t>OBRAS DE ARTE</t>
  </si>
  <si>
    <t>1.2.2.02.01</t>
  </si>
  <si>
    <t>1.2.2.02.01.0001</t>
  </si>
  <si>
    <t>QUADROS</t>
  </si>
  <si>
    <t>1.2.2.02.01.0002</t>
  </si>
  <si>
    <t>SERIGRAFIAS</t>
  </si>
  <si>
    <t>1.2.2.02.01.0003</t>
  </si>
  <si>
    <t>ESTATUETAS</t>
  </si>
  <si>
    <t>1.2.3</t>
  </si>
  <si>
    <t>IMOBILIZADO</t>
  </si>
  <si>
    <t>Imobilizado</t>
  </si>
  <si>
    <t>1.2.3.01</t>
  </si>
  <si>
    <t>BENS EM OPERACAO</t>
  </si>
  <si>
    <t>1.2.3.01.01</t>
  </si>
  <si>
    <t>1.2.3.01.01.0001</t>
  </si>
  <si>
    <t>TERRENOS</t>
  </si>
  <si>
    <t>1.2.3.01.01.0002</t>
  </si>
  <si>
    <t>EDIFICACOES</t>
  </si>
  <si>
    <t>1.2.3.01.01.0003</t>
  </si>
  <si>
    <t>INSTALACOES</t>
  </si>
  <si>
    <t>1.2.3.01.01.0004</t>
  </si>
  <si>
    <t>MOVEIS E UTENSILIOS</t>
  </si>
  <si>
    <t>1.2.3.01.01.0005</t>
  </si>
  <si>
    <t>MAQUINAS E EQUIPAMENTOS</t>
  </si>
  <si>
    <t>1.2.3.01.01.0006</t>
  </si>
  <si>
    <t>EQUIPAMENTOS DE INFORMATICA</t>
  </si>
  <si>
    <t>1.2.3.01.01.0007</t>
  </si>
  <si>
    <t>MARCAS E PATENTES</t>
  </si>
  <si>
    <t>1.2.3.01.01.0009</t>
  </si>
  <si>
    <t>SOFTWARE</t>
  </si>
  <si>
    <t>1.2.3.01.01.0010</t>
  </si>
  <si>
    <t>VEICULOS</t>
  </si>
  <si>
    <t>1.2.3.01.01.0011</t>
  </si>
  <si>
    <t>BENFEITORIAS</t>
  </si>
  <si>
    <t>1.2.3.01.01.0012</t>
  </si>
  <si>
    <t>OBRAS EM ANDAMENTO</t>
  </si>
  <si>
    <t>1.2.3.01.02</t>
  </si>
  <si>
    <t>1.2.3.01.02.0001</t>
  </si>
  <si>
    <t xml:space="preserve">OBRAS EM ANDAMENTOS </t>
  </si>
  <si>
    <t>1.2.3.01.02.0002</t>
  </si>
  <si>
    <t>OBRAS EM ANDAMENTO MOVEIS E UTENSILIOS</t>
  </si>
  <si>
    <t>1.2.3.01.02.0003</t>
  </si>
  <si>
    <t>OBRAS EM ANDAMENTO MAQUINAS E EQUIPTOS</t>
  </si>
  <si>
    <t>1.2.3.01.02.0004</t>
  </si>
  <si>
    <t>OBRAS EM ANDAMENTO INSTALAÇÕES</t>
  </si>
  <si>
    <t>1.2.3.02</t>
  </si>
  <si>
    <t>DEPRECIACAO/AMORTIZACAO ACUMULADA</t>
  </si>
  <si>
    <t>1.2.3.02.01</t>
  </si>
  <si>
    <t>1.2.3.02.01.0002</t>
  </si>
  <si>
    <t>EDIFICACÖES</t>
  </si>
  <si>
    <t>1.2.3.02.01.0003</t>
  </si>
  <si>
    <t>INSTALACÖES</t>
  </si>
  <si>
    <t>1.2.3.02.01.0004</t>
  </si>
  <si>
    <t>1.2.3.02.01.0005</t>
  </si>
  <si>
    <t>1.2.3.02.01.0006</t>
  </si>
  <si>
    <t>1.2.3.02.01.0009</t>
  </si>
  <si>
    <t>1.2.3.02.01.0010</t>
  </si>
  <si>
    <t>1.2.3.02.01.0011</t>
  </si>
  <si>
    <t>1.2.3.05</t>
  </si>
  <si>
    <t>DESNVOLV., IMPLANT. E ADTO P/ AQUIS.DE IMOBILIZADO</t>
  </si>
  <si>
    <t>1.2.3.05.01</t>
  </si>
  <si>
    <t>1.2.3.05.01.0001</t>
  </si>
  <si>
    <t>ADTO PARA AQUISICAO DE IMOBILIZADO</t>
  </si>
  <si>
    <t>1.2.3.05.01.0002</t>
  </si>
  <si>
    <t>DESENVOLVIMENTO, IMPLANTAÇÃO DE SOFTWARE</t>
  </si>
  <si>
    <t>Intangível</t>
  </si>
  <si>
    <t>1.9</t>
  </si>
  <si>
    <t>ATIVO COMPENSACAO</t>
  </si>
  <si>
    <t>N/A</t>
  </si>
  <si>
    <t>1.9.1</t>
  </si>
  <si>
    <t>CONVENIO DPVAT / CRMS</t>
  </si>
  <si>
    <t>1.9.1.01</t>
  </si>
  <si>
    <t>DEBITOS OPERACIONAIS</t>
  </si>
  <si>
    <t>1.9.1.01.01</t>
  </si>
  <si>
    <t>1.9.1.01.01.0001</t>
  </si>
  <si>
    <t>RESULTADO DO PERIODO CRMS</t>
  </si>
  <si>
    <t>1.9.2</t>
  </si>
  <si>
    <t>APOLICE DE SEGUROS</t>
  </si>
  <si>
    <t>1.9.2.01</t>
  </si>
  <si>
    <t>MODALIDADES DE SEGUROS</t>
  </si>
  <si>
    <t>1.9.2.01.01</t>
  </si>
  <si>
    <t>1.9.2.01.01.0001</t>
  </si>
  <si>
    <t>SEGUROS CONTRA ROUBO E INCENDIO</t>
  </si>
  <si>
    <t>1.9.2.01.01.0002</t>
  </si>
  <si>
    <t>SEGURO DE RESPONSABILIDADE</t>
  </si>
  <si>
    <t>1.9.2.01.01.0003</t>
  </si>
  <si>
    <t>MORTE</t>
  </si>
  <si>
    <t>1.9.2.01.01.0004</t>
  </si>
  <si>
    <t>INVALIDEZ PERMANENTE</t>
  </si>
  <si>
    <t>1.9.2.01.01.0006</t>
  </si>
  <si>
    <t>DANOS ELETRICOS</t>
  </si>
  <si>
    <t>1.9.2.01.01.0007</t>
  </si>
  <si>
    <t>EQUIPAMENTOS ELETRONICOS</t>
  </si>
  <si>
    <t>1.9.2.01.01.0008</t>
  </si>
  <si>
    <t>LUCROS CESSANTES</t>
  </si>
  <si>
    <t>1.9.2.01.01.0009</t>
  </si>
  <si>
    <t>PERDA - PAGAMENTO DE ALUG</t>
  </si>
  <si>
    <t>1.9.2.01.01.0010</t>
  </si>
  <si>
    <t>QUEBRA DE VIDROS</t>
  </si>
  <si>
    <t>1.9.2.01.01.0011</t>
  </si>
  <si>
    <t>RECOMPOSICAO DE REGISTROS</t>
  </si>
  <si>
    <t>1.9.2.01.01.0012</t>
  </si>
  <si>
    <t>DESPESAS FIXAS</t>
  </si>
  <si>
    <t>1.9.2.01.01.0013</t>
  </si>
  <si>
    <t>TUMULTOS, GREVES, LOCK-OUTS</t>
  </si>
  <si>
    <t>2</t>
  </si>
  <si>
    <t>PASSIVO</t>
  </si>
  <si>
    <t>Passivo</t>
  </si>
  <si>
    <t>2.1</t>
  </si>
  <si>
    <t>PASSIVO CIRCULANTE</t>
  </si>
  <si>
    <t>2.1.1</t>
  </si>
  <si>
    <t>FORNECEDORES</t>
  </si>
  <si>
    <t>Fornecedor</t>
  </si>
  <si>
    <t>2.1.1.01</t>
  </si>
  <si>
    <t>2.1.1.01.01</t>
  </si>
  <si>
    <t>2.1.1.01.01.0001</t>
  </si>
  <si>
    <t>2.1.1.02</t>
  </si>
  <si>
    <t>TRANSITORIA DE RH</t>
  </si>
  <si>
    <t>2.1.1.02.01</t>
  </si>
  <si>
    <t>2.1.1.02.01.0001</t>
  </si>
  <si>
    <t>TRANSITORIA DO SEGURO DE SAUDE</t>
  </si>
  <si>
    <t>2.1.1.02.01.0002</t>
  </si>
  <si>
    <t>TRANSITORIA DO SEGURO ODONTOLOGICO</t>
  </si>
  <si>
    <t>2.1.1.02.01.0003</t>
  </si>
  <si>
    <t>TRANSITORIA DO SEGURO DE VIDA</t>
  </si>
  <si>
    <t>2.1.1.03</t>
  </si>
  <si>
    <t>Transações com partes relacionadas (Passivo)</t>
  </si>
  <si>
    <t>2.1.1.03.01</t>
  </si>
  <si>
    <t>2.1.1.03.01.0001</t>
  </si>
  <si>
    <t>2.1.2</t>
  </si>
  <si>
    <t>OBRIGACOES FISCAIS</t>
  </si>
  <si>
    <t>Obrigações tributárias</t>
  </si>
  <si>
    <t>2.1.2.01</t>
  </si>
  <si>
    <t>IMPOSTOS</t>
  </si>
  <si>
    <t>2.1.2.01.01</t>
  </si>
  <si>
    <t>IRRF</t>
  </si>
  <si>
    <t>2.1.2.01.01.0001</t>
  </si>
  <si>
    <t>IRRF - 0561 FUNCIONARIOS</t>
  </si>
  <si>
    <t>2.1.2.01.01.0002</t>
  </si>
  <si>
    <t>IRRF - 0588 AUTONOMOS</t>
  </si>
  <si>
    <t>2.1.2.01.01.0003</t>
  </si>
  <si>
    <t>IRRF - 1708 SOC. CIVIL</t>
  </si>
  <si>
    <t>2.1.2.01.01.0004</t>
  </si>
  <si>
    <t>IRRF - OUTROS</t>
  </si>
  <si>
    <t>2.1.2.01.01.0005</t>
  </si>
  <si>
    <t>IRRF S/ APLICAÇÃO FINANCEIRA</t>
  </si>
  <si>
    <t>2.1.2.01.02</t>
  </si>
  <si>
    <t>ISS</t>
  </si>
  <si>
    <t>2.1.2.01.02.0001</t>
  </si>
  <si>
    <t>ISSQN - 101-5 MOVTO ECONO</t>
  </si>
  <si>
    <t>2.1.2.01.02.0002</t>
  </si>
  <si>
    <t>ISS - RETENCAO DE TERCEIROS</t>
  </si>
  <si>
    <t>2.1.2.02</t>
  </si>
  <si>
    <t>CONTRIBUICOES</t>
  </si>
  <si>
    <t>2.1.2.02.01</t>
  </si>
  <si>
    <t>COFINS</t>
  </si>
  <si>
    <t>2.1.2.02.01.0001</t>
  </si>
  <si>
    <t>COFINS - 2172</t>
  </si>
  <si>
    <t>2.1.2.02.01.0002</t>
  </si>
  <si>
    <t>COFINS N.CUMULATIVO - 5856</t>
  </si>
  <si>
    <t>2.1.2.02.01.0003</t>
  </si>
  <si>
    <t>COFINS OUTROS</t>
  </si>
  <si>
    <t>2.1.2.02.02</t>
  </si>
  <si>
    <t>INSS</t>
  </si>
  <si>
    <t>2.1.2.02.02.0001</t>
  </si>
  <si>
    <t>INSS SOBRE FOLHA DE PAGAMENTO</t>
  </si>
  <si>
    <t>2.1.2.02.02.0002</t>
  </si>
  <si>
    <t>INSS SOBRE RENDIMENTO DE AUTONOMO</t>
  </si>
  <si>
    <t>2.1.2.02.02.0003</t>
  </si>
  <si>
    <t>INSS SOBRE MAO-DE-OBRA</t>
  </si>
  <si>
    <t>2.1.2.02.03</t>
  </si>
  <si>
    <t>FGTS</t>
  </si>
  <si>
    <t>2.1.2.02.03.0001</t>
  </si>
  <si>
    <t>FGTS A RECOLHER</t>
  </si>
  <si>
    <t>2.1.2.02.04</t>
  </si>
  <si>
    <t>PIS</t>
  </si>
  <si>
    <t>2.1.2.02.04.0001</t>
  </si>
  <si>
    <t>PIS S/ FOLHA DE PAGAMENTO</t>
  </si>
  <si>
    <t>2.1.2.02.05</t>
  </si>
  <si>
    <t>OUTRAS CONTRIBUICOES</t>
  </si>
  <si>
    <t>2.1.2.02.05.0001</t>
  </si>
  <si>
    <t>LEI 10.833/04 - 5952</t>
  </si>
  <si>
    <t>2.1.2.02.05.0002</t>
  </si>
  <si>
    <t>PIS LEI 10.833/04 - 5979</t>
  </si>
  <si>
    <t>2.1.2.02.05.0003</t>
  </si>
  <si>
    <t>CSLL LEI 10.833/04 - 5987</t>
  </si>
  <si>
    <t>2.1.2.02.05.0004</t>
  </si>
  <si>
    <t>COFINS LEI 10.833/04 - 5960</t>
  </si>
  <si>
    <t>2.1.2.03</t>
  </si>
  <si>
    <t>IMPOSTOS E CONTRIBUICOES S/ LUCRO</t>
  </si>
  <si>
    <t>2.1.2.03.01</t>
  </si>
  <si>
    <t>IMPOSTO DE RENDA S/ LUCRO</t>
  </si>
  <si>
    <t>2.1.2.03.01.0001</t>
  </si>
  <si>
    <t>2.1.2.03.02</t>
  </si>
  <si>
    <t>CONTRIBUIÇÃO SOCIAL S/ LUCRO</t>
  </si>
  <si>
    <t>2.1.2.03.02.0001</t>
  </si>
  <si>
    <t>2.1.3</t>
  </si>
  <si>
    <t>CONTAS A PAGAR</t>
  </si>
  <si>
    <t>Contas a pagar</t>
  </si>
  <si>
    <t>2.1.3.01</t>
  </si>
  <si>
    <t>OBRIGACOES A PAGAR</t>
  </si>
  <si>
    <t>2.1.3.01.01</t>
  </si>
  <si>
    <t>2.1.3.01.01.0001</t>
  </si>
  <si>
    <t>SALARIOS A PAGAR</t>
  </si>
  <si>
    <t>2.1.3.01.01.0002</t>
  </si>
  <si>
    <t>PENSAO ALIMENTICIA A PAGAR</t>
  </si>
  <si>
    <t>2.1.3.01.01.0003</t>
  </si>
  <si>
    <t>OUTRAS OBRIGACOES A PAGAR</t>
  </si>
  <si>
    <t>2.1.3.01.02</t>
  </si>
  <si>
    <t>CONTRIBUICOES A PAGAR</t>
  </si>
  <si>
    <t>2.1.3.01.02.0001</t>
  </si>
  <si>
    <t>CONTRIBUICAO SINDICAL A PAGAR</t>
  </si>
  <si>
    <t>2.1.3.01.02.0002</t>
  </si>
  <si>
    <t>MENSALIDADE SINDICAL</t>
  </si>
  <si>
    <t>2.1.3.01.02.0003</t>
  </si>
  <si>
    <t>CONTRIBUICAO CONFEDERATIVA</t>
  </si>
  <si>
    <t>2.1.3.01.02.0004</t>
  </si>
  <si>
    <t>CONTRIBUICAO ASSISTENCIAL</t>
  </si>
  <si>
    <t>2.1.3.01.03</t>
  </si>
  <si>
    <t>EMPRESTIMOS FINANCEIROS</t>
  </si>
  <si>
    <t>2.1.3.01.03.0001</t>
  </si>
  <si>
    <t>2.1.3.01.04</t>
  </si>
  <si>
    <t>DIVIDENDOS A PAGAR</t>
  </si>
  <si>
    <t>2.1.3.01.04.0001</t>
  </si>
  <si>
    <t>2.1.3.01.05</t>
  </si>
  <si>
    <t>FINANCIAMENTOS</t>
  </si>
  <si>
    <t>2.1.3.01.05.0001</t>
  </si>
  <si>
    <t>FINANCIAMENTOS PARA AQUISIÇÕES DE ATIVOS</t>
  </si>
  <si>
    <t>2.1.3.01.06</t>
  </si>
  <si>
    <t>ENCARGOS A APROPRIAR S/ FINANCIAMENTOS</t>
  </si>
  <si>
    <t>2.1.3.01.06.0001</t>
  </si>
  <si>
    <t>2.1.3.02</t>
  </si>
  <si>
    <t>OUTROS TITULOS A PAGAR</t>
  </si>
  <si>
    <t>2.1.3.02.01</t>
  </si>
  <si>
    <t>2.1.3.02.01.0001</t>
  </si>
  <si>
    <t>2.1.3.02.01.0002</t>
  </si>
  <si>
    <t>CARTAO DE CREDITO</t>
  </si>
  <si>
    <t>2.1.3.02.01.0003</t>
  </si>
  <si>
    <t>CARTAO DE CREDITO PASSAGENS ABALONE</t>
  </si>
  <si>
    <t>2.1.3.02.01.0004</t>
  </si>
  <si>
    <t>CARTAO DE CREDITO PASSAGENS RIOTRAVEL</t>
  </si>
  <si>
    <t>2.1.3.02.01.0005</t>
  </si>
  <si>
    <t>CARTAO DE CREDITO HOTELCARD</t>
  </si>
  <si>
    <t>2.1.3.03</t>
  </si>
  <si>
    <t>OUTROS VALORES A PAGAR</t>
  </si>
  <si>
    <t>2.1.3.03.01</t>
  </si>
  <si>
    <t>2.1.3.03.01.0001</t>
  </si>
  <si>
    <t>DEVOLUCAO - SNG / SIRCOF</t>
  </si>
  <si>
    <t>2.1.3.03.01.0002</t>
  </si>
  <si>
    <t>DEVOLUCAO - CONTRIB. SINDICAL SINCOR-RJ</t>
  </si>
  <si>
    <t>2.1.3.03.01.0003</t>
  </si>
  <si>
    <t>RECEBIMENTOS NAO IDENTIFICADOS</t>
  </si>
  <si>
    <t>2.1.3.03.01.0004</t>
  </si>
  <si>
    <t>TRANSITÓRIA DE COMPENSAÇÃO DE CAR/CAP</t>
  </si>
  <si>
    <t>2.1.4</t>
  </si>
  <si>
    <t>REPASSES DETRAN</t>
  </si>
  <si>
    <t>2.1.4.01</t>
  </si>
  <si>
    <t>2.1.4.01.01</t>
  </si>
  <si>
    <t>2.1.4.01.01.0001</t>
  </si>
  <si>
    <t>REPASSES DETRAN - AC</t>
  </si>
  <si>
    <t>2.1.4.01.01.0002</t>
  </si>
  <si>
    <t>REPASSES DETRAN - AL</t>
  </si>
  <si>
    <t>2.1.4.01.01.0003</t>
  </si>
  <si>
    <t>REPASSES DETRAN - AM</t>
  </si>
  <si>
    <t>2.1.4.01.01.0004</t>
  </si>
  <si>
    <t>REPASSES DETRAN - AP</t>
  </si>
  <si>
    <t>2.1.4.01.01.0005</t>
  </si>
  <si>
    <t>REPASSES DETRAN - BA</t>
  </si>
  <si>
    <t>2.1.4.01.01.0006</t>
  </si>
  <si>
    <t>REPASSES DETRAN - CE</t>
  </si>
  <si>
    <t>2.1.4.01.01.0007</t>
  </si>
  <si>
    <t>REPASSES DETRAN - DF</t>
  </si>
  <si>
    <t>2.1.4.01.01.0008</t>
  </si>
  <si>
    <t>REPASSES DETRAN - ES</t>
  </si>
  <si>
    <t>2.1.4.01.01.0009</t>
  </si>
  <si>
    <t>REPASSES DETRAN - GO</t>
  </si>
  <si>
    <t>2.1.4.01.01.0010</t>
  </si>
  <si>
    <t>REPASSES DETRAN - MA</t>
  </si>
  <si>
    <t>2.1.4.01.01.0011</t>
  </si>
  <si>
    <t>REPASSES DETRAN - MG</t>
  </si>
  <si>
    <t>2.1.4.01.01.0012</t>
  </si>
  <si>
    <t>REPASSES DETRAN - MS</t>
  </si>
  <si>
    <t>2.1.4.01.01.0013</t>
  </si>
  <si>
    <t>REPASSES DETRAN - MT</t>
  </si>
  <si>
    <t>2.1.4.01.01.0014</t>
  </si>
  <si>
    <t>REPASSES DETRAN - PA</t>
  </si>
  <si>
    <t>2.1.4.01.01.0015</t>
  </si>
  <si>
    <t>REPASSES DETRAN - PB</t>
  </si>
  <si>
    <t>2.1.4.01.01.0016</t>
  </si>
  <si>
    <t>REPASSES DETRAN - PE</t>
  </si>
  <si>
    <t>2.1.4.01.01.0017</t>
  </si>
  <si>
    <t>REPASSES DETRAN - PI</t>
  </si>
  <si>
    <t>2.1.4.01.01.0018</t>
  </si>
  <si>
    <t>REPASSES DETRAN - PR</t>
  </si>
  <si>
    <t>2.1.4.01.01.0019</t>
  </si>
  <si>
    <t>REPASSES DETRAN - RJ</t>
  </si>
  <si>
    <t>2.1.4.01.01.0020</t>
  </si>
  <si>
    <t>REPASSES DETRAN - RN</t>
  </si>
  <si>
    <t>2.1.4.01.01.0021</t>
  </si>
  <si>
    <t>REPASSES DETRAN - RO</t>
  </si>
  <si>
    <t>2.1.4.01.01.0022</t>
  </si>
  <si>
    <t>REPASSES DETRAN - RR</t>
  </si>
  <si>
    <t>2.1.4.01.01.0023</t>
  </si>
  <si>
    <t>REPASSES DETRAN - RS</t>
  </si>
  <si>
    <t>2.1.4.01.01.0024</t>
  </si>
  <si>
    <t>REPASSES DETRAN - SC</t>
  </si>
  <si>
    <t>2.1.4.01.01.0025</t>
  </si>
  <si>
    <t>REPASSES DETRAN - SE</t>
  </si>
  <si>
    <t>2.1.4.01.01.0026</t>
  </si>
  <si>
    <t>REPASSES DETRAN - SP</t>
  </si>
  <si>
    <t>2.1.4.01.01.0027</t>
  </si>
  <si>
    <t>REPASSES DETRAN - TO</t>
  </si>
  <si>
    <t>2.1.6</t>
  </si>
  <si>
    <t>PROVISOES</t>
  </si>
  <si>
    <t>Provisões e encargos trabalhistas</t>
  </si>
  <si>
    <t>2.1.6.01</t>
  </si>
  <si>
    <t>PROVISAO DE FERIAS</t>
  </si>
  <si>
    <t>2.1.6.01.01</t>
  </si>
  <si>
    <t>2.1.6.01.01.0001</t>
  </si>
  <si>
    <t>FERIAS</t>
  </si>
  <si>
    <t>2.1.6.01.01.0002</t>
  </si>
  <si>
    <t>INSS S/FERIAS</t>
  </si>
  <si>
    <t>2.1.6.01.01.0003</t>
  </si>
  <si>
    <t>FGTS S/FERIAS</t>
  </si>
  <si>
    <t>2.1.6.01.01.0004</t>
  </si>
  <si>
    <t>PIS S/FERIAS</t>
  </si>
  <si>
    <t>2.1.6.02</t>
  </si>
  <si>
    <t>PROVISAO DE 13º SALARIO</t>
  </si>
  <si>
    <t>2.1.6.02.01</t>
  </si>
  <si>
    <t>2.1.6.02.01.0001</t>
  </si>
  <si>
    <t>13º SALARIO</t>
  </si>
  <si>
    <t>2.1.6.02.01.0002</t>
  </si>
  <si>
    <t>INSS S/13º SALARIO</t>
  </si>
  <si>
    <t>2.1.6.02.01.0003</t>
  </si>
  <si>
    <t>FGTS S/13º SALARIO</t>
  </si>
  <si>
    <t>2.1.6.02.01.0004</t>
  </si>
  <si>
    <t>PIS S/13º SALARIO</t>
  </si>
  <si>
    <t>2.1.7</t>
  </si>
  <si>
    <t>PROGRAMA NACIONAL DE APOIO AO TRANSITO</t>
  </si>
  <si>
    <t>Programa Nac. Apoio ao Trânsito - PNAT</t>
  </si>
  <si>
    <t>2.1.7.01</t>
  </si>
  <si>
    <t>2.1.7.01.01</t>
  </si>
  <si>
    <t>2.1.7.01.01.0001</t>
  </si>
  <si>
    <t>2.1.8</t>
  </si>
  <si>
    <t>CONVENIO OIT</t>
  </si>
  <si>
    <t>2.1.8.01</t>
  </si>
  <si>
    <t>2.1.8.01.01</t>
  </si>
  <si>
    <t>PROJETO EDUCAÇÃO DO MICROSSEGURO</t>
  </si>
  <si>
    <t>2.1.8.01.01.0001</t>
  </si>
  <si>
    <t>2.1.9</t>
  </si>
  <si>
    <t>RECEITAS ANTECIPADAS</t>
  </si>
  <si>
    <t>2.1.9.01</t>
  </si>
  <si>
    <t>2.1.9.01.01</t>
  </si>
  <si>
    <t xml:space="preserve">RECEITAS OPERACIONAIS ANTECIPADAS </t>
  </si>
  <si>
    <t>2.1.9.01.01.0001</t>
  </si>
  <si>
    <t>2.2</t>
  </si>
  <si>
    <t>PASSIVO NAO CIRCULANTE</t>
  </si>
  <si>
    <t>2.2.1</t>
  </si>
  <si>
    <t>PROVISOES JUDICIAIS</t>
  </si>
  <si>
    <t>Contingências</t>
  </si>
  <si>
    <t>2.2.1.01</t>
  </si>
  <si>
    <t>CONTINGENCIAS</t>
  </si>
  <si>
    <t>2.2.1.01.01</t>
  </si>
  <si>
    <t>2.2.1.01.01.0001</t>
  </si>
  <si>
    <t>CONTINGENCIAS FISCAIS</t>
  </si>
  <si>
    <t>2.2.1.01.02</t>
  </si>
  <si>
    <t>PROVISOES TRABALHISTAS</t>
  </si>
  <si>
    <t>2.2.1.01.02.0001</t>
  </si>
  <si>
    <t>CONTINGENCIAS TRABALHISTAS</t>
  </si>
  <si>
    <t>2.2.1.01.03</t>
  </si>
  <si>
    <t>PROVISOES CIVEIS</t>
  </si>
  <si>
    <t>2.2.1.01.03.0001</t>
  </si>
  <si>
    <t>CONTINGENCIAS CIVEIS</t>
  </si>
  <si>
    <t>2.2.2</t>
  </si>
  <si>
    <t>2.2.2.01</t>
  </si>
  <si>
    <t>2.2.2.01.01</t>
  </si>
  <si>
    <t>2.2.2.01.01.0001</t>
  </si>
  <si>
    <t>2.2.3</t>
  </si>
  <si>
    <t>RECEITAS DIFERIDAS</t>
  </si>
  <si>
    <t>2.2.3.01</t>
  </si>
  <si>
    <t>2.2.3.01.01</t>
  </si>
  <si>
    <t>2.2.3.01.01.0001</t>
  </si>
  <si>
    <t>RECEITAS DIFERIDAS OBRAS IMOVEIS LOCADOS</t>
  </si>
  <si>
    <t>2.2.3.01.01.0002</t>
  </si>
  <si>
    <t>RECEITAS DIFERIDAS MENSALIDADES</t>
  </si>
  <si>
    <t>2.2.4</t>
  </si>
  <si>
    <t>EMPRESTIMOS E FINANCIAMENTOS</t>
  </si>
  <si>
    <t>Empréstimos e financiamentos</t>
  </si>
  <si>
    <t>2.2.4.01</t>
  </si>
  <si>
    <t>2.2.4.01.01</t>
  </si>
  <si>
    <t>2.2.4.01.01.0001</t>
  </si>
  <si>
    <t>2.2.4.01.02</t>
  </si>
  <si>
    <t>2.2.4.01.02.0001</t>
  </si>
  <si>
    <t>2.2.4.01.03</t>
  </si>
  <si>
    <t>2.2.4.01.03.0001</t>
  </si>
  <si>
    <t>2.4</t>
  </si>
  <si>
    <t>PATRIMONIO SOCIAL</t>
  </si>
  <si>
    <t>Patrimônio social</t>
  </si>
  <si>
    <t>2.4.1</t>
  </si>
  <si>
    <t>2.4.1.01</t>
  </si>
  <si>
    <t>2.4.1.01.01</t>
  </si>
  <si>
    <t>2.4.1.01.01.0001</t>
  </si>
  <si>
    <t>2.4.1.01.01.0002</t>
  </si>
  <si>
    <t>RESERVAS ESTATUTARIAS</t>
  </si>
  <si>
    <t>Reserva estatutária</t>
  </si>
  <si>
    <t>2.4.1.01.01.0003</t>
  </si>
  <si>
    <t>AJUSTES DE EXERCICIOS ANT</t>
  </si>
  <si>
    <t>Ajuste de exercícios anteriores</t>
  </si>
  <si>
    <t>2.4.1.02</t>
  </si>
  <si>
    <t>RESERVAS</t>
  </si>
  <si>
    <t>Reservas de capital</t>
  </si>
  <si>
    <t>2.4.1.02.01</t>
  </si>
  <si>
    <t>RESERVAS DE CAPITAL</t>
  </si>
  <si>
    <t>2.4.1.02.01.0001</t>
  </si>
  <si>
    <t>RESERVA DE REAVALIACAO</t>
  </si>
  <si>
    <t>Reserva de reavaliação</t>
  </si>
  <si>
    <t>2.4.1.02.01.0002</t>
  </si>
  <si>
    <t>DOACOES E SUBVENCOES</t>
  </si>
  <si>
    <t>Doações e subvenções</t>
  </si>
  <si>
    <t>2.4.1.03</t>
  </si>
  <si>
    <t>SUPERAVIT OU DEFICIT DO EXERCICIO</t>
  </si>
  <si>
    <t>D/C</t>
  </si>
  <si>
    <t>Superávit (défict) do exercício</t>
  </si>
  <si>
    <t>2.4.1.03.01</t>
  </si>
  <si>
    <t>2.4.1.03.01.0001</t>
  </si>
  <si>
    <t>SUPERAVIT OU DEFICIT DE EXERCICIO</t>
  </si>
  <si>
    <t>2.4.1.03.01.0002</t>
  </si>
  <si>
    <t>SUPERAVIT / DEFICIT ACUMULADOS</t>
  </si>
  <si>
    <t>Superávit (défict) acumulado</t>
  </si>
  <si>
    <t>2.5</t>
  </si>
  <si>
    <t>PATRIMONIO LIQUIDO</t>
  </si>
  <si>
    <t>2.5.1</t>
  </si>
  <si>
    <t>CAPITAL</t>
  </si>
  <si>
    <t>2.5.1.01</t>
  </si>
  <si>
    <t>CAPITAL SOCIAL</t>
  </si>
  <si>
    <t>2.5.1.01.01</t>
  </si>
  <si>
    <t>2.5.1.01.01.0001</t>
  </si>
  <si>
    <t>CAPITAL SOCIAL INTEGRALIZADO</t>
  </si>
  <si>
    <t>2.5.1.02</t>
  </si>
  <si>
    <t>AUMENTO DE CAPITAL SOCIAL</t>
  </si>
  <si>
    <t>2.5.1.02.01</t>
  </si>
  <si>
    <t>2.5.1.02.01.0001</t>
  </si>
  <si>
    <t>2.5.1.02.01.0002</t>
  </si>
  <si>
    <t>AÇÕES EM TESOURARIA</t>
  </si>
  <si>
    <t>2.5.2</t>
  </si>
  <si>
    <t>2.5.2.01</t>
  </si>
  <si>
    <t>2.5.2.01.01</t>
  </si>
  <si>
    <t>2.5.2.01.01.0001</t>
  </si>
  <si>
    <t>2.5.2.02</t>
  </si>
  <si>
    <t>RESERVAS DE LUCROS</t>
  </si>
  <si>
    <t>2.5.2.02.01</t>
  </si>
  <si>
    <t>2.5.2.02.01.0001</t>
  </si>
  <si>
    <t>RESERVA LEGAL</t>
  </si>
  <si>
    <t>2.5.2.02.01.0002</t>
  </si>
  <si>
    <t>RESERVA ESPECIAL</t>
  </si>
  <si>
    <t>2.5.2.02.01.0003</t>
  </si>
  <si>
    <t>RESERVA ESTATUTARIA</t>
  </si>
  <si>
    <t>2.5.2.02.01.0004</t>
  </si>
  <si>
    <t>RESERVA DE RETENÇAO DE LUCROS</t>
  </si>
  <si>
    <t>2.5.2.02.01.0005</t>
  </si>
  <si>
    <t>RESERVA DE AGIO</t>
  </si>
  <si>
    <t>2.5.2.02.01.0006</t>
  </si>
  <si>
    <t>DIVIDENDOS PROPOSTOS</t>
  </si>
  <si>
    <t>2.5.3</t>
  </si>
  <si>
    <t>LUCROS OU PREJUIZOS ACUMULADOS</t>
  </si>
  <si>
    <t>2.5.3.01</t>
  </si>
  <si>
    <t>2.5.3.01.01</t>
  </si>
  <si>
    <t>2.5.3.01.01.0001</t>
  </si>
  <si>
    <t>LUCROS DO EXERCICIO</t>
  </si>
  <si>
    <t>2.5.3.01.01.0002</t>
  </si>
  <si>
    <t>PREJUIZO DO EXERCICIO</t>
  </si>
  <si>
    <t>2.5.4</t>
  </si>
  <si>
    <t>AJUSTES DE AVALIAÇÃO PATRIMONIAL</t>
  </si>
  <si>
    <t>2.5.4.01</t>
  </si>
  <si>
    <t>2.5.4.01.01</t>
  </si>
  <si>
    <t>2.5.4.01.01.0001</t>
  </si>
  <si>
    <t>2.9</t>
  </si>
  <si>
    <t>PASSIVO COMPENSACAO</t>
  </si>
  <si>
    <t>2.9.1</t>
  </si>
  <si>
    <t>2.9.1.01</t>
  </si>
  <si>
    <t>CREDITOS OPERACIONAIS</t>
  </si>
  <si>
    <t>2.9.1.01.01</t>
  </si>
  <si>
    <t>2.9.1.01.01.0001</t>
  </si>
  <si>
    <t>2.9.2</t>
  </si>
  <si>
    <t>2.9.2.01</t>
  </si>
  <si>
    <t>2.9.2.01.01</t>
  </si>
  <si>
    <t>2.9.2.01.01.0001</t>
  </si>
  <si>
    <t>2.9.2.01.01.0002</t>
  </si>
  <si>
    <t>2.9.2.01.01.0003</t>
  </si>
  <si>
    <t>2.9.2.01.01.0004</t>
  </si>
  <si>
    <t>2.9.2.01.01.0006</t>
  </si>
  <si>
    <t>2.9.2.01.01.0007</t>
  </si>
  <si>
    <t>2.9.2.01.01.0008</t>
  </si>
  <si>
    <t>2.9.2.01.01.0009</t>
  </si>
  <si>
    <t>PERDA - PAGAMENTO DE ALUGUEL</t>
  </si>
  <si>
    <t>2.9.2.01.01.0010</t>
  </si>
  <si>
    <t>2.9.2.01.01.0011</t>
  </si>
  <si>
    <t>2.9.2.01.01.0012</t>
  </si>
  <si>
    <t>2.9.2.01.01.0013</t>
  </si>
  <si>
    <t>3</t>
  </si>
  <si>
    <t>RESULTADO OPERACIONAL</t>
  </si>
  <si>
    <t>Resultado operacional</t>
  </si>
  <si>
    <t>3.1</t>
  </si>
  <si>
    <t>RECEITAS</t>
  </si>
  <si>
    <t>Receita operacional líquida</t>
  </si>
  <si>
    <t>3.1.1</t>
  </si>
  <si>
    <t>RECEITAS OPERACIONAIS</t>
  </si>
  <si>
    <t>3.1.1.01</t>
  </si>
  <si>
    <t>RECEITAS SINDICAIS</t>
  </si>
  <si>
    <t>3.1.1.01.01</t>
  </si>
  <si>
    <t>3.1.1.01.01.0001</t>
  </si>
  <si>
    <t>3.1.1.01.01.0002</t>
  </si>
  <si>
    <t>ACRESCIMO LEGAL</t>
  </si>
  <si>
    <t>3.1.1.02</t>
  </si>
  <si>
    <t>RECEITAS ADMINISTRATIVAS</t>
  </si>
  <si>
    <t>3.1.1.02.01</t>
  </si>
  <si>
    <t>3.1.1.02.01.0001</t>
  </si>
  <si>
    <t>MENSALIDADES</t>
  </si>
  <si>
    <t>3.1.1.02.01.0002</t>
  </si>
  <si>
    <t>CONTRIBUICAO EXTRAORDINARIA</t>
  </si>
  <si>
    <t>3.1.1.03</t>
  </si>
  <si>
    <t>CONSULTAS / REGISTROS</t>
  </si>
  <si>
    <t>3.1.1.03.01</t>
  </si>
  <si>
    <t>3.1.1.03.01.0001</t>
  </si>
  <si>
    <t>RECEITAS CONSULTAS / REGISTROS</t>
  </si>
  <si>
    <t>3.1.1.06</t>
  </si>
  <si>
    <t>EVENTOS</t>
  </si>
  <si>
    <t>3.1.1.06.01</t>
  </si>
  <si>
    <t>3.1.1.06.01.0001</t>
  </si>
  <si>
    <t>RECEITAS INSCRICOES - GRATUITAS</t>
  </si>
  <si>
    <t>3.1.1.06.01.0002</t>
  </si>
  <si>
    <t>RECEITAS INSCRICOES - NAO ASSOCIADAS</t>
  </si>
  <si>
    <t>3.1.1.06.01.0003</t>
  </si>
  <si>
    <t>RECEITAS PATROCINIO</t>
  </si>
  <si>
    <t>3.1.1.07</t>
  </si>
  <si>
    <t>PUBLICIDADE</t>
  </si>
  <si>
    <t>3.1.1.07.01</t>
  </si>
  <si>
    <t>ESPACO NA REVISTA</t>
  </si>
  <si>
    <t>3.1.1.07.01.0001</t>
  </si>
  <si>
    <t>RECEITAS REVISTA DE SEGUROS</t>
  </si>
  <si>
    <t>3.1.1.08</t>
  </si>
  <si>
    <t>OUTRAS RECEITAS</t>
  </si>
  <si>
    <t>3.1.1.08.01</t>
  </si>
  <si>
    <t>3.1.1.08.01.0001</t>
  </si>
  <si>
    <t>RECUPERACAO DE DESPESAS</t>
  </si>
  <si>
    <t>3.1.1.08.01.0002</t>
  </si>
  <si>
    <t>ALUGUEL</t>
  </si>
  <si>
    <t>3.1.1.08.01.0003</t>
  </si>
  <si>
    <t>ACORDO OPERACIONAL CETIP</t>
  </si>
  <si>
    <t>3.1.1.08.01.0005</t>
  </si>
  <si>
    <t>DOACOES</t>
  </si>
  <si>
    <t>3.1.1.08.01.0006</t>
  </si>
  <si>
    <t>3.1.1.09</t>
  </si>
  <si>
    <t>PARTICIPACAO EM OUTRAS SOCIEDADES</t>
  </si>
  <si>
    <t>Resultado de equivalência patrimonial</t>
  </si>
  <si>
    <t>3.1.1.09.01</t>
  </si>
  <si>
    <t>3.1.1.09.01.0001</t>
  </si>
  <si>
    <t>3.1.1.10</t>
  </si>
  <si>
    <t>RECEITAS FINANCEIRAS</t>
  </si>
  <si>
    <t>Receitas financeiras</t>
  </si>
  <si>
    <t>3.1.1.10.01</t>
  </si>
  <si>
    <t>RECEITAS DE APLICACOES FINANCEIRAS</t>
  </si>
  <si>
    <t>3.1.1.10.01.0001</t>
  </si>
  <si>
    <t>RENDA FIXA</t>
  </si>
  <si>
    <t>3.1.1.10.01.0002</t>
  </si>
  <si>
    <t>RENDA VARIAVEL</t>
  </si>
  <si>
    <t>3.1.1.10.01.0003</t>
  </si>
  <si>
    <t>QUOTAS E FUNDOS</t>
  </si>
  <si>
    <t>3.1.1.10.01.0004</t>
  </si>
  <si>
    <t>3.1.1.10.02</t>
  </si>
  <si>
    <t>OUTRAS RECEITAS FINANCEIRAS</t>
  </si>
  <si>
    <t>3.1.1.10.02.0001</t>
  </si>
  <si>
    <t>DESCONTOS OBTIDOS</t>
  </si>
  <si>
    <t>3.1.1.10.02.0002</t>
  </si>
  <si>
    <t>JUROS E MULTAS RECEBIDOS</t>
  </si>
  <si>
    <t>3.1.1.10.02.0003</t>
  </si>
  <si>
    <t>VARIACAO CAMBIAL ATIVA</t>
  </si>
  <si>
    <t>3.1.1.10.02.0004</t>
  </si>
  <si>
    <t>VARIACAO MONETARIA ATIVA</t>
  </si>
  <si>
    <t>3.1.1.10.02.0005</t>
  </si>
  <si>
    <t>3.1.1.10.02.0006</t>
  </si>
  <si>
    <t>JUROS EMPRÉSTIMOS - SEG. MINEIRA</t>
  </si>
  <si>
    <t>3.1.1.10.02.0007</t>
  </si>
  <si>
    <t>ATUALIZACÃO MONETARIA - SEG. MINEIRA</t>
  </si>
  <si>
    <t>3.1.1.11</t>
  </si>
  <si>
    <t>RECEITAS MOU</t>
  </si>
  <si>
    <t>3.1.1.11.01</t>
  </si>
  <si>
    <t>3.1.1.11.01.0001</t>
  </si>
  <si>
    <t>RECUPERACAO RECEITAS MOU</t>
  </si>
  <si>
    <t>3.1.2</t>
  </si>
  <si>
    <t>RECEITAS NAO OPERACIONAIS</t>
  </si>
  <si>
    <t>Resultado não operacional</t>
  </si>
  <si>
    <t>3.1.2.01</t>
  </si>
  <si>
    <t>3.1.2.01.01</t>
  </si>
  <si>
    <t>3.1.2.01.01.0001</t>
  </si>
  <si>
    <t>GANHO NA ALIENACAO NO INVESTIMENTO</t>
  </si>
  <si>
    <t>3.1.2.01.01.0002</t>
  </si>
  <si>
    <t>GANHO NA ALIENACAO NO IMOBILIZADO</t>
  </si>
  <si>
    <t>3.1.2.01.01.0003</t>
  </si>
  <si>
    <t>OUTRAS RECEITAS NAO OPERACIONAIS</t>
  </si>
  <si>
    <t>3.2</t>
  </si>
  <si>
    <t>3.2.1</t>
  </si>
  <si>
    <t>IMPOSTOS INCIDENTES</t>
  </si>
  <si>
    <t>3.2.1.01</t>
  </si>
  <si>
    <t>3.2.1.01.01</t>
  </si>
  <si>
    <t>3.2.1.01.01.0001</t>
  </si>
  <si>
    <t>COFINS CONSULTAS/REGISTROS</t>
  </si>
  <si>
    <t>3.2.1.01.01.0002</t>
  </si>
  <si>
    <t>3.2.1.01.02</t>
  </si>
  <si>
    <t>COFINS - MOU</t>
  </si>
  <si>
    <t>3.2.1.01.02.0001</t>
  </si>
  <si>
    <t>COFINS SOBRE RECUPERACAO MOU</t>
  </si>
  <si>
    <t>3.2.1.02</t>
  </si>
  <si>
    <t>3.2.1.02.01</t>
  </si>
  <si>
    <t>3.2.1.02.01.0001</t>
  </si>
  <si>
    <t>ISS CONSULTAS/REGISTROS</t>
  </si>
  <si>
    <t>3.2.1.02.01.0002</t>
  </si>
  <si>
    <t>ISS OUTROS</t>
  </si>
  <si>
    <t>3.2.1.02.02</t>
  </si>
  <si>
    <t>ISS - MOU</t>
  </si>
  <si>
    <t>3.2.1.02.02.0001</t>
  </si>
  <si>
    <t>ISS SOBRE RECUPERACAO MOU</t>
  </si>
  <si>
    <t>3.3</t>
  </si>
  <si>
    <t>CUSTOS</t>
  </si>
  <si>
    <t>Custos dos serviços prestados</t>
  </si>
  <si>
    <t>3.3.1</t>
  </si>
  <si>
    <t>3.3.1.01</t>
  </si>
  <si>
    <t>3.3.1.01.01</t>
  </si>
  <si>
    <t xml:space="preserve">CUSTOS </t>
  </si>
  <si>
    <t>3.3.1.01.01.0001</t>
  </si>
  <si>
    <t>CUSTOS CONSULTAS/REGISTROS</t>
  </si>
  <si>
    <t>3.3.1.01.01.0005</t>
  </si>
  <si>
    <t>OUTROS CUSTOS</t>
  </si>
  <si>
    <t>3.3.1.01.02</t>
  </si>
  <si>
    <t>CUSTOS - REVISTA DE SEGUROS</t>
  </si>
  <si>
    <t>3.3.1.01.02.0001</t>
  </si>
  <si>
    <t>CUSTOS ESPACO NA REVISTA DE SEGUROS</t>
  </si>
  <si>
    <t>3.3.1.01.03</t>
  </si>
  <si>
    <t>CUSTOS - MOU</t>
  </si>
  <si>
    <t>3.3.1.01.03.0001</t>
  </si>
  <si>
    <t>CUSTOS DE RECUPERACAO MOU</t>
  </si>
  <si>
    <t>3.4</t>
  </si>
  <si>
    <t>OUTRAS DESPESAS OPERACIONAIS</t>
  </si>
  <si>
    <t>Despesas operacionais</t>
  </si>
  <si>
    <t>3.4.1</t>
  </si>
  <si>
    <t>3.4.1.01</t>
  </si>
  <si>
    <t>OUTRAS DESPESAS</t>
  </si>
  <si>
    <t>3.4.1.01.01</t>
  </si>
  <si>
    <t>3.4.1.01.01.0001</t>
  </si>
  <si>
    <t>3.4.1.01.01.0002</t>
  </si>
  <si>
    <t>DESPESAS C/ INSCRIÇÕES GRATUITAS</t>
  </si>
  <si>
    <t>4</t>
  </si>
  <si>
    <t>DESPESAS</t>
  </si>
  <si>
    <t>Despesas</t>
  </si>
  <si>
    <t>4.1</t>
  </si>
  <si>
    <t>DESPESAS OPERACIONAIS</t>
  </si>
  <si>
    <t>4.1.1</t>
  </si>
  <si>
    <t>DESPESAS SINDICAIS</t>
  </si>
  <si>
    <t>4.1.1.01</t>
  </si>
  <si>
    <t>4.1.1.01.01</t>
  </si>
  <si>
    <t>CONTRIBUICAO REGULAMENTAR</t>
  </si>
  <si>
    <t>4.1.1.01.01.0001</t>
  </si>
  <si>
    <t>REPASSE - CEES</t>
  </si>
  <si>
    <t>4.1.1.01.01.0002</t>
  </si>
  <si>
    <t>REPASSE - CONSIF</t>
  </si>
  <si>
    <t>4.1.1.01.01.0003</t>
  </si>
  <si>
    <t>FEDERACAO</t>
  </si>
  <si>
    <t>4.1.1.01.02</t>
  </si>
  <si>
    <t>OUTRAS DESPESAS SINDICAIS</t>
  </si>
  <si>
    <t>4.1.1.01.02.0001</t>
  </si>
  <si>
    <t>4.1.1.01.02.0002</t>
  </si>
  <si>
    <t>HONORARIOS ADVOCATICIOS</t>
  </si>
  <si>
    <t>4.1.1.01.02.0003</t>
  </si>
  <si>
    <t>CONSULTORIAS</t>
  </si>
  <si>
    <t>4.1.1.01.02.0004</t>
  </si>
  <si>
    <t>ANUNCIOS E PUBLICACOES</t>
  </si>
  <si>
    <t>4.1.1.01.02.0005</t>
  </si>
  <si>
    <t>4.1.2</t>
  </si>
  <si>
    <t>DESPESAS COM PESSOAL</t>
  </si>
  <si>
    <t>4.1.2.01</t>
  </si>
  <si>
    <t>DESPESAS COM EMPREGADOS</t>
  </si>
  <si>
    <t>4.1.2.01.01</t>
  </si>
  <si>
    <t>4.1.2.01.01.0001</t>
  </si>
  <si>
    <t>SALARIOS</t>
  </si>
  <si>
    <t>4.1.2.01.01.0002</t>
  </si>
  <si>
    <t>HORAS EXTRAS</t>
  </si>
  <si>
    <t>4.1.2.01.01.0003</t>
  </si>
  <si>
    <t>GRATIFICACOES</t>
  </si>
  <si>
    <t>4.1.2.01.01.0004</t>
  </si>
  <si>
    <t>4.1.2.01.01.0005</t>
  </si>
  <si>
    <t>PRO LABORE</t>
  </si>
  <si>
    <t>4.1.2.01.01.0006</t>
  </si>
  <si>
    <t>DECIMO - TERCEIRO SALARIO</t>
  </si>
  <si>
    <t>4.1.2.01.01.0007</t>
  </si>
  <si>
    <t>BONUS</t>
  </si>
  <si>
    <t>4.1.2.01.01.0008</t>
  </si>
  <si>
    <t>ADICIONAL POR TEMPO DE SERVICO</t>
  </si>
  <si>
    <t>4.1.2.02</t>
  </si>
  <si>
    <t>DESPESAS COM INDENIZACOES</t>
  </si>
  <si>
    <t>4.1.2.02.01</t>
  </si>
  <si>
    <t>4.1.2.02.01.0001</t>
  </si>
  <si>
    <t>AVISO PREVIO</t>
  </si>
  <si>
    <t>4.1.2.02.01.0002</t>
  </si>
  <si>
    <t>FERIAS INDENIZADAS</t>
  </si>
  <si>
    <t>4.1.2.02.01.0003</t>
  </si>
  <si>
    <t>MULTA RESCISAO FGTS</t>
  </si>
  <si>
    <t>4.1.2.02.01.0004</t>
  </si>
  <si>
    <t>13º SALARIO PROPORCIONAL (INDENIZADO)</t>
  </si>
  <si>
    <t>4.1.2.02.01.0005</t>
  </si>
  <si>
    <t>MULTA SOBRE RESCISAO</t>
  </si>
  <si>
    <t>4.1.2.02.01.0006</t>
  </si>
  <si>
    <t>INDENIZACOES TRABALHISTAS</t>
  </si>
  <si>
    <t>4.1.2.03</t>
  </si>
  <si>
    <t>DESPESAS COM ASSISTENCIA SOCIAL</t>
  </si>
  <si>
    <t>4.1.2.03.01</t>
  </si>
  <si>
    <t>ASSISTENCIA MEDICA E ODONTOLOGICA</t>
  </si>
  <si>
    <t>4.1.2.03.01.0001</t>
  </si>
  <si>
    <t>ASSISTENCIA MEDICA</t>
  </si>
  <si>
    <t>4.1.2.03.01.0002</t>
  </si>
  <si>
    <t>ASSISTENCIA ODONTOLOGICA</t>
  </si>
  <si>
    <t>4.1.2.03.02</t>
  </si>
  <si>
    <t>INSTRUCAO</t>
  </si>
  <si>
    <t>4.1.2.03.02.0001</t>
  </si>
  <si>
    <t>BOLSA ESTAGIO</t>
  </si>
  <si>
    <t>4.1.2.03.02.0002</t>
  </si>
  <si>
    <t>AJUDA EDUCACIONAL</t>
  </si>
  <si>
    <t>4.1.2.03.03</t>
  </si>
  <si>
    <t>TREINAMENTO</t>
  </si>
  <si>
    <t>4.1.2.03.03.0001</t>
  </si>
  <si>
    <t>CURSOS, SEMINARIOS E PALESTRAS</t>
  </si>
  <si>
    <t>4.1.2.03.03.0002</t>
  </si>
  <si>
    <t>DESPESAS COM VIAGENS</t>
  </si>
  <si>
    <t>4.1.2.03.04</t>
  </si>
  <si>
    <t>SEGUROS</t>
  </si>
  <si>
    <t>4.1.2.03.04.0001</t>
  </si>
  <si>
    <t>SEGURO DE VIDA EM GRUPO</t>
  </si>
  <si>
    <t>4.1.2.03.05</t>
  </si>
  <si>
    <t>ALIMENTACAO / REFEICAO</t>
  </si>
  <si>
    <t>4.1.2.03.05.0001</t>
  </si>
  <si>
    <t>VALE ALIMENTACAO</t>
  </si>
  <si>
    <t>4.1.2.03.05.0002</t>
  </si>
  <si>
    <t>VALE REFEICAO</t>
  </si>
  <si>
    <t>4.1.2.03.06</t>
  </si>
  <si>
    <t>VALE TRANSPORTE</t>
  </si>
  <si>
    <t>4.1.2.03.06.0001</t>
  </si>
  <si>
    <t>4.1.2.03.07</t>
  </si>
  <si>
    <t>OUTRAS DESPESAS ASSISTENCIAIS</t>
  </si>
  <si>
    <t>4.1.2.03.07.0001</t>
  </si>
  <si>
    <t>AUXILIO CRECHE</t>
  </si>
  <si>
    <t>4.1.2.03.07.0002</t>
  </si>
  <si>
    <t>AUXILIO BABA</t>
  </si>
  <si>
    <t>4.1.2.03.07.0003</t>
  </si>
  <si>
    <t>AUXILIO DOENCA</t>
  </si>
  <si>
    <t>4.1.2.03.07.0004</t>
  </si>
  <si>
    <t>MEDICINA DO TRABALHO</t>
  </si>
  <si>
    <t>4.1.2.03.07.0005</t>
  </si>
  <si>
    <t>SEGURANCA DO TRABALHO</t>
  </si>
  <si>
    <t>4.1.2.03.07.0006</t>
  </si>
  <si>
    <t>AMBULATORIO</t>
  </si>
  <si>
    <t>4.1.2.03.07.0007</t>
  </si>
  <si>
    <t>AUXILIO EDUCACAO</t>
  </si>
  <si>
    <t>4.1.2.03.07.0008</t>
  </si>
  <si>
    <t>PROGRAMAS ASSISTENCIAIS</t>
  </si>
  <si>
    <t>4.1.2.04</t>
  </si>
  <si>
    <t>DESPESAS COM ENCARGOS SOCIAIS</t>
  </si>
  <si>
    <t>4.1.2.04.01</t>
  </si>
  <si>
    <t>4.1.2.04.01.0001</t>
  </si>
  <si>
    <t>INSS S/ FOLHA DE PAGAMENTO</t>
  </si>
  <si>
    <t>4.1.2.04.01.0002</t>
  </si>
  <si>
    <t>INSS S/ FERIAS</t>
  </si>
  <si>
    <t>4.1.2.04.01.0003</t>
  </si>
  <si>
    <t>INSS S/ RESCISAO</t>
  </si>
  <si>
    <t>4.1.2.04.01.0004</t>
  </si>
  <si>
    <t>INSS S/ 13º SALARIO</t>
  </si>
  <si>
    <t>4.1.2.04.02</t>
  </si>
  <si>
    <t>4.1.2.04.02.0001</t>
  </si>
  <si>
    <t>FGTS S/ FOLHA DE PAGAMENTO</t>
  </si>
  <si>
    <t>4.1.2.04.02.0002</t>
  </si>
  <si>
    <t>FGTS S/ FERIAS</t>
  </si>
  <si>
    <t>4.1.2.04.02.0003</t>
  </si>
  <si>
    <t>FGTS S/ RESCISAO</t>
  </si>
  <si>
    <t>4.1.2.04.02.0004</t>
  </si>
  <si>
    <t>FGTS S/ 13º SALARIO</t>
  </si>
  <si>
    <t>4.1.2.04.03</t>
  </si>
  <si>
    <t>4.1.2.04.03.0001</t>
  </si>
  <si>
    <t>4.1.2.04.03.0002</t>
  </si>
  <si>
    <t>PIS S/ FERIAS</t>
  </si>
  <si>
    <t>4.1.2.04.03.0003</t>
  </si>
  <si>
    <t>PIS S/ RESCISAO</t>
  </si>
  <si>
    <t>4.1.2.04.03.0004</t>
  </si>
  <si>
    <t>PIS S/ 13º SALARIO</t>
  </si>
  <si>
    <t>4.1.3</t>
  </si>
  <si>
    <t>DESPESAS ADMINISTRATIVAS</t>
  </si>
  <si>
    <t>4.1.3.01</t>
  </si>
  <si>
    <t>LOCALIZACAO</t>
  </si>
  <si>
    <t>4.1.3.01.01</t>
  </si>
  <si>
    <t>4.1.3.01.01.0001</t>
  </si>
  <si>
    <t>4.1.3.01.01.0002</t>
  </si>
  <si>
    <t>CONDOMINIO</t>
  </si>
  <si>
    <t>4.1.3.01.01.0003</t>
  </si>
  <si>
    <t>4.1.3.01.01.0004</t>
  </si>
  <si>
    <t>ENERGIA ELETRICA</t>
  </si>
  <si>
    <t>4.1.3.01.01.0005</t>
  </si>
  <si>
    <t>IPTU</t>
  </si>
  <si>
    <t>4.1.3.01.01.0006</t>
  </si>
  <si>
    <t>SERVICOS DE LIMPEZA</t>
  </si>
  <si>
    <t>4.1.3.01.01.0007</t>
  </si>
  <si>
    <t>CONSERVACAO, MANUTENCAO E REPAROS</t>
  </si>
  <si>
    <t>4.1.3.01.01.0008</t>
  </si>
  <si>
    <t xml:space="preserve">TAXA DE SERVICOS </t>
  </si>
  <si>
    <t>4.1.3.01.01.0009</t>
  </si>
  <si>
    <t>ALUGUEL DE ESPAÇO PARA EVENTOS</t>
  </si>
  <si>
    <t>4.1.3.02</t>
  </si>
  <si>
    <t>COMUNICACAO</t>
  </si>
  <si>
    <t>4.1.3.02.01</t>
  </si>
  <si>
    <t>4.1.3.02.01.0001</t>
  </si>
  <si>
    <t>TELEFONE E FAX</t>
  </si>
  <si>
    <t>4.1.3.02.01.0002</t>
  </si>
  <si>
    <t>CELULARES</t>
  </si>
  <si>
    <t>4.1.3.02.01.0003</t>
  </si>
  <si>
    <t>CORREIOS</t>
  </si>
  <si>
    <t>4.1.3.02.01.0004</t>
  </si>
  <si>
    <t>MALOTES</t>
  </si>
  <si>
    <t>4.1.3.02.01.0005</t>
  </si>
  <si>
    <t>TV POR ASSINATURA</t>
  </si>
  <si>
    <t>4.1.3.02.01.0006</t>
  </si>
  <si>
    <t>LINKS DE INTERNET</t>
  </si>
  <si>
    <t>4.1.3.02.01.0007</t>
  </si>
  <si>
    <t>VIDEO CONFERENCIA</t>
  </si>
  <si>
    <t>4.1.3.02.01.0008</t>
  </si>
  <si>
    <t>ACESSO MOVEL INTERNET</t>
  </si>
  <si>
    <t>4.1.3.03</t>
  </si>
  <si>
    <t>4.1.3.03.01</t>
  </si>
  <si>
    <t>4.1.3.03.01.0001</t>
  </si>
  <si>
    <t>ALUGUEL DE VEICULOS</t>
  </si>
  <si>
    <t>4.1.3.03.01.0002</t>
  </si>
  <si>
    <t>MANUTENCAO E CONSERTO</t>
  </si>
  <si>
    <t>4.1.3.03.01.0003</t>
  </si>
  <si>
    <t>COMBUSTIVEL</t>
  </si>
  <si>
    <t>4.1.3.03.01.0004</t>
  </si>
  <si>
    <t>IPVA</t>
  </si>
  <si>
    <t>4.1.3.03.01.0005</t>
  </si>
  <si>
    <t>4.1.3.03.01.0006</t>
  </si>
  <si>
    <t>OUTROS (PEDAGIOS, LAVAGENS, ESTACIONAMENTO)</t>
  </si>
  <si>
    <t>4.1.3.04</t>
  </si>
  <si>
    <t>SERVICOS DE TERCEIROS</t>
  </si>
  <si>
    <t>4.1.3.04.01</t>
  </si>
  <si>
    <t>4.1.3.04.01.0001</t>
  </si>
  <si>
    <t>HONORARIOS DE AUDITORIA</t>
  </si>
  <si>
    <t>4.1.3.04.01.0002</t>
  </si>
  <si>
    <t>HONORARIOS DE CONSULTORIA</t>
  </si>
  <si>
    <t>4.1.3.04.01.0003</t>
  </si>
  <si>
    <t>4.1.3.04.01.0004</t>
  </si>
  <si>
    <t>SERVICOS TEMPORARIOS</t>
  </si>
  <si>
    <t>4.1.3.04.01.0005</t>
  </si>
  <si>
    <r>
      <t xml:space="preserve">SERVICOS DE INFORMATICA </t>
    </r>
    <r>
      <rPr>
        <sz val="8"/>
        <color rgb="FFFF0000"/>
        <rFont val="Verdana"/>
        <family val="2"/>
      </rPr>
      <t>E CONGENERES</t>
    </r>
  </si>
  <si>
    <t>4.1.3.04.01.0006</t>
  </si>
  <si>
    <t>HONORARIOS DE ASSESSORIAS E PLANEJAMENTO</t>
  </si>
  <si>
    <t>4.1.3.04.01.0007</t>
  </si>
  <si>
    <t>GESTAO DE DOCUMENTOS</t>
  </si>
  <si>
    <t>4.1.3.04.01.0008</t>
  </si>
  <si>
    <t>4.1.3.04.01.0009</t>
  </si>
  <si>
    <t>HONORÁRIOS DE PALESTRANTES E AGENCIAMENTO</t>
  </si>
  <si>
    <t>4.1.3.04.01.0010</t>
  </si>
  <si>
    <t xml:space="preserve">SERVIÇOS DE SONORIZAÇÃO, FILMAGENS E FOTOGRAFICAS </t>
  </si>
  <si>
    <t>4.1.3.04.01.0011</t>
  </si>
  <si>
    <t xml:space="preserve">SERVIÇOS DE ORGANIZAÇÃO DE FESTAS, EVENTOS E BUFFET </t>
  </si>
  <si>
    <t>4.1.3.05</t>
  </si>
  <si>
    <t>COMUNICACAO INSTITUCIONAL</t>
  </si>
  <si>
    <t>4.1.3.05.01</t>
  </si>
  <si>
    <t>4.1.3.05.01.0001</t>
  </si>
  <si>
    <t>ASSESSORIAS E CONSULTORIAS</t>
  </si>
  <si>
    <t>4.1.3.05.01.0002</t>
  </si>
  <si>
    <t>PUBLICACOES</t>
  </si>
  <si>
    <t>4.1.3.06</t>
  </si>
  <si>
    <t>4.1.3.06.01</t>
  </si>
  <si>
    <t>UTILIZACAO DE EQUIPAMENTOS</t>
  </si>
  <si>
    <t>4.1.3.06.01.0001</t>
  </si>
  <si>
    <t>4.1.3.06.01.0002</t>
  </si>
  <si>
    <t>4.1.3.06.01.0003</t>
  </si>
  <si>
    <t>SEGURO/GARANTIA ESTENDIDA DE EQUIPAMENTO</t>
  </si>
  <si>
    <t>4.1.3.06.01.0004</t>
  </si>
  <si>
    <t>ALUGUEL DE MOV., UTENS. E OUTROS</t>
  </si>
  <si>
    <t>4.1.3.06.01.0005</t>
  </si>
  <si>
    <t>MANUTENÇÃO DE MOV., UTENS. E OUTROS</t>
  </si>
  <si>
    <t>4.1.3.07</t>
  </si>
  <si>
    <t>PROPAGANDA E PUBLICIDADE</t>
  </si>
  <si>
    <t>4.1.3.07.01</t>
  </si>
  <si>
    <t>4.1.3.07.01.0001</t>
  </si>
  <si>
    <t>PROPAGANDA E DIVULGACAO</t>
  </si>
  <si>
    <t>4.1.3.07.01.0002</t>
  </si>
  <si>
    <t>ANUNCIOS E EDITAIS</t>
  </si>
  <si>
    <t>4.1.3.08</t>
  </si>
  <si>
    <t>LOCOMOCAO</t>
  </si>
  <si>
    <t>4.1.3.08.01</t>
  </si>
  <si>
    <t>VIAGENS</t>
  </si>
  <si>
    <t>4.1.3.08.01.0001</t>
  </si>
  <si>
    <t xml:space="preserve">VIAGENS </t>
  </si>
  <si>
    <t>4.1.3.08.02</t>
  </si>
  <si>
    <t>CONDUCAO E PASSAGEM URBANA</t>
  </si>
  <si>
    <t>4.1.3.08.02.0001</t>
  </si>
  <si>
    <t>4.1.3.09</t>
  </si>
  <si>
    <t>EXPEDIENTE</t>
  </si>
  <si>
    <t>4.1.3.09.01</t>
  </si>
  <si>
    <t>4.1.3.09.01.0001</t>
  </si>
  <si>
    <t>4.1.3.09.01.0002</t>
  </si>
  <si>
    <t>4.1.3.09.01.0003</t>
  </si>
  <si>
    <t>MATERIAL DE COPA E COZINHA</t>
  </si>
  <si>
    <t>4.1.3.09.01.0004</t>
  </si>
  <si>
    <t>4.1.3.09.01.0005</t>
  </si>
  <si>
    <t>4.1.3.09.01.0006</t>
  </si>
  <si>
    <t>LEGAIS E JUDICIAIS</t>
  </si>
  <si>
    <t>4.1.3.09.01.0007</t>
  </si>
  <si>
    <t>COPIAS, REPRODUCOES E ENCADERNACOES</t>
  </si>
  <si>
    <t>4.1.3.09.01.0008</t>
  </si>
  <si>
    <t>SERVICOS DE IMPRESSAO</t>
  </si>
  <si>
    <t>4.1.3.09.01.0009</t>
  </si>
  <si>
    <t>MATERIAIS PARA UTILIZAÇÃO DE EVENTOS</t>
  </si>
  <si>
    <t>4.1.3.09.01.0010</t>
  </si>
  <si>
    <t>MATERIAIS PROMOCIONAIS PARA EVENTOS</t>
  </si>
  <si>
    <t>4.1.3.12</t>
  </si>
  <si>
    <t>CONVENIOS</t>
  </si>
  <si>
    <t>4.1.3.12.01</t>
  </si>
  <si>
    <t>4.1.3.12.01.0001</t>
  </si>
  <si>
    <t>4.1.3.13</t>
  </si>
  <si>
    <t>DOACOES E CONTRIBUICOES</t>
  </si>
  <si>
    <t>4.1.3.13.01</t>
  </si>
  <si>
    <t>4.1.3.13.01.0001</t>
  </si>
  <si>
    <t xml:space="preserve">CONTRIBUICOES, MENSALIDADES E ANUIDADES </t>
  </si>
  <si>
    <t>4.1.3.13.01.0002</t>
  </si>
  <si>
    <t>4.1.3.13.01.0003</t>
  </si>
  <si>
    <t>ANUIDADES A ENTIDADES DE CLASSE</t>
  </si>
  <si>
    <t>4.1.3.13.01.0004</t>
  </si>
  <si>
    <t xml:space="preserve">PATROCINIO </t>
  </si>
  <si>
    <t>4.1.3.14</t>
  </si>
  <si>
    <t>BAIXAS DE COBRANCAS</t>
  </si>
  <si>
    <t>4.1.3.14.01</t>
  </si>
  <si>
    <t>4.1.3.14.01.0001</t>
  </si>
  <si>
    <t>4.1.3.14.01.0002</t>
  </si>
  <si>
    <t>OUTRAS</t>
  </si>
  <si>
    <t>4.1.3.15</t>
  </si>
  <si>
    <t>PROVISAO P/ CREDITO LIQ. DUVIDOSA</t>
  </si>
  <si>
    <t>4.1.3.15.01</t>
  </si>
  <si>
    <t>4.1.3.15.01.0001</t>
  </si>
  <si>
    <t>4.1.3.16</t>
  </si>
  <si>
    <t>CREDITO DE COFINS</t>
  </si>
  <si>
    <t>4.1.3.16.01</t>
  </si>
  <si>
    <t>CREDITO DE COFINS - LEI 10.833</t>
  </si>
  <si>
    <t>4.1.3.16.01.0001</t>
  </si>
  <si>
    <t>COFINS - CREDITOS LEI 10833</t>
  </si>
  <si>
    <t>4.1.3.17</t>
  </si>
  <si>
    <t>OUTRAS DESPESAS ADMINISTRATIVAS</t>
  </si>
  <si>
    <t>4.1.3.17.01</t>
  </si>
  <si>
    <t>4.1.3.17.01.0001</t>
  </si>
  <si>
    <t xml:space="preserve">LIVROS, JORNAIS, REVISTAS </t>
  </si>
  <si>
    <t>4.1.3.17.01.0002</t>
  </si>
  <si>
    <t>ASSINATURAS E MANUAIS TECNICOS</t>
  </si>
  <si>
    <t>4.1.3.17.01.0003</t>
  </si>
  <si>
    <t>BENS DE PEQUENO VALOR</t>
  </si>
  <si>
    <t>4.1.3.17.01.0004</t>
  </si>
  <si>
    <t>REPRESENTACAO SOCIAL</t>
  </si>
  <si>
    <t>4.1.3.17.01.0005</t>
  </si>
  <si>
    <t>UNIFORMES</t>
  </si>
  <si>
    <t>4.1.3.17.01.0006</t>
  </si>
  <si>
    <t>4.1.3.17.01.0007</t>
  </si>
  <si>
    <t>BRINDES</t>
  </si>
  <si>
    <t>4.1.3.17.01.0008</t>
  </si>
  <si>
    <t>4.1.3.17.01.0009</t>
  </si>
  <si>
    <t>4.1.3.17.01.0010</t>
  </si>
  <si>
    <t>MAQUINAS, EQUIPTOS E UTENSILIOS</t>
  </si>
  <si>
    <t>4.1.3.17.01.0011</t>
  </si>
  <si>
    <t>LOGISTICA</t>
  </si>
  <si>
    <t>4.1.3.17.01.0012</t>
  </si>
  <si>
    <t>DESPESAS DIVERSAS DE EVENTOS</t>
  </si>
  <si>
    <t>4.1.3.18</t>
  </si>
  <si>
    <t>DEPRECIACAO / AMORTIZACAO</t>
  </si>
  <si>
    <t>4.1.3.18.01</t>
  </si>
  <si>
    <t>4.1.3.18.01.0002</t>
  </si>
  <si>
    <t>4.1.3.18.01.0003</t>
  </si>
  <si>
    <t>4.1.3.18.01.0004</t>
  </si>
  <si>
    <t>4.1.3.18.01.0005</t>
  </si>
  <si>
    <t>4.1.3.18.01.0006</t>
  </si>
  <si>
    <t>4.1.3.18.01.0009</t>
  </si>
  <si>
    <t>4.1.3.18.01.0010</t>
  </si>
  <si>
    <t>4.1.3.18.01.0011</t>
  </si>
  <si>
    <t>4.1.3.18.01.0012</t>
  </si>
  <si>
    <t>AMORTIZACAO DO AGIO</t>
  </si>
  <si>
    <t>4.1.3.21</t>
  </si>
  <si>
    <t>ACORDOS JUDICIAIS</t>
  </si>
  <si>
    <t>4.1.3.21.01</t>
  </si>
  <si>
    <t>4.1.3.21.01.0001</t>
  </si>
  <si>
    <t>DESPESAS E ACORDOS JUDICIAIS</t>
  </si>
  <si>
    <t>4.1.3.21.01.0002</t>
  </si>
  <si>
    <t>DESPESAS COM GARANTIAS JUDICIAIS</t>
  </si>
  <si>
    <t>4.1.3.21.01.0003</t>
  </si>
  <si>
    <t>DESPESAS C/CONTINGÊNCIA TRABALHISTA</t>
  </si>
  <si>
    <t>4.1.3.22</t>
  </si>
  <si>
    <t>IMPOSTOS E TAXAS</t>
  </si>
  <si>
    <t>4.1.3.22.01</t>
  </si>
  <si>
    <t>4.1.3.22.01.0001</t>
  </si>
  <si>
    <t>4.1.3.22.01.0002</t>
  </si>
  <si>
    <t>INSS S/ AUTONOMOS</t>
  </si>
  <si>
    <t>4.1.3.23</t>
  </si>
  <si>
    <t>REPRESENTAÇÃO INSTITUCIONAL</t>
  </si>
  <si>
    <t>4.1.3.23.01</t>
  </si>
  <si>
    <t>4.1.3.23.01.0001</t>
  </si>
  <si>
    <t>REPRESENTAÇÃO SOCIAL</t>
  </si>
  <si>
    <t>4.1.3.23.01.0002</t>
  </si>
  <si>
    <t>REPRESENTAÇÃO EM CONGRESSOS E SEMINARIOS</t>
  </si>
  <si>
    <t>4.1.3.23.01.0003</t>
  </si>
  <si>
    <t>DESPESAS DE VIAGENS EM CONGRESSOS E SEMINARIOS</t>
  </si>
  <si>
    <t>4.1.4</t>
  </si>
  <si>
    <t>DESPESAS FINANCEIRAS</t>
  </si>
  <si>
    <t>Despesas financeiras</t>
  </si>
  <si>
    <t>4.1.4.01</t>
  </si>
  <si>
    <t>APLICACOES FINANCEIRAS / CAMBIO</t>
  </si>
  <si>
    <t>4.1.4.01.01</t>
  </si>
  <si>
    <t>4.1.4.01.01.0001</t>
  </si>
  <si>
    <t>IRRF RETIDO S/ RENDIMENTOS DE APLICACOES</t>
  </si>
  <si>
    <t>4.1.4.01.01.0002</t>
  </si>
  <si>
    <t>IOF RETIDO S/ RENDIMENTOS DE APLICACOES</t>
  </si>
  <si>
    <t>4.1.4.01.02</t>
  </si>
  <si>
    <t>CAMBIO</t>
  </si>
  <si>
    <t>4.1.4.01.02.0001</t>
  </si>
  <si>
    <t>IRRF S/ CAMBIO</t>
  </si>
  <si>
    <t>4.1.4.01.02.0002</t>
  </si>
  <si>
    <t>IOF S/ CAMBIO</t>
  </si>
  <si>
    <t>4.1.4.01.02.0003</t>
  </si>
  <si>
    <t>TARIFAS S/ CAMBIO</t>
  </si>
  <si>
    <t>4.1.4.01.02.0004</t>
  </si>
  <si>
    <t>CIDE S/ CAMBIO</t>
  </si>
  <si>
    <t>4.1.4.01.02.0005</t>
  </si>
  <si>
    <t>ISS S/ CAMBIO</t>
  </si>
  <si>
    <t>4.1.4.02</t>
  </si>
  <si>
    <t>DESPESAS BANCARIAS</t>
  </si>
  <si>
    <t>4.1.4.02.01</t>
  </si>
  <si>
    <t>4.1.4.02.01.0001</t>
  </si>
  <si>
    <t>TARIFAS BANCARIAS</t>
  </si>
  <si>
    <t>4.1.4.03</t>
  </si>
  <si>
    <t>OUTRAS DESPESAS FINANCEIRAS</t>
  </si>
  <si>
    <t>4.1.4.03.01</t>
  </si>
  <si>
    <t>4.1.4.03.01.0001</t>
  </si>
  <si>
    <t>DESCONTOS CONCEDIDOS</t>
  </si>
  <si>
    <t>4.1.4.03.01.0002</t>
  </si>
  <si>
    <t>VARIACAO CAMBIAL</t>
  </si>
  <si>
    <t>4.1.4.03.01.0003</t>
  </si>
  <si>
    <t>VARIACAO MONETARIA</t>
  </si>
  <si>
    <t>4.1.4.03.01.0004</t>
  </si>
  <si>
    <t>TARIFAS S/ CARTAO DE CREDITO</t>
  </si>
  <si>
    <t>4.1.4.03.01.0005</t>
  </si>
  <si>
    <t>JUROS S/ EMPRESTIMOS</t>
  </si>
  <si>
    <t>4.1.4.03.01.0006</t>
  </si>
  <si>
    <t>IOF</t>
  </si>
  <si>
    <t>4.1.4.03.01.0007</t>
  </si>
  <si>
    <t>COFINS SOBRE RECEITAS FINANCEIRA</t>
  </si>
  <si>
    <t>4.1.4.03.01.0008</t>
  </si>
  <si>
    <t>PIS SOBRE RECEITAS FINANCEIRA</t>
  </si>
  <si>
    <t>4.1.4.03.01.0009</t>
  </si>
  <si>
    <t>4.1.4.04</t>
  </si>
  <si>
    <t>ENCARGOS SOBRE TRIBUTOS</t>
  </si>
  <si>
    <t>4.1.4.04.01</t>
  </si>
  <si>
    <t>4.1.4.04.01.0001</t>
  </si>
  <si>
    <t>MULTAS SOBRE TRIBUTOS EM ATRASO</t>
  </si>
  <si>
    <t>4.1.4.04.01.0002</t>
  </si>
  <si>
    <t>JUROS SOBRE TRIBUTOS EM ATRASO</t>
  </si>
  <si>
    <t>4.1.4.05</t>
  </si>
  <si>
    <t>MULTAS</t>
  </si>
  <si>
    <t>4.1.4.05.01</t>
  </si>
  <si>
    <t>4.1.4.05.01.0001</t>
  </si>
  <si>
    <t>MULTA/JUROS FORNECEDOR</t>
  </si>
  <si>
    <t>4.1.5</t>
  </si>
  <si>
    <t>DESPESAS PATRIMONIAL</t>
  </si>
  <si>
    <t>4.1.5.01</t>
  </si>
  <si>
    <t>4.1.5.01.01</t>
  </si>
  <si>
    <t>4.1.5.01.01.0001</t>
  </si>
  <si>
    <t>4.2</t>
  </si>
  <si>
    <t>DESPESAS NAO OPERACIONAIS</t>
  </si>
  <si>
    <t>4.2.1</t>
  </si>
  <si>
    <t>4.2.1.01</t>
  </si>
  <si>
    <t>4.2.1.01.01</t>
  </si>
  <si>
    <t>4.2.1.01.01.0001</t>
  </si>
  <si>
    <t>PERDA NA ALIENACAO NO INVESTIMENTO</t>
  </si>
  <si>
    <t>4.2.1.01.01.0002</t>
  </si>
  <si>
    <t>PERDA NA ALIENACAO NO IMOBILIZADO</t>
  </si>
  <si>
    <t>4.2.1.01.01.0003</t>
  </si>
  <si>
    <t>OUTRAS DESPESAS NAO OPERACIONAIS</t>
  </si>
  <si>
    <t>4.3</t>
  </si>
  <si>
    <t>IMPOSTOS E PARTICIPAÇÕES SOBRE O LUCRO</t>
  </si>
  <si>
    <t>IR/ CS s/ lucro</t>
  </si>
  <si>
    <t>4.3.1</t>
  </si>
  <si>
    <t>IMPOSTOS E CONTRIBUIÇÕES</t>
  </si>
  <si>
    <t>4.3.1.01</t>
  </si>
  <si>
    <t>4.3.1.01.01</t>
  </si>
  <si>
    <t>4.3.1.01.01.0001</t>
  </si>
  <si>
    <t>4.3.1.01.01.0002</t>
  </si>
  <si>
    <t>4.3.2</t>
  </si>
  <si>
    <t>PARTICIPAÇÕES SOBRE O LUCRO</t>
  </si>
  <si>
    <t>Participações s/ lucro</t>
  </si>
  <si>
    <t>4.3.2.01</t>
  </si>
  <si>
    <t>DESPESAS COM PARTICIPAÇÕES SOBRE O LUCRO</t>
  </si>
  <si>
    <t>4.3.2.01.01</t>
  </si>
  <si>
    <t>4.3.2.01.01.0001</t>
  </si>
  <si>
    <t>ADMINISTRADORES</t>
  </si>
  <si>
    <t>4.3.2.01.01.0002</t>
  </si>
  <si>
    <t>EMPREGADOS</t>
  </si>
  <si>
    <t>4.3.2.01.01.0003</t>
  </si>
  <si>
    <t>OUTROS</t>
  </si>
  <si>
    <t>CONTA TRANSITORIA</t>
  </si>
  <si>
    <t>Transitória</t>
  </si>
  <si>
    <t>5.1</t>
  </si>
  <si>
    <t>5.1.1</t>
  </si>
  <si>
    <t>5.1.1.01</t>
  </si>
  <si>
    <t>5.1.1.01.01</t>
  </si>
  <si>
    <t>5.1.1.01.01.0001</t>
  </si>
  <si>
    <t>CONTA PATRIMONIAL</t>
  </si>
  <si>
    <t>5.1.1.01.01.0002</t>
  </si>
  <si>
    <t>RESULTADO DO EXERCICIO</t>
  </si>
  <si>
    <t>CP x LP</t>
  </si>
  <si>
    <t>Curto Prazo</t>
  </si>
  <si>
    <t>Longo Prazo</t>
  </si>
  <si>
    <t>-</t>
  </si>
  <si>
    <t>Patrimônio líquido</t>
  </si>
  <si>
    <t>Programas SNG, Contratos e DENATRAN</t>
  </si>
  <si>
    <t>Convênio OIT</t>
  </si>
  <si>
    <t>cod</t>
  </si>
  <si>
    <t>Revisão Analítica</t>
  </si>
  <si>
    <t>Fundo fixo</t>
  </si>
  <si>
    <t xml:space="preserve">Titulos de renda fixa </t>
  </si>
  <si>
    <t>Titulos renda variável</t>
  </si>
  <si>
    <t>Quotas e fundos de investimentos</t>
  </si>
  <si>
    <t>Outras aplicacoes</t>
  </si>
  <si>
    <t>Bancos conta movimento</t>
  </si>
  <si>
    <t>Terrenos</t>
  </si>
  <si>
    <t>Edificações</t>
  </si>
  <si>
    <t>Instalações</t>
  </si>
  <si>
    <t>Móveis e utensílios</t>
  </si>
  <si>
    <t>Máquinas e equipamentos</t>
  </si>
  <si>
    <t>Equipamentos de informática</t>
  </si>
  <si>
    <t>Obras em andamento</t>
  </si>
  <si>
    <t>Veículos</t>
  </si>
  <si>
    <t>Depreciação acumulada</t>
  </si>
  <si>
    <t>Amortização acumulada</t>
  </si>
  <si>
    <t>Softwares</t>
  </si>
  <si>
    <t>Benfeitorias em imóveis de terceiros</t>
  </si>
  <si>
    <t>Localização</t>
  </si>
  <si>
    <t>Comunicação</t>
  </si>
  <si>
    <t>Depreciação e amortização</t>
  </si>
  <si>
    <t>Provisão para crédito de liquidação duvidosa</t>
  </si>
  <si>
    <t>Provisão p/ crédito liquidação duvidosa</t>
  </si>
  <si>
    <r>
      <rPr>
        <sz val="8"/>
        <color rgb="FFC00000"/>
        <rFont val="Verdana"/>
        <family val="2"/>
      </rPr>
      <t>OUTROS</t>
    </r>
    <r>
      <rPr>
        <sz val="8"/>
        <rFont val="Verdana"/>
        <family val="2"/>
      </rPr>
      <t xml:space="preserve"> SERVICOS DE TERCEIROS </t>
    </r>
    <r>
      <rPr>
        <sz val="8"/>
        <color rgb="FFFF0000"/>
        <rFont val="Verdana"/>
        <family val="2"/>
      </rPr>
      <t>DIVERSOS</t>
    </r>
  </si>
  <si>
    <r>
      <t>UTILIZACAO DE EQUIP</t>
    </r>
    <r>
      <rPr>
        <b/>
        <sz val="8"/>
        <color rgb="FFC00000"/>
        <rFont val="Verdana"/>
        <family val="2"/>
      </rPr>
      <t>AMENTOS, MAQ., MOV. E UTENS.</t>
    </r>
  </si>
  <si>
    <r>
      <t>ALUGUEL DE EQUIP</t>
    </r>
    <r>
      <rPr>
        <sz val="8"/>
        <color rgb="FFC00000"/>
        <rFont val="Verdana"/>
        <family val="2"/>
      </rPr>
      <t>AMENTOS E MAQ.</t>
    </r>
  </si>
  <si>
    <r>
      <t>MANUTENCAO DE EQUIP</t>
    </r>
    <r>
      <rPr>
        <sz val="8"/>
        <color rgb="FFC00000"/>
        <rFont val="Verdana"/>
        <family val="2"/>
      </rPr>
      <t>AMENTOS E MAQ.</t>
    </r>
  </si>
  <si>
    <t>REFEICAO ALIMENTAÇÃO, COFFEE BREAK</t>
  </si>
  <si>
    <r>
      <t>IMPRESSÕES DE BANNER</t>
    </r>
    <r>
      <rPr>
        <sz val="8"/>
        <color rgb="FFC00000"/>
        <rFont val="Verdana"/>
        <family val="2"/>
      </rPr>
      <t xml:space="preserve"> E, </t>
    </r>
    <r>
      <rPr>
        <sz val="8"/>
        <rFont val="Verdana"/>
        <family val="2"/>
      </rPr>
      <t>FOLDER</t>
    </r>
    <r>
      <rPr>
        <sz val="8"/>
        <color rgb="FFFF0000"/>
        <rFont val="Verdana"/>
        <family val="2"/>
      </rPr>
      <t xml:space="preserve"> E DIVERSOS</t>
    </r>
  </si>
  <si>
    <t>Pessoal</t>
  </si>
  <si>
    <t>Notas</t>
  </si>
  <si>
    <t>Salários</t>
  </si>
  <si>
    <t>DETRAN - AC</t>
  </si>
  <si>
    <t>DETRAN - AL</t>
  </si>
  <si>
    <t>DETRAN - AM</t>
  </si>
  <si>
    <t>DETRAN - AP</t>
  </si>
  <si>
    <t>DETRAN - BA</t>
  </si>
  <si>
    <t>DETRAN - CE</t>
  </si>
  <si>
    <t>DETRAN - DF</t>
  </si>
  <si>
    <t>DETRAN - ES</t>
  </si>
  <si>
    <t>DETRAN - GO</t>
  </si>
  <si>
    <t>DETRAN - MA</t>
  </si>
  <si>
    <t>DETRAN - MG</t>
  </si>
  <si>
    <t>DETRAN - MS</t>
  </si>
  <si>
    <t>DETRAN - MT</t>
  </si>
  <si>
    <t>DETRAN - PA</t>
  </si>
  <si>
    <t>DETRAN - PB</t>
  </si>
  <si>
    <t>DETRAN - PE</t>
  </si>
  <si>
    <t>DETRAN - PI</t>
  </si>
  <si>
    <t>DETRAN - PR</t>
  </si>
  <si>
    <t>DETRAN - RJ</t>
  </si>
  <si>
    <t>DETRAN - RN</t>
  </si>
  <si>
    <t>DETRAN - RO</t>
  </si>
  <si>
    <t>DETRAN - RR</t>
  </si>
  <si>
    <t>DETRAN - RS</t>
  </si>
  <si>
    <t>DETRAN - SC</t>
  </si>
  <si>
    <t>DETRAN - SE</t>
  </si>
  <si>
    <t>DETRAN - SP</t>
  </si>
  <si>
    <t>DETRAN - TO</t>
  </si>
  <si>
    <t>Sistema SNG</t>
  </si>
  <si>
    <t>Outras contribuições</t>
  </si>
  <si>
    <t>Fundo de Garantia por Tempo de Serviço - FGTS</t>
  </si>
  <si>
    <t>Contribuição Previdenciária - INSS</t>
  </si>
  <si>
    <t>Contribuição para financiamento da Seguridade Social - COFINS</t>
  </si>
  <si>
    <t>Imposto sobre serviços de qualquer natureza - ISS</t>
  </si>
  <si>
    <t>Imposto de Renda Retido na Fonte - IRRF</t>
  </si>
  <si>
    <t>Receitas de aplicações financeiras</t>
  </si>
  <si>
    <t>Juros de empréstimos</t>
  </si>
  <si>
    <t>Atualização monetária</t>
  </si>
  <si>
    <t>Outras receitas financeiras</t>
  </si>
  <si>
    <t>IRRF sobre aplicações financeiras</t>
  </si>
  <si>
    <t>Cofins s/ receitas financeiras</t>
  </si>
  <si>
    <t>Despesas financeiras com câmbio</t>
  </si>
  <si>
    <t>Outras despesas financeiras</t>
  </si>
  <si>
    <t>Juros sobre empréstimos</t>
  </si>
  <si>
    <t>PIS s/ receitas financeiras</t>
  </si>
  <si>
    <t>Outras receitas</t>
  </si>
  <si>
    <t>Eventos</t>
  </si>
  <si>
    <t>Tributos incidentes sobre receitas</t>
  </si>
  <si>
    <t>Contribuição sindical</t>
  </si>
  <si>
    <t>Receita de aluguéis</t>
  </si>
  <si>
    <t>Sistema de contratos</t>
  </si>
  <si>
    <t>Custos - Sistema de contratos</t>
  </si>
  <si>
    <t>Outros custos</t>
  </si>
  <si>
    <t>Representação institucional</t>
  </si>
  <si>
    <t>Impostos e taxas</t>
  </si>
  <si>
    <t>Convênios</t>
  </si>
  <si>
    <t>Propaganda e divulgação</t>
  </si>
  <si>
    <t>Anúncios e editais</t>
  </si>
  <si>
    <t>Aluguel</t>
  </si>
  <si>
    <t>Condomínio</t>
  </si>
  <si>
    <t>Energia elétrica</t>
  </si>
  <si>
    <t>Conservação, manutenção e reparos</t>
  </si>
  <si>
    <t>Serviços de limpeza</t>
  </si>
  <si>
    <t>Outras</t>
  </si>
  <si>
    <t>Honorários de consultoria</t>
  </si>
  <si>
    <t>Serviços de informática</t>
  </si>
  <si>
    <t>Honorários advocatícios</t>
  </si>
  <si>
    <t>Honorários de assessorias</t>
  </si>
  <si>
    <t>Honorários de auditoria</t>
  </si>
  <si>
    <t>Outros serviços de terceiros</t>
  </si>
  <si>
    <t>Gerais e administrativas</t>
  </si>
  <si>
    <t>Contas a Receber</t>
  </si>
  <si>
    <t>Contas a Pagar</t>
  </si>
  <si>
    <t>Provisões e Encargos Trabalhistas</t>
  </si>
  <si>
    <t>Imobilizações em Curso</t>
  </si>
  <si>
    <t>Depósitos judiciais</t>
  </si>
  <si>
    <t>Contribuição regulamentar</t>
  </si>
  <si>
    <t>4.1.3.10</t>
  </si>
  <si>
    <t>4.1.3.10.03</t>
  </si>
  <si>
    <t>4.1.3.10.03.0001</t>
  </si>
  <si>
    <t>Realização de eventos</t>
  </si>
  <si>
    <t>Patrocínio de eventos</t>
  </si>
  <si>
    <t>Outros eventos</t>
  </si>
  <si>
    <t>Obras de arte</t>
  </si>
  <si>
    <t>Participações em sociedades</t>
  </si>
  <si>
    <t>SISEG</t>
  </si>
  <si>
    <t>F100000000</t>
  </si>
  <si>
    <t>F200000000</t>
  </si>
  <si>
    <t>F203000000</t>
  </si>
  <si>
    <t>F251100000</t>
  </si>
  <si>
    <t>F251101000</t>
  </si>
  <si>
    <t>F310000000</t>
  </si>
  <si>
    <t>F311100000</t>
  </si>
  <si>
    <t>F311100001</t>
  </si>
  <si>
    <t>F311101000</t>
  </si>
  <si>
    <t>F311102000</t>
  </si>
  <si>
    <t>F320000000</t>
  </si>
  <si>
    <t>F321100000</t>
  </si>
  <si>
    <t>F321101000</t>
  </si>
  <si>
    <t>F330000000</t>
  </si>
  <si>
    <t>F331000000</t>
  </si>
  <si>
    <t>F331101000</t>
  </si>
  <si>
    <t>F331102000</t>
  </si>
  <si>
    <t>F331102003</t>
  </si>
  <si>
    <t>F331102005</t>
  </si>
  <si>
    <t>F331102006</t>
  </si>
  <si>
    <t>F331102009</t>
  </si>
  <si>
    <t>F331102010</t>
  </si>
  <si>
    <t>F331102011</t>
  </si>
  <si>
    <t>F331102012</t>
  </si>
  <si>
    <t>F331102021</t>
  </si>
  <si>
    <t>F331102022</t>
  </si>
  <si>
    <t>F331102024</t>
  </si>
  <si>
    <t>F331102025</t>
  </si>
  <si>
    <t>F331102026</t>
  </si>
  <si>
    <t>F331102027</t>
  </si>
  <si>
    <t>F331102029</t>
  </si>
  <si>
    <t>F331102030</t>
  </si>
  <si>
    <t>F331102035</t>
  </si>
  <si>
    <t>F331102055</t>
  </si>
  <si>
    <t>F331102085</t>
  </si>
  <si>
    <t>F331104000</t>
  </si>
  <si>
    <t>F331104001</t>
  </si>
  <si>
    <t>F331104002</t>
  </si>
  <si>
    <t>F331104003</t>
  </si>
  <si>
    <t>F331105000</t>
  </si>
  <si>
    <t>F332000000</t>
  </si>
  <si>
    <t>F332100000</t>
  </si>
  <si>
    <t>F332101000</t>
  </si>
  <si>
    <t>F332200000</t>
  </si>
  <si>
    <t>F332300000</t>
  </si>
  <si>
    <t>F333100000</t>
  </si>
  <si>
    <t>F333101000</t>
  </si>
  <si>
    <t>F333103000</t>
  </si>
  <si>
    <t>F333104000</t>
  </si>
  <si>
    <t>F333200000</t>
  </si>
  <si>
    <t>F333201000</t>
  </si>
  <si>
    <t>F333202000</t>
  </si>
  <si>
    <t>F333204000</t>
  </si>
  <si>
    <t>F601000001</t>
  </si>
  <si>
    <t>F602000001</t>
  </si>
  <si>
    <t>F603000001</t>
  </si>
  <si>
    <t>F604000001</t>
  </si>
  <si>
    <t>F605000001</t>
  </si>
  <si>
    <t>Sistema Nacional de Gravames - SNG</t>
  </si>
  <si>
    <t>Aluguéis</t>
  </si>
  <si>
    <t>Serviços de terceiros</t>
  </si>
  <si>
    <t>Crédito COFINS</t>
  </si>
  <si>
    <t>Livros, Jornais e Revistas</t>
  </si>
  <si>
    <t>Assinaturas e M. Técnicos</t>
  </si>
  <si>
    <t>Representação Social</t>
  </si>
  <si>
    <t>Bens de pequeno valor</t>
  </si>
  <si>
    <t>Uniformne</t>
  </si>
  <si>
    <t>Outras desp administrativas</t>
  </si>
  <si>
    <t>Brindes</t>
  </si>
  <si>
    <t>Refeição</t>
  </si>
  <si>
    <t>Impressões / Material gráfico</t>
  </si>
  <si>
    <t>Maq., mov, equip. e utensílios</t>
  </si>
  <si>
    <t>Logística</t>
  </si>
  <si>
    <t>Despesas diversas de eventos</t>
  </si>
  <si>
    <t>Locomoção</t>
  </si>
  <si>
    <t>Acordos judiciais</t>
  </si>
  <si>
    <t>Material de expediente</t>
  </si>
  <si>
    <t>Baixas e cobranças</t>
  </si>
  <si>
    <t>Comunicação institucional</t>
  </si>
  <si>
    <t>Equipamentos</t>
  </si>
  <si>
    <t>Doações e contribuições</t>
  </si>
  <si>
    <t>41310</t>
  </si>
  <si>
    <t>4131003</t>
  </si>
  <si>
    <t>41310030001</t>
  </si>
  <si>
    <t>5</t>
  </si>
  <si>
    <t>3.1.2.01.02</t>
  </si>
  <si>
    <t>3.1.2.01.02.0001</t>
  </si>
  <si>
    <t>3.1.2.01.02.0002</t>
  </si>
  <si>
    <t>RECEITAS DE VENDAS DO IMOBILIZADO</t>
  </si>
  <si>
    <t>RECEITAS DE VENDAS DO ATIVO PERMANENTE</t>
  </si>
  <si>
    <t>RECEITAS DE VENDAS DO INVESTIMENTO</t>
  </si>
  <si>
    <t xml:space="preserve">RECEITAS DE VENDAS OUTRAS </t>
  </si>
  <si>
    <t>3.1.2.01.02.0003</t>
  </si>
  <si>
    <t>ASSESSORIA JURÍDICA</t>
  </si>
  <si>
    <t>GERÊNCIA DE CONTABILIDADE</t>
  </si>
  <si>
    <t>GERÊNCIA DE ORÇAMENTO</t>
  </si>
  <si>
    <t>GERÊNCIA DE PREVENÇÃO E COMBATE A FRAUDE</t>
  </si>
  <si>
    <t>INSTITUCIONAL - CAPITALIZAÇÃO</t>
  </si>
  <si>
    <t>INSTITUCIONAL - PREVIDÊNCIA PRIVADA</t>
  </si>
  <si>
    <t>INSTITUCIONAL - SAÚDE</t>
  </si>
  <si>
    <t>INSTITUCIONAL - SEGUROS GERAIS</t>
  </si>
  <si>
    <t>SUPERINTENDÊNCIA DE ACOMP. TÉCNICO</t>
  </si>
  <si>
    <t>Viagens</t>
  </si>
  <si>
    <t>Sistema de Contratos (Ex-Sircof)</t>
  </si>
  <si>
    <t>Outras despesas</t>
  </si>
  <si>
    <t>SERVICOS DE INFORMATICA E CONGENERES</t>
  </si>
  <si>
    <t>OUTROS SERVICOS DE TERCEIROS DIVERSOS</t>
  </si>
  <si>
    <t>UTILIZACAO DE EQUIPAMENTOS, MAQ., MOV. E UTENS.</t>
  </si>
  <si>
    <t>ALUGUEL DE EQUIPAMENTOS E MAQ.</t>
  </si>
  <si>
    <t>MANUTENCAO DE EQUIPAMENTOS E MAQ.</t>
  </si>
  <si>
    <t>IMPRESSÕES DE BANNER E, FOLDER E DIVERSOS</t>
  </si>
  <si>
    <t>Propaganda e Comunicação</t>
  </si>
  <si>
    <t>Publicação revistas de seguros - Custo</t>
  </si>
  <si>
    <t>Publicação revistas de seguros - Receita</t>
  </si>
  <si>
    <t>F331102056</t>
  </si>
  <si>
    <t>SNG - ACESSO CESER</t>
  </si>
  <si>
    <t>Centro de Custo</t>
  </si>
  <si>
    <t>Descrição</t>
  </si>
  <si>
    <t>Gerência</t>
  </si>
  <si>
    <t>Superintendência</t>
  </si>
  <si>
    <t>Diretoria</t>
  </si>
  <si>
    <t>Classificação BP e DRE</t>
  </si>
  <si>
    <t>F250000000</t>
  </si>
  <si>
    <t>CENTRAL DE BÔNUS</t>
  </si>
  <si>
    <t>F331107000</t>
  </si>
  <si>
    <t>SUPERINTENDÊNCIA DE RELAÇŌES DE CONSUMO E SUSTENTABILIDADE</t>
  </si>
  <si>
    <t>Detalhe</t>
  </si>
  <si>
    <t>Horas Extras</t>
  </si>
  <si>
    <t>Gratificacoes</t>
  </si>
  <si>
    <t>Ferias</t>
  </si>
  <si>
    <t>Pro Labore</t>
  </si>
  <si>
    <t>Decimo - Terceiro Salario</t>
  </si>
  <si>
    <t>Bonus</t>
  </si>
  <si>
    <t>Adicional Por Tempo De Servico</t>
  </si>
  <si>
    <t>Despesas Com Indenizacoes</t>
  </si>
  <si>
    <t>Aviso Previo</t>
  </si>
  <si>
    <t>Ferias Indenizadas</t>
  </si>
  <si>
    <t>Multa Rescisao Fgts</t>
  </si>
  <si>
    <t>13º Salario Proporcional (Indenizado)</t>
  </si>
  <si>
    <t>Multa Sobre Rescisao</t>
  </si>
  <si>
    <t>Indenizacoes Trabalhistas</t>
  </si>
  <si>
    <t>Despesas Com Assistencia Social</t>
  </si>
  <si>
    <t>Assistencia Medica E Odontologica</t>
  </si>
  <si>
    <t>Assistencia Medica</t>
  </si>
  <si>
    <t>Assistencia Odontologica</t>
  </si>
  <si>
    <t>Instrucao</t>
  </si>
  <si>
    <t>Bolsa Estagio</t>
  </si>
  <si>
    <t>Ajuda Educacional</t>
  </si>
  <si>
    <t>Treinamento</t>
  </si>
  <si>
    <t>Cursos, Seminarios E Palestras</t>
  </si>
  <si>
    <t>Despesas Com Viagens</t>
  </si>
  <si>
    <t>Seguros</t>
  </si>
  <si>
    <t>Seguro De Vida Em Grupo</t>
  </si>
  <si>
    <t>Alimentacao / Refeicao</t>
  </si>
  <si>
    <t>Vale Alimentacao</t>
  </si>
  <si>
    <t>Vale Refeicao</t>
  </si>
  <si>
    <t>Vale Transporte</t>
  </si>
  <si>
    <t>Outras Despesas Assistenciais</t>
  </si>
  <si>
    <t>Auxilio Creche</t>
  </si>
  <si>
    <t>Auxilio Baba</t>
  </si>
  <si>
    <t>Auxilio Doenca</t>
  </si>
  <si>
    <t>Medicina Do Trabalho</t>
  </si>
  <si>
    <t>Seguranca Do Trabalho</t>
  </si>
  <si>
    <t>Ambulatorio</t>
  </si>
  <si>
    <t>Auxilio Educacao</t>
  </si>
  <si>
    <t>Programas Assistenciais</t>
  </si>
  <si>
    <t>Despesas Com Encargos Sociais</t>
  </si>
  <si>
    <t>Inss</t>
  </si>
  <si>
    <t>Inss S/ Folha De Pagamento</t>
  </si>
  <si>
    <t>Inss S/ Ferias</t>
  </si>
  <si>
    <t>Inss S/ Rescisao</t>
  </si>
  <si>
    <t>Inss S/ 13º Salario</t>
  </si>
  <si>
    <t>Fgts</t>
  </si>
  <si>
    <t>Fgts S/ Folha De Pagamento</t>
  </si>
  <si>
    <t>Fgts S/ Ferias</t>
  </si>
  <si>
    <t>Fgts S/ Rescisao</t>
  </si>
  <si>
    <t>Fgts S/ 13º Salario</t>
  </si>
  <si>
    <t>Pis</t>
  </si>
  <si>
    <t>Pis S/ Folha De Pagamento</t>
  </si>
  <si>
    <t>Pis S/ Ferias</t>
  </si>
  <si>
    <t>Pis S/ Rescisao</t>
  </si>
  <si>
    <t>Pis S/ 13º Salario</t>
  </si>
  <si>
    <t>F331101001</t>
  </si>
  <si>
    <t>FORNEC. DE INF. P/ PROTEÇÃO AO SEGURO</t>
  </si>
  <si>
    <t>11</t>
  </si>
  <si>
    <t>111</t>
  </si>
  <si>
    <t>11101</t>
  </si>
  <si>
    <t>1110101</t>
  </si>
  <si>
    <t>11101010001</t>
  </si>
  <si>
    <t>11101010002</t>
  </si>
  <si>
    <t>11101010003</t>
  </si>
  <si>
    <t>11101010004</t>
  </si>
  <si>
    <t>11101010005</t>
  </si>
  <si>
    <t>11101010006</t>
  </si>
  <si>
    <t>11101010007</t>
  </si>
  <si>
    <t>11101010008</t>
  </si>
  <si>
    <t>11101010009</t>
  </si>
  <si>
    <t>11101010010</t>
  </si>
  <si>
    <t>11102</t>
  </si>
  <si>
    <t>1110201</t>
  </si>
  <si>
    <t>11102010001</t>
  </si>
  <si>
    <t>11102010002</t>
  </si>
  <si>
    <t>11102010003</t>
  </si>
  <si>
    <t>11102010004</t>
  </si>
  <si>
    <t>11102010005</t>
  </si>
  <si>
    <t>11102010006</t>
  </si>
  <si>
    <t>11102010007</t>
  </si>
  <si>
    <t>11102010008</t>
  </si>
  <si>
    <t>11102010009</t>
  </si>
  <si>
    <t>11102010010</t>
  </si>
  <si>
    <t>11102010011</t>
  </si>
  <si>
    <t>11102010012</t>
  </si>
  <si>
    <t>11102010013</t>
  </si>
  <si>
    <t>11102010014</t>
  </si>
  <si>
    <t>11102010015</t>
  </si>
  <si>
    <t>11102010016</t>
  </si>
  <si>
    <t>11102010017</t>
  </si>
  <si>
    <t>11102010018</t>
  </si>
  <si>
    <t>11102010019</t>
  </si>
  <si>
    <t>11102010020</t>
  </si>
  <si>
    <t>11102010021</t>
  </si>
  <si>
    <t>11102010022</t>
  </si>
  <si>
    <t>11102010023</t>
  </si>
  <si>
    <t>11102010024</t>
  </si>
  <si>
    <t>11102010025</t>
  </si>
  <si>
    <t>11102010026</t>
  </si>
  <si>
    <t>11102010027</t>
  </si>
  <si>
    <t>11102010028</t>
  </si>
  <si>
    <t>11102010029</t>
  </si>
  <si>
    <t>11102010030</t>
  </si>
  <si>
    <t>11102010031</t>
  </si>
  <si>
    <t>11102010032</t>
  </si>
  <si>
    <t>11102010033</t>
  </si>
  <si>
    <t>11102010034</t>
  </si>
  <si>
    <t>11102010035</t>
  </si>
  <si>
    <t>11102010036</t>
  </si>
  <si>
    <t>11102010037</t>
  </si>
  <si>
    <t>11102010038</t>
  </si>
  <si>
    <t>11102010039</t>
  </si>
  <si>
    <t>11102010040</t>
  </si>
  <si>
    <t>11102010041</t>
  </si>
  <si>
    <t>11102010042</t>
  </si>
  <si>
    <t>11102010043</t>
  </si>
  <si>
    <t>1110202</t>
  </si>
  <si>
    <t>11102020001</t>
  </si>
  <si>
    <t>11103</t>
  </si>
  <si>
    <t>1110301</t>
  </si>
  <si>
    <t>11103010001</t>
  </si>
  <si>
    <t>1110302</t>
  </si>
  <si>
    <t>11103020001</t>
  </si>
  <si>
    <t>1110303</t>
  </si>
  <si>
    <t>11103030001</t>
  </si>
  <si>
    <t>1110304</t>
  </si>
  <si>
    <t>11103040001</t>
  </si>
  <si>
    <t>112</t>
  </si>
  <si>
    <t>11201</t>
  </si>
  <si>
    <t>1120101</t>
  </si>
  <si>
    <t>11201010001</t>
  </si>
  <si>
    <t>1120102</t>
  </si>
  <si>
    <t>11201020001</t>
  </si>
  <si>
    <t>1120199</t>
  </si>
  <si>
    <t>11201990001</t>
  </si>
  <si>
    <t>113</t>
  </si>
  <si>
    <t>11301</t>
  </si>
  <si>
    <t>1130100</t>
  </si>
  <si>
    <t>11301000001</t>
  </si>
  <si>
    <t>11301000002</t>
  </si>
  <si>
    <t>11301000003</t>
  </si>
  <si>
    <t>11301000004</t>
  </si>
  <si>
    <t>11301000005</t>
  </si>
  <si>
    <t>11301000006</t>
  </si>
  <si>
    <t>11301000007</t>
  </si>
  <si>
    <t>11301000008</t>
  </si>
  <si>
    <t>1130101</t>
  </si>
  <si>
    <t>11301010001</t>
  </si>
  <si>
    <t>11301010002</t>
  </si>
  <si>
    <t>11301010003</t>
  </si>
  <si>
    <t>11301010004</t>
  </si>
  <si>
    <t>11301010005</t>
  </si>
  <si>
    <t>11301010006</t>
  </si>
  <si>
    <t>11301010007</t>
  </si>
  <si>
    <t>11301010008</t>
  </si>
  <si>
    <t>1130102</t>
  </si>
  <si>
    <t>11301020001</t>
  </si>
  <si>
    <t>1130103</t>
  </si>
  <si>
    <t>11301030001</t>
  </si>
  <si>
    <t>1130104</t>
  </si>
  <si>
    <t>11301040001</t>
  </si>
  <si>
    <t>11301040002</t>
  </si>
  <si>
    <t>1130105</t>
  </si>
  <si>
    <t>11301050001</t>
  </si>
  <si>
    <t>11301050002</t>
  </si>
  <si>
    <t>11301050003</t>
  </si>
  <si>
    <t>11301050004</t>
  </si>
  <si>
    <t>11301050005</t>
  </si>
  <si>
    <t>11301050006</t>
  </si>
  <si>
    <t>11301050099</t>
  </si>
  <si>
    <t>1130106</t>
  </si>
  <si>
    <t>11301060001</t>
  </si>
  <si>
    <t>11301060002</t>
  </si>
  <si>
    <t>11301060003</t>
  </si>
  <si>
    <t>11301060004</t>
  </si>
  <si>
    <t>11301060006</t>
  </si>
  <si>
    <t>11301060007</t>
  </si>
  <si>
    <t>1130107</t>
  </si>
  <si>
    <t>11301070001</t>
  </si>
  <si>
    <t>11301070002</t>
  </si>
  <si>
    <t>1130108</t>
  </si>
  <si>
    <t>11301080001</t>
  </si>
  <si>
    <t>11301080002</t>
  </si>
  <si>
    <t>11301080003</t>
  </si>
  <si>
    <t>114</t>
  </si>
  <si>
    <t>11401</t>
  </si>
  <si>
    <t>1140101</t>
  </si>
  <si>
    <t>11401010001</t>
  </si>
  <si>
    <t>115</t>
  </si>
  <si>
    <t>11501</t>
  </si>
  <si>
    <t>1150101</t>
  </si>
  <si>
    <t>11501010001</t>
  </si>
  <si>
    <t>11501010002</t>
  </si>
  <si>
    <t>11501010003</t>
  </si>
  <si>
    <t>11501010004</t>
  </si>
  <si>
    <t>11501010005</t>
  </si>
  <si>
    <t>11501010006</t>
  </si>
  <si>
    <t>116</t>
  </si>
  <si>
    <t>11601</t>
  </si>
  <si>
    <t>1160101</t>
  </si>
  <si>
    <t>11601010001</t>
  </si>
  <si>
    <t>11601010002</t>
  </si>
  <si>
    <t>11601010003</t>
  </si>
  <si>
    <t>11601010004</t>
  </si>
  <si>
    <t>117</t>
  </si>
  <si>
    <t>11701</t>
  </si>
  <si>
    <t>1170101</t>
  </si>
  <si>
    <t>11701010001</t>
  </si>
  <si>
    <t>12</t>
  </si>
  <si>
    <t>121</t>
  </si>
  <si>
    <t>12101</t>
  </si>
  <si>
    <t>1210101</t>
  </si>
  <si>
    <t>12101010001</t>
  </si>
  <si>
    <t>12101010002</t>
  </si>
  <si>
    <t>1210102</t>
  </si>
  <si>
    <t>12101020001</t>
  </si>
  <si>
    <t>12102</t>
  </si>
  <si>
    <t>1210201</t>
  </si>
  <si>
    <t>12102010001</t>
  </si>
  <si>
    <t>12103</t>
  </si>
  <si>
    <t>1210301</t>
  </si>
  <si>
    <t>12103010001</t>
  </si>
  <si>
    <t>122</t>
  </si>
  <si>
    <t>12201</t>
  </si>
  <si>
    <t>1220101</t>
  </si>
  <si>
    <t>12201010001</t>
  </si>
  <si>
    <t>12201010002</t>
  </si>
  <si>
    <t>12201010003</t>
  </si>
  <si>
    <t>12201010004</t>
  </si>
  <si>
    <t>12201010005</t>
  </si>
  <si>
    <t>12201010006</t>
  </si>
  <si>
    <t>12202</t>
  </si>
  <si>
    <t>1220201</t>
  </si>
  <si>
    <t>12202010001</t>
  </si>
  <si>
    <t>12202010002</t>
  </si>
  <si>
    <t>12202010003</t>
  </si>
  <si>
    <t>123</t>
  </si>
  <si>
    <t>12301</t>
  </si>
  <si>
    <t>1230101</t>
  </si>
  <si>
    <t>12301010001</t>
  </si>
  <si>
    <t>12301010002</t>
  </si>
  <si>
    <t>12301010003</t>
  </si>
  <si>
    <t>12301010004</t>
  </si>
  <si>
    <t>12301010005</t>
  </si>
  <si>
    <t>12301010006</t>
  </si>
  <si>
    <t>12301010007</t>
  </si>
  <si>
    <t>12301010009</t>
  </si>
  <si>
    <t>12301010010</t>
  </si>
  <si>
    <t>12301010011</t>
  </si>
  <si>
    <t>12301010012</t>
  </si>
  <si>
    <t>1230102</t>
  </si>
  <si>
    <t>12301020001</t>
  </si>
  <si>
    <t>12301020002</t>
  </si>
  <si>
    <t>12301020003</t>
  </si>
  <si>
    <t>12301020004</t>
  </si>
  <si>
    <t>12302</t>
  </si>
  <si>
    <t>1230201</t>
  </si>
  <si>
    <t>12302010002</t>
  </si>
  <si>
    <t>12302010003</t>
  </si>
  <si>
    <t>12302010004</t>
  </si>
  <si>
    <t>12302010005</t>
  </si>
  <si>
    <t>12302010006</t>
  </si>
  <si>
    <t>12302010009</t>
  </si>
  <si>
    <t>12302010010</t>
  </si>
  <si>
    <t>12302010011</t>
  </si>
  <si>
    <t>12305</t>
  </si>
  <si>
    <t>1230501</t>
  </si>
  <si>
    <t>12305010001</t>
  </si>
  <si>
    <t>12305010002</t>
  </si>
  <si>
    <t>19</t>
  </si>
  <si>
    <t>191</t>
  </si>
  <si>
    <t>19101</t>
  </si>
  <si>
    <t>1910101</t>
  </si>
  <si>
    <t>19101010001</t>
  </si>
  <si>
    <t>192</t>
  </si>
  <si>
    <t>19201</t>
  </si>
  <si>
    <t>1920101</t>
  </si>
  <si>
    <t>19201010001</t>
  </si>
  <si>
    <t>19201010002</t>
  </si>
  <si>
    <t>19201010003</t>
  </si>
  <si>
    <t>19201010004</t>
  </si>
  <si>
    <t>19201010006</t>
  </si>
  <si>
    <t>19201010007</t>
  </si>
  <si>
    <t>19201010008</t>
  </si>
  <si>
    <t>19201010009</t>
  </si>
  <si>
    <t>19201010010</t>
  </si>
  <si>
    <t>19201010011</t>
  </si>
  <si>
    <t>19201010012</t>
  </si>
  <si>
    <t>19201010013</t>
  </si>
  <si>
    <t>21</t>
  </si>
  <si>
    <t>211</t>
  </si>
  <si>
    <t>21101</t>
  </si>
  <si>
    <t>2110101</t>
  </si>
  <si>
    <t>21101010001</t>
  </si>
  <si>
    <t>21102</t>
  </si>
  <si>
    <t>2110201</t>
  </si>
  <si>
    <t>21102010001</t>
  </si>
  <si>
    <t>21102010002</t>
  </si>
  <si>
    <t>21102010003</t>
  </si>
  <si>
    <t>21103</t>
  </si>
  <si>
    <t>2110301</t>
  </si>
  <si>
    <t>21103010001</t>
  </si>
  <si>
    <t>212</t>
  </si>
  <si>
    <t>21201</t>
  </si>
  <si>
    <t>2120101</t>
  </si>
  <si>
    <t>21201010001</t>
  </si>
  <si>
    <t>21201010002</t>
  </si>
  <si>
    <t>21201010003</t>
  </si>
  <si>
    <t>21201010004</t>
  </si>
  <si>
    <t>21201010005</t>
  </si>
  <si>
    <t>2120102</t>
  </si>
  <si>
    <t>21201020001</t>
  </si>
  <si>
    <t>21201020002</t>
  </si>
  <si>
    <t>21202</t>
  </si>
  <si>
    <t>2120201</t>
  </si>
  <si>
    <t>21202010001</t>
  </si>
  <si>
    <t>21202010002</t>
  </si>
  <si>
    <t>21202010003</t>
  </si>
  <si>
    <t>2120202</t>
  </si>
  <si>
    <t>21202020001</t>
  </si>
  <si>
    <t>21202020002</t>
  </si>
  <si>
    <t>21202020003</t>
  </si>
  <si>
    <t>2120203</t>
  </si>
  <si>
    <t>21202030001</t>
  </si>
  <si>
    <t>2120204</t>
  </si>
  <si>
    <t>21202040001</t>
  </si>
  <si>
    <t>2120205</t>
  </si>
  <si>
    <t>21202050001</t>
  </si>
  <si>
    <t>21202050002</t>
  </si>
  <si>
    <t>21202050003</t>
  </si>
  <si>
    <t>21202050004</t>
  </si>
  <si>
    <t>21203</t>
  </si>
  <si>
    <t>2120301</t>
  </si>
  <si>
    <t>21203010001</t>
  </si>
  <si>
    <t>2120302</t>
  </si>
  <si>
    <t>21203020001</t>
  </si>
  <si>
    <t>213</t>
  </si>
  <si>
    <t>21301</t>
  </si>
  <si>
    <t>2130101</t>
  </si>
  <si>
    <t>21301010001</t>
  </si>
  <si>
    <t>21301010002</t>
  </si>
  <si>
    <t>21301010003</t>
  </si>
  <si>
    <t>2130102</t>
  </si>
  <si>
    <t>21301020001</t>
  </si>
  <si>
    <t>21301020002</t>
  </si>
  <si>
    <t>21301020003</t>
  </si>
  <si>
    <t>21301020004</t>
  </si>
  <si>
    <t>2130103</t>
  </si>
  <si>
    <t>21301030001</t>
  </si>
  <si>
    <t>2130104</t>
  </si>
  <si>
    <t>21301040001</t>
  </si>
  <si>
    <t>2130105</t>
  </si>
  <si>
    <t>21301050001</t>
  </si>
  <si>
    <t>2130106</t>
  </si>
  <si>
    <t>21301060001</t>
  </si>
  <si>
    <t>21302</t>
  </si>
  <si>
    <t>2130201</t>
  </si>
  <si>
    <t>21302010001</t>
  </si>
  <si>
    <t>21302010002</t>
  </si>
  <si>
    <t>21302010003</t>
  </si>
  <si>
    <t>21302010004</t>
  </si>
  <si>
    <t>21302010005</t>
  </si>
  <si>
    <t>21303</t>
  </si>
  <si>
    <t>2130301</t>
  </si>
  <si>
    <t>21303010001</t>
  </si>
  <si>
    <t>21303010002</t>
  </si>
  <si>
    <t>21303010003</t>
  </si>
  <si>
    <t>21303010004</t>
  </si>
  <si>
    <t>214</t>
  </si>
  <si>
    <t>21401</t>
  </si>
  <si>
    <t>2140101</t>
  </si>
  <si>
    <t>21401010001</t>
  </si>
  <si>
    <t>21401010002</t>
  </si>
  <si>
    <t>21401010003</t>
  </si>
  <si>
    <t>21401010004</t>
  </si>
  <si>
    <t>21401010005</t>
  </si>
  <si>
    <t>21401010006</t>
  </si>
  <si>
    <t>21401010007</t>
  </si>
  <si>
    <t>21401010008</t>
  </si>
  <si>
    <t>21401010009</t>
  </si>
  <si>
    <t>21401010010</t>
  </si>
  <si>
    <t>21401010011</t>
  </si>
  <si>
    <t>21401010012</t>
  </si>
  <si>
    <t>21401010013</t>
  </si>
  <si>
    <t>21401010014</t>
  </si>
  <si>
    <t>21401010015</t>
  </si>
  <si>
    <t>21401010016</t>
  </si>
  <si>
    <t>21401010017</t>
  </si>
  <si>
    <t>21401010018</t>
  </si>
  <si>
    <t>21401010019</t>
  </si>
  <si>
    <t>21401010020</t>
  </si>
  <si>
    <t>21401010021</t>
  </si>
  <si>
    <t>21401010022</t>
  </si>
  <si>
    <t>21401010023</t>
  </si>
  <si>
    <t>21401010024</t>
  </si>
  <si>
    <t>21401010025</t>
  </si>
  <si>
    <t>21401010026</t>
  </si>
  <si>
    <t>21401010027</t>
  </si>
  <si>
    <t>216</t>
  </si>
  <si>
    <t>21601</t>
  </si>
  <si>
    <t>2160101</t>
  </si>
  <si>
    <t>21601010001</t>
  </si>
  <si>
    <t>21601010002</t>
  </si>
  <si>
    <t>21601010003</t>
  </si>
  <si>
    <t>21601010004</t>
  </si>
  <si>
    <t>21602</t>
  </si>
  <si>
    <t>2160201</t>
  </si>
  <si>
    <t>21602010001</t>
  </si>
  <si>
    <t>21602010002</t>
  </si>
  <si>
    <t>21602010003</t>
  </si>
  <si>
    <t>21602010004</t>
  </si>
  <si>
    <t>217</t>
  </si>
  <si>
    <t>21701</t>
  </si>
  <si>
    <t>2170101</t>
  </si>
  <si>
    <t>21701010001</t>
  </si>
  <si>
    <t>218</t>
  </si>
  <si>
    <t>21801</t>
  </si>
  <si>
    <t>2180101</t>
  </si>
  <si>
    <t>21801010001</t>
  </si>
  <si>
    <t>219</t>
  </si>
  <si>
    <t>21901</t>
  </si>
  <si>
    <t>2190101</t>
  </si>
  <si>
    <t>21901010001</t>
  </si>
  <si>
    <t>22</t>
  </si>
  <si>
    <t>221</t>
  </si>
  <si>
    <t>22101</t>
  </si>
  <si>
    <t>2210101</t>
  </si>
  <si>
    <t>22101010001</t>
  </si>
  <si>
    <t>2210102</t>
  </si>
  <si>
    <t>22101020001</t>
  </si>
  <si>
    <t>2210103</t>
  </si>
  <si>
    <t>22101030001</t>
  </si>
  <si>
    <t>222</t>
  </si>
  <si>
    <t>22201</t>
  </si>
  <si>
    <t>2220101</t>
  </si>
  <si>
    <t>22201010001</t>
  </si>
  <si>
    <t>223</t>
  </si>
  <si>
    <t>22301</t>
  </si>
  <si>
    <t>2230101</t>
  </si>
  <si>
    <t>22301010001</t>
  </si>
  <si>
    <t>22301010002</t>
  </si>
  <si>
    <t>224</t>
  </si>
  <si>
    <t>22401</t>
  </si>
  <si>
    <t>2240101</t>
  </si>
  <si>
    <t>22401010001</t>
  </si>
  <si>
    <t>2240102</t>
  </si>
  <si>
    <t>22401020001</t>
  </si>
  <si>
    <t>2240103</t>
  </si>
  <si>
    <t>22401030001</t>
  </si>
  <si>
    <t>24</t>
  </si>
  <si>
    <t>241</t>
  </si>
  <si>
    <t>24101</t>
  </si>
  <si>
    <t>2410101</t>
  </si>
  <si>
    <t>24101010001</t>
  </si>
  <si>
    <t>24101010002</t>
  </si>
  <si>
    <t>24101010003</t>
  </si>
  <si>
    <t>24102</t>
  </si>
  <si>
    <t>2410201</t>
  </si>
  <si>
    <t>24102010001</t>
  </si>
  <si>
    <t>24102010002</t>
  </si>
  <si>
    <t>24103</t>
  </si>
  <si>
    <t>2410301</t>
  </si>
  <si>
    <t>24103010001</t>
  </si>
  <si>
    <t>24103010002</t>
  </si>
  <si>
    <t>25</t>
  </si>
  <si>
    <t>251</t>
  </si>
  <si>
    <t>25101</t>
  </si>
  <si>
    <t>2510101</t>
  </si>
  <si>
    <t>25101010001</t>
  </si>
  <si>
    <t>25102</t>
  </si>
  <si>
    <t>2510201</t>
  </si>
  <si>
    <t>25102010001</t>
  </si>
  <si>
    <t>25102010002</t>
  </si>
  <si>
    <t>252</t>
  </si>
  <si>
    <t>25201</t>
  </si>
  <si>
    <t>2520101</t>
  </si>
  <si>
    <t>25201010001</t>
  </si>
  <si>
    <t>25202</t>
  </si>
  <si>
    <t>2520201</t>
  </si>
  <si>
    <t>25202010001</t>
  </si>
  <si>
    <t>25202010002</t>
  </si>
  <si>
    <t>25202010003</t>
  </si>
  <si>
    <t>25202010004</t>
  </si>
  <si>
    <t>25202010005</t>
  </si>
  <si>
    <t>25202010006</t>
  </si>
  <si>
    <t>253</t>
  </si>
  <si>
    <t>25301</t>
  </si>
  <si>
    <t>2530101</t>
  </si>
  <si>
    <t>25301010001</t>
  </si>
  <si>
    <t>25301010002</t>
  </si>
  <si>
    <t>254</t>
  </si>
  <si>
    <t>25401</t>
  </si>
  <si>
    <t>2540101</t>
  </si>
  <si>
    <t>25401010001</t>
  </si>
  <si>
    <t>29</t>
  </si>
  <si>
    <t>291</t>
  </si>
  <si>
    <t>29101</t>
  </si>
  <si>
    <t>2910101</t>
  </si>
  <si>
    <t>29101010001</t>
  </si>
  <si>
    <t>292</t>
  </si>
  <si>
    <t>29201</t>
  </si>
  <si>
    <t>2920101</t>
  </si>
  <si>
    <t>29201010001</t>
  </si>
  <si>
    <t>29201010002</t>
  </si>
  <si>
    <t>29201010003</t>
  </si>
  <si>
    <t>29201010004</t>
  </si>
  <si>
    <t>29201010006</t>
  </si>
  <si>
    <t>29201010007</t>
  </si>
  <si>
    <t>29201010008</t>
  </si>
  <si>
    <t>29201010009</t>
  </si>
  <si>
    <t>29201010010</t>
  </si>
  <si>
    <t>29201010011</t>
  </si>
  <si>
    <t>29201010012</t>
  </si>
  <si>
    <t>29201010013</t>
  </si>
  <si>
    <t>31</t>
  </si>
  <si>
    <t>311</t>
  </si>
  <si>
    <t>31101</t>
  </si>
  <si>
    <t>3110101</t>
  </si>
  <si>
    <t>31101010001</t>
  </si>
  <si>
    <t>31101010002</t>
  </si>
  <si>
    <t>31102</t>
  </si>
  <si>
    <t>3110201</t>
  </si>
  <si>
    <t>31102010001</t>
  </si>
  <si>
    <t>31102010002</t>
  </si>
  <si>
    <t>31103</t>
  </si>
  <si>
    <t>3110301</t>
  </si>
  <si>
    <t>31103010001</t>
  </si>
  <si>
    <t>31106</t>
  </si>
  <si>
    <t>3110601</t>
  </si>
  <si>
    <t>31106010001</t>
  </si>
  <si>
    <t>31106010002</t>
  </si>
  <si>
    <t>31106010003</t>
  </si>
  <si>
    <t>31107</t>
  </si>
  <si>
    <t>3110701</t>
  </si>
  <si>
    <t>31107010001</t>
  </si>
  <si>
    <t>31108</t>
  </si>
  <si>
    <t>3110801</t>
  </si>
  <si>
    <t>31108010001</t>
  </si>
  <si>
    <t>31108010002</t>
  </si>
  <si>
    <t>31108010003</t>
  </si>
  <si>
    <t>31108010005</t>
  </si>
  <si>
    <t>31108010006</t>
  </si>
  <si>
    <t>31109</t>
  </si>
  <si>
    <t>3110901</t>
  </si>
  <si>
    <t>31109010001</t>
  </si>
  <si>
    <t>31110</t>
  </si>
  <si>
    <t>3111001</t>
  </si>
  <si>
    <t>31110010001</t>
  </si>
  <si>
    <t>31110010002</t>
  </si>
  <si>
    <t>31110010003</t>
  </si>
  <si>
    <t>31110010004</t>
  </si>
  <si>
    <t>3111002</t>
  </si>
  <si>
    <t>31110020001</t>
  </si>
  <si>
    <t>31110020002</t>
  </si>
  <si>
    <t>31110020003</t>
  </si>
  <si>
    <t>31110020004</t>
  </si>
  <si>
    <t>31110020005</t>
  </si>
  <si>
    <t>31110020006</t>
  </si>
  <si>
    <t>31110020007</t>
  </si>
  <si>
    <t>31111</t>
  </si>
  <si>
    <t>3111101</t>
  </si>
  <si>
    <t>31111010001</t>
  </si>
  <si>
    <t>312</t>
  </si>
  <si>
    <t>31201</t>
  </si>
  <si>
    <t>3120101</t>
  </si>
  <si>
    <t>31201010001</t>
  </si>
  <si>
    <t>31201010002</t>
  </si>
  <si>
    <t>31201010003</t>
  </si>
  <si>
    <t>3120102</t>
  </si>
  <si>
    <t>31201020001</t>
  </si>
  <si>
    <t>31201020002</t>
  </si>
  <si>
    <t>31201020003</t>
  </si>
  <si>
    <t>32</t>
  </si>
  <si>
    <t>321</t>
  </si>
  <si>
    <t>32101</t>
  </si>
  <si>
    <t>3210101</t>
  </si>
  <si>
    <t>32101010001</t>
  </si>
  <si>
    <t>32101010002</t>
  </si>
  <si>
    <t>3210102</t>
  </si>
  <si>
    <t>32101020001</t>
  </si>
  <si>
    <t>32102</t>
  </si>
  <si>
    <t>3210201</t>
  </si>
  <si>
    <t>32102010001</t>
  </si>
  <si>
    <t>32102010002</t>
  </si>
  <si>
    <t>3210202</t>
  </si>
  <si>
    <t>32102020001</t>
  </si>
  <si>
    <t>33</t>
  </si>
  <si>
    <t>331</t>
  </si>
  <si>
    <t>33101</t>
  </si>
  <si>
    <t>3310101</t>
  </si>
  <si>
    <t>33101010001</t>
  </si>
  <si>
    <t>33101010005</t>
  </si>
  <si>
    <t>3310102</t>
  </si>
  <si>
    <t>33101020001</t>
  </si>
  <si>
    <t>3310103</t>
  </si>
  <si>
    <t>33101030001</t>
  </si>
  <si>
    <t>34</t>
  </si>
  <si>
    <t>341</t>
  </si>
  <si>
    <t>34101</t>
  </si>
  <si>
    <t>3410101</t>
  </si>
  <si>
    <t>34101010001</t>
  </si>
  <si>
    <t>34101010002</t>
  </si>
  <si>
    <t>41</t>
  </si>
  <si>
    <t>411</t>
  </si>
  <si>
    <t>41101</t>
  </si>
  <si>
    <t>4110101</t>
  </si>
  <si>
    <t>41101010001</t>
  </si>
  <si>
    <t>41101010002</t>
  </si>
  <si>
    <t>41101010003</t>
  </si>
  <si>
    <t>4110102</t>
  </si>
  <si>
    <t>41101020001</t>
  </si>
  <si>
    <t>41101020002</t>
  </si>
  <si>
    <t>41101020003</t>
  </si>
  <si>
    <t>41101020004</t>
  </si>
  <si>
    <t>41101020005</t>
  </si>
  <si>
    <t>412</t>
  </si>
  <si>
    <t>41201</t>
  </si>
  <si>
    <t>4120101</t>
  </si>
  <si>
    <t>41201010001</t>
  </si>
  <si>
    <t>41201010002</t>
  </si>
  <si>
    <t>41201010003</t>
  </si>
  <si>
    <t>41201010004</t>
  </si>
  <si>
    <t>41201010005</t>
  </si>
  <si>
    <t>41201010006</t>
  </si>
  <si>
    <t>41201010007</t>
  </si>
  <si>
    <t>41201010008</t>
  </si>
  <si>
    <t>41202</t>
  </si>
  <si>
    <t>4120201</t>
  </si>
  <si>
    <t>41202010001</t>
  </si>
  <si>
    <t>41202010002</t>
  </si>
  <si>
    <t>41202010003</t>
  </si>
  <si>
    <t>41202010004</t>
  </si>
  <si>
    <t>41202010005</t>
  </si>
  <si>
    <t>41202010006</t>
  </si>
  <si>
    <t>41203</t>
  </si>
  <si>
    <t>4120301</t>
  </si>
  <si>
    <t>41203010001</t>
  </si>
  <si>
    <t>41203010002</t>
  </si>
  <si>
    <t>4120302</t>
  </si>
  <si>
    <t>41203020001</t>
  </si>
  <si>
    <t>41203020002</t>
  </si>
  <si>
    <t>4120303</t>
  </si>
  <si>
    <t>41203030001</t>
  </si>
  <si>
    <t>41203030002</t>
  </si>
  <si>
    <t>4120304</t>
  </si>
  <si>
    <t>41203040001</t>
  </si>
  <si>
    <t>4120305</t>
  </si>
  <si>
    <t>41203050001</t>
  </si>
  <si>
    <t>41203050002</t>
  </si>
  <si>
    <t>4120306</t>
  </si>
  <si>
    <t>41203060001</t>
  </si>
  <si>
    <t>4120307</t>
  </si>
  <si>
    <t>41203070001</t>
  </si>
  <si>
    <t>41203070002</t>
  </si>
  <si>
    <t>41203070003</t>
  </si>
  <si>
    <t>41203070004</t>
  </si>
  <si>
    <t>41203070005</t>
  </si>
  <si>
    <t>41203070006</t>
  </si>
  <si>
    <t>41203070007</t>
  </si>
  <si>
    <t>41203070008</t>
  </si>
  <si>
    <t>41204</t>
  </si>
  <si>
    <t>4120401</t>
  </si>
  <si>
    <t>41204010001</t>
  </si>
  <si>
    <t>41204010002</t>
  </si>
  <si>
    <t>41204010003</t>
  </si>
  <si>
    <t>41204010004</t>
  </si>
  <si>
    <t>4120402</t>
  </si>
  <si>
    <t>41204020001</t>
  </si>
  <si>
    <t>41204020002</t>
  </si>
  <si>
    <t>41204020003</t>
  </si>
  <si>
    <t>41204020004</t>
  </si>
  <si>
    <t>4120403</t>
  </si>
  <si>
    <t>41204030001</t>
  </si>
  <si>
    <t>41204030002</t>
  </si>
  <si>
    <t>41204030003</t>
  </si>
  <si>
    <t>41204030004</t>
  </si>
  <si>
    <t>413</t>
  </si>
  <si>
    <t>41301</t>
  </si>
  <si>
    <t>4130101</t>
  </si>
  <si>
    <t>41301010001</t>
  </si>
  <si>
    <t>41301010002</t>
  </si>
  <si>
    <t>41301010003</t>
  </si>
  <si>
    <t>41301010004</t>
  </si>
  <si>
    <t>41301010005</t>
  </si>
  <si>
    <t>41301010006</t>
  </si>
  <si>
    <t>41301010007</t>
  </si>
  <si>
    <t>41301010008</t>
  </si>
  <si>
    <t>41301010009</t>
  </si>
  <si>
    <t>41302</t>
  </si>
  <si>
    <t>4130201</t>
  </si>
  <si>
    <t>41302010001</t>
  </si>
  <si>
    <t>41302010002</t>
  </si>
  <si>
    <t>41302010003</t>
  </si>
  <si>
    <t>41302010004</t>
  </si>
  <si>
    <t>41302010005</t>
  </si>
  <si>
    <t>41302010006</t>
  </si>
  <si>
    <t>41302010007</t>
  </si>
  <si>
    <t>41302010008</t>
  </si>
  <si>
    <t>41303</t>
  </si>
  <si>
    <t>4130301</t>
  </si>
  <si>
    <t>41303010001</t>
  </si>
  <si>
    <t>41303010002</t>
  </si>
  <si>
    <t>41303010003</t>
  </si>
  <si>
    <t>41303010004</t>
  </si>
  <si>
    <t>41303010005</t>
  </si>
  <si>
    <t>41303010006</t>
  </si>
  <si>
    <t>41304</t>
  </si>
  <si>
    <t>4130401</t>
  </si>
  <si>
    <t>41304010001</t>
  </si>
  <si>
    <t>41304010002</t>
  </si>
  <si>
    <t>41304010003</t>
  </si>
  <si>
    <t>41304010004</t>
  </si>
  <si>
    <t>41304010005</t>
  </si>
  <si>
    <t>41304010006</t>
  </si>
  <si>
    <t>41304010007</t>
  </si>
  <si>
    <t>41304010008</t>
  </si>
  <si>
    <t>41304010009</t>
  </si>
  <si>
    <t>41304010010</t>
  </si>
  <si>
    <t>41304010011</t>
  </si>
  <si>
    <t>41305</t>
  </si>
  <si>
    <t>4130501</t>
  </si>
  <si>
    <t>41305010001</t>
  </si>
  <si>
    <t>41305010002</t>
  </si>
  <si>
    <t>41306</t>
  </si>
  <si>
    <t>4130601</t>
  </si>
  <si>
    <t>41306010001</t>
  </si>
  <si>
    <t>41306010002</t>
  </si>
  <si>
    <t>41306010003</t>
  </si>
  <si>
    <t>41306010004</t>
  </si>
  <si>
    <t>41306010005</t>
  </si>
  <si>
    <t>41307</t>
  </si>
  <si>
    <t>4130701</t>
  </si>
  <si>
    <t>41307010001</t>
  </si>
  <si>
    <t>41307010002</t>
  </si>
  <si>
    <t>41308</t>
  </si>
  <si>
    <t>4130801</t>
  </si>
  <si>
    <t>41308010001</t>
  </si>
  <si>
    <t>4130802</t>
  </si>
  <si>
    <t>41308020001</t>
  </si>
  <si>
    <t>41309</t>
  </si>
  <si>
    <t>4130901</t>
  </si>
  <si>
    <t>41309010001</t>
  </si>
  <si>
    <t>41309010002</t>
  </si>
  <si>
    <t>41309010003</t>
  </si>
  <si>
    <t>41309010004</t>
  </si>
  <si>
    <t>41309010005</t>
  </si>
  <si>
    <t>41309010006</t>
  </si>
  <si>
    <t>41309010007</t>
  </si>
  <si>
    <t>41309010008</t>
  </si>
  <si>
    <t>41309010009</t>
  </si>
  <si>
    <t>41309010010</t>
  </si>
  <si>
    <t>41312</t>
  </si>
  <si>
    <t>4131201</t>
  </si>
  <si>
    <t>41312010001</t>
  </si>
  <si>
    <t>41313</t>
  </si>
  <si>
    <t>4131301</t>
  </si>
  <si>
    <t>41313010001</t>
  </si>
  <si>
    <t>41313010002</t>
  </si>
  <si>
    <t>41313010003</t>
  </si>
  <si>
    <t>41313010004</t>
  </si>
  <si>
    <t>41314</t>
  </si>
  <si>
    <t>4131401</t>
  </si>
  <si>
    <t>41314010001</t>
  </si>
  <si>
    <t>41314010002</t>
  </si>
  <si>
    <t>41315</t>
  </si>
  <si>
    <t>4131501</t>
  </si>
  <si>
    <t>41315010001</t>
  </si>
  <si>
    <t>41316</t>
  </si>
  <si>
    <t>4131601</t>
  </si>
  <si>
    <t>41316010001</t>
  </si>
  <si>
    <t>41317</t>
  </si>
  <si>
    <t>4131701</t>
  </si>
  <si>
    <t>41317010001</t>
  </si>
  <si>
    <t>41317010002</t>
  </si>
  <si>
    <t>41317010003</t>
  </si>
  <si>
    <t>41317010004</t>
  </si>
  <si>
    <t>41317010005</t>
  </si>
  <si>
    <t>41317010006</t>
  </si>
  <si>
    <t>41317010007</t>
  </si>
  <si>
    <t>41317010008</t>
  </si>
  <si>
    <t>41317010009</t>
  </si>
  <si>
    <t>41317010010</t>
  </si>
  <si>
    <t>41317010011</t>
  </si>
  <si>
    <t>41317010012</t>
  </si>
  <si>
    <t>41318</t>
  </si>
  <si>
    <t>4131801</t>
  </si>
  <si>
    <t>41318010002</t>
  </si>
  <si>
    <t>41318010003</t>
  </si>
  <si>
    <t>41318010004</t>
  </si>
  <si>
    <t>41318010005</t>
  </si>
  <si>
    <t>41318010006</t>
  </si>
  <si>
    <t>41318010009</t>
  </si>
  <si>
    <t>41318010010</t>
  </si>
  <si>
    <t>41318010011</t>
  </si>
  <si>
    <t>41318010012</t>
  </si>
  <si>
    <t>41321</t>
  </si>
  <si>
    <t>4132101</t>
  </si>
  <si>
    <t>41321010001</t>
  </si>
  <si>
    <t>41321010002</t>
  </si>
  <si>
    <t>41321010003</t>
  </si>
  <si>
    <t>41322</t>
  </si>
  <si>
    <t>4132201</t>
  </si>
  <si>
    <t>41322010001</t>
  </si>
  <si>
    <t>41322010002</t>
  </si>
  <si>
    <t>41323</t>
  </si>
  <si>
    <t>4132301</t>
  </si>
  <si>
    <t>41323010001</t>
  </si>
  <si>
    <t>41323010002</t>
  </si>
  <si>
    <t>41323010003</t>
  </si>
  <si>
    <t>414</t>
  </si>
  <si>
    <t>41401</t>
  </si>
  <si>
    <t>4140101</t>
  </si>
  <si>
    <t>41401010001</t>
  </si>
  <si>
    <t>41401010002</t>
  </si>
  <si>
    <t>4140102</t>
  </si>
  <si>
    <t>41401020001</t>
  </si>
  <si>
    <t>41401020002</t>
  </si>
  <si>
    <t>41401020003</t>
  </si>
  <si>
    <t>41401020004</t>
  </si>
  <si>
    <t>41401020005</t>
  </si>
  <si>
    <t>41402</t>
  </si>
  <si>
    <t>4140201</t>
  </si>
  <si>
    <t>41402010001</t>
  </si>
  <si>
    <t>41403</t>
  </si>
  <si>
    <t>4140301</t>
  </si>
  <si>
    <t>41403010001</t>
  </si>
  <si>
    <t>41403010002</t>
  </si>
  <si>
    <t>41403010003</t>
  </si>
  <si>
    <t>41403010004</t>
  </si>
  <si>
    <t>41403010005</t>
  </si>
  <si>
    <t>41403010006</t>
  </si>
  <si>
    <t>41403010007</t>
  </si>
  <si>
    <t>41403010008</t>
  </si>
  <si>
    <t>41403010009</t>
  </si>
  <si>
    <t>41404</t>
  </si>
  <si>
    <t>4140401</t>
  </si>
  <si>
    <t>41404010001</t>
  </si>
  <si>
    <t>41404010002</t>
  </si>
  <si>
    <t>41405</t>
  </si>
  <si>
    <t>4140501</t>
  </si>
  <si>
    <t>41405010001</t>
  </si>
  <si>
    <t>415</t>
  </si>
  <si>
    <t>41501</t>
  </si>
  <si>
    <t>4150101</t>
  </si>
  <si>
    <t>41501010001</t>
  </si>
  <si>
    <t>42</t>
  </si>
  <si>
    <t>421</t>
  </si>
  <si>
    <t>42101</t>
  </si>
  <si>
    <t>4210101</t>
  </si>
  <si>
    <t>42101010001</t>
  </si>
  <si>
    <t>42101010002</t>
  </si>
  <si>
    <t>42101010003</t>
  </si>
  <si>
    <t>43</t>
  </si>
  <si>
    <t>431</t>
  </si>
  <si>
    <t>43101</t>
  </si>
  <si>
    <t>4310101</t>
  </si>
  <si>
    <t>43101010001</t>
  </si>
  <si>
    <t>43101010002</t>
  </si>
  <si>
    <t>432</t>
  </si>
  <si>
    <t>43201</t>
  </si>
  <si>
    <t>4320101</t>
  </si>
  <si>
    <t>43201010001</t>
  </si>
  <si>
    <t>43201010002</t>
  </si>
  <si>
    <t>43201010003</t>
  </si>
  <si>
    <t>51</t>
  </si>
  <si>
    <t>511</t>
  </si>
  <si>
    <t>51101</t>
  </si>
  <si>
    <t>5110101</t>
  </si>
  <si>
    <t>51101010001</t>
  </si>
  <si>
    <t>51101010002</t>
  </si>
  <si>
    <t>F331102088</t>
  </si>
  <si>
    <t xml:space="preserve"> Receita de Inscrições</t>
  </si>
  <si>
    <t>Contribuição Assistencial</t>
  </si>
  <si>
    <t>Outros (Recto Duplicidade, des</t>
  </si>
  <si>
    <t>Receita de Patrocinios</t>
  </si>
  <si>
    <t>Recuperação Despesas - Outras</t>
  </si>
  <si>
    <t>Rendimento CDB</t>
  </si>
  <si>
    <t>Rendimento Fundos</t>
  </si>
  <si>
    <t>Rendimento Outras Aplicações</t>
  </si>
  <si>
    <t>SIRCOF</t>
  </si>
  <si>
    <t>SNG</t>
  </si>
  <si>
    <t>Outras Rec. Não Operacionais</t>
  </si>
  <si>
    <t xml:space="preserve">Devoluções </t>
  </si>
  <si>
    <t>Cotribuição Associativa</t>
  </si>
  <si>
    <t>Espaço Revista de Seguros</t>
  </si>
  <si>
    <t>Devol. IRRF apl Financeira</t>
  </si>
  <si>
    <t xml:space="preserve">Outras Receitas </t>
  </si>
  <si>
    <t>Acesso Movel Internet</t>
  </si>
  <si>
    <t>Alimentação Func</t>
  </si>
  <si>
    <t>Aluguel de Equipamentos e Maq</t>
  </si>
  <si>
    <t>Aluguel de Veículos</t>
  </si>
  <si>
    <t>Anuidades</t>
  </si>
  <si>
    <t>Anuncios e Editais</t>
  </si>
  <si>
    <t>Assinaturas e Manuais Tecnicos</t>
  </si>
  <si>
    <t>Assistencia odontologica</t>
  </si>
  <si>
    <t>Ativos imobilizados</t>
  </si>
  <si>
    <t>Bens de Pequeno Valor</t>
  </si>
  <si>
    <t>Bolsa estagio</t>
  </si>
  <si>
    <t>Cofins</t>
  </si>
  <si>
    <t>Combustível</t>
  </si>
  <si>
    <t>Condominio</t>
  </si>
  <si>
    <t>Conferência</t>
  </si>
  <si>
    <t>Conservacao, Manutenção e Repa</t>
  </si>
  <si>
    <t>Contribuições a Entidades</t>
  </si>
  <si>
    <t>Cooffe Break - eventos interno</t>
  </si>
  <si>
    <t>Correios</t>
  </si>
  <si>
    <t>Cursos, Seminarios e Palestras</t>
  </si>
  <si>
    <t>Custos Espaço Revista</t>
  </si>
  <si>
    <t>Custos s/Registros - Consultas</t>
  </si>
  <si>
    <t>Desp Serv Org Festas -Eventos</t>
  </si>
  <si>
    <t>Despesas com Publicações</t>
  </si>
  <si>
    <t>Despesas com viagens</t>
  </si>
  <si>
    <t>Despesas Legais e Judiciais</t>
  </si>
  <si>
    <t>Doações Diversas</t>
  </si>
  <si>
    <t>Energia Eletrica</t>
  </si>
  <si>
    <t>Férias</t>
  </si>
  <si>
    <t>Gestao de Documentos</t>
  </si>
  <si>
    <t>Honor Palestrantes/Agenciament</t>
  </si>
  <si>
    <t>Honorarios Advocaticios</t>
  </si>
  <si>
    <t>Honorarios de Assessorias</t>
  </si>
  <si>
    <t>Honorarios de Consultoria</t>
  </si>
  <si>
    <t>Hospedagens Nacionais</t>
  </si>
  <si>
    <t>Impostos Federais</t>
  </si>
  <si>
    <t>Impostos Municipais</t>
  </si>
  <si>
    <t>Indenização/Rescisão/Acordo</t>
  </si>
  <si>
    <t>IOF s/ Cambio</t>
  </si>
  <si>
    <t>Lanches e Refeiçoes Nacionais</t>
  </si>
  <si>
    <t>Leasing</t>
  </si>
  <si>
    <t>Links de Internet</t>
  </si>
  <si>
    <t xml:space="preserve">Livros, Jornais, Revistas </t>
  </si>
  <si>
    <t>Logistica</t>
  </si>
  <si>
    <t>Malotes</t>
  </si>
  <si>
    <t>Manutencao de Equip. Maq</t>
  </si>
  <si>
    <t>Materiais Para Eventos</t>
  </si>
  <si>
    <t>Material de Copa e Cozinha</t>
  </si>
  <si>
    <t>Material de Escritorio</t>
  </si>
  <si>
    <t>Material de Informatica</t>
  </si>
  <si>
    <t>Material de Limpeza</t>
  </si>
  <si>
    <t>Material de Manutencao</t>
  </si>
  <si>
    <t>Medicina do trabalho</t>
  </si>
  <si>
    <t>Multa Rescisão FGTS</t>
  </si>
  <si>
    <t>Onibus/Metrô</t>
  </si>
  <si>
    <t>Outras Desp Beneficios</t>
  </si>
  <si>
    <t>Outras Desp Eventos</t>
  </si>
  <si>
    <t>Outras Despesas Administrativa</t>
  </si>
  <si>
    <t>Outras Despesas Financeiras</t>
  </si>
  <si>
    <t>Outras Obrigações a pagar</t>
  </si>
  <si>
    <t>Outros (Pedagios, Lavagens, Es</t>
  </si>
  <si>
    <t>Outros Adiantamentos</t>
  </si>
  <si>
    <t>Outros Descontos de Funcionári</t>
  </si>
  <si>
    <t>Outros Desembolsos Operacionai</t>
  </si>
  <si>
    <t>Outros -Dev.Dup/Bloqueio Jud</t>
  </si>
  <si>
    <t>Passagens Internacionais</t>
  </si>
  <si>
    <t>Passagens Nacionais</t>
  </si>
  <si>
    <t>Propaganda e Divulgação</t>
  </si>
  <si>
    <t>Propaganda Institucional</t>
  </si>
  <si>
    <t xml:space="preserve">Repasse Detran's </t>
  </si>
  <si>
    <t xml:space="preserve">Representacao Social </t>
  </si>
  <si>
    <t>Seguro de vida em grupo</t>
  </si>
  <si>
    <t>Serviços de Informatica</t>
  </si>
  <si>
    <t>Servicos de Limpeza</t>
  </si>
  <si>
    <t>Servicos de Terceiros Diversos</t>
  </si>
  <si>
    <t>Tarifa Cobrança</t>
  </si>
  <si>
    <t>Tarifa TED e DOC</t>
  </si>
  <si>
    <t>Tarifas Bancárias Diversas</t>
  </si>
  <si>
    <t>Taxi</t>
  </si>
  <si>
    <t>Telefonia Fixa</t>
  </si>
  <si>
    <t>Telefonia móvel</t>
  </si>
  <si>
    <t>Transportes Nacionais</t>
  </si>
  <si>
    <t>Tv Por Assinatura</t>
  </si>
  <si>
    <t>Uniformes</t>
  </si>
  <si>
    <t>Vale transporte</t>
  </si>
  <si>
    <t>Pareceres Juridicos</t>
  </si>
  <si>
    <t>Copias e Reproducoes</t>
  </si>
  <si>
    <t>Aluguel de Espaço p/Eventos</t>
  </si>
  <si>
    <t>Manut. Mov Utens Outros</t>
  </si>
  <si>
    <t>Juros e multa fornecedor</t>
  </si>
  <si>
    <t>Assistencia medica</t>
  </si>
  <si>
    <t>Patrocínio de Eventos</t>
  </si>
  <si>
    <t>Adiantamentos Func</t>
  </si>
  <si>
    <t>Honorarios de Auditoria</t>
  </si>
  <si>
    <t>Impostos e taxas diversos</t>
  </si>
  <si>
    <t>Serviços Temporarios</t>
  </si>
  <si>
    <t>Hospedagens Internacionais</t>
  </si>
  <si>
    <t>Outras Despesas Nacionais</t>
  </si>
  <si>
    <t>Manutenção e Conserto</t>
  </si>
  <si>
    <t>Vale alimentacão</t>
  </si>
  <si>
    <t>Imóveis/Benfeitorias</t>
  </si>
  <si>
    <t>Tarifa Itaujudice</t>
  </si>
  <si>
    <t>Tarifa s/cambio</t>
  </si>
  <si>
    <t>IRRF s/ Cambio</t>
  </si>
  <si>
    <t>Participação em Eventos</t>
  </si>
  <si>
    <t>Locacao de Veiculos</t>
  </si>
  <si>
    <t>Adiantamento para Viagem Inter</t>
  </si>
  <si>
    <t>Despesas a recuperar-Rateios</t>
  </si>
  <si>
    <t xml:space="preserve">Outros </t>
  </si>
  <si>
    <t>Segurança do trabalho</t>
  </si>
  <si>
    <t>Aluguel - Despesas</t>
  </si>
  <si>
    <t>Lanches e Refeiçoes Internacio</t>
  </si>
  <si>
    <t>Transportes Internacionais</t>
  </si>
  <si>
    <t>Reenbolso de Passagens aérea</t>
  </si>
  <si>
    <t>Desp Serv. Terceiros Eventos</t>
  </si>
  <si>
    <t>IOF sobre invest financeiros</t>
  </si>
  <si>
    <t>Classificação das contas do fluxo de caixa</t>
  </si>
  <si>
    <t>Adiantamento Funcionário</t>
  </si>
  <si>
    <t>Receita não Operacional</t>
  </si>
  <si>
    <t>Rateios a Recuperar</t>
  </si>
  <si>
    <t>Desconto de Funcionários</t>
  </si>
  <si>
    <t>Despesas Com Indenizações</t>
  </si>
  <si>
    <t>Outras desp. administrativas</t>
  </si>
  <si>
    <t>Uniforme</t>
  </si>
  <si>
    <t>Segurança Do Trabalho</t>
  </si>
  <si>
    <t>Devolução Bloqueio Judicial</t>
  </si>
  <si>
    <t>Outras Obrigações a Pagar</t>
  </si>
  <si>
    <t>Outros valores recebidos</t>
  </si>
  <si>
    <t>Outros</t>
  </si>
  <si>
    <t>Impostos</t>
  </si>
  <si>
    <t>Outras despesas em eventos</t>
  </si>
  <si>
    <t>Outras depesas de locomoção</t>
  </si>
  <si>
    <t>Despesas com viagens internacionais</t>
  </si>
  <si>
    <t>Outras saídas</t>
  </si>
  <si>
    <t>Revista de seguros</t>
  </si>
  <si>
    <t>Adiantamentos</t>
  </si>
  <si>
    <t>F331108000</t>
  </si>
  <si>
    <t>GERÊNCIA COMERCIAL</t>
  </si>
  <si>
    <t>Resultado financeiro</t>
  </si>
  <si>
    <t>F203000003</t>
  </si>
  <si>
    <t>CEDOM</t>
  </si>
  <si>
    <t>GERÊNCIA DE OPERAÇÕES E PRODUTOS</t>
  </si>
  <si>
    <t>CONSULTAS - CETIP FORNECIMENTO DE DADOS</t>
  </si>
  <si>
    <t>F331102091</t>
  </si>
  <si>
    <t>F203000004</t>
  </si>
  <si>
    <t>F220000001</t>
  </si>
  <si>
    <t>ASSESSORIA</t>
  </si>
  <si>
    <t>CENTRO DE DOCUMENTAÇÃO E MEMÓRIA</t>
  </si>
  <si>
    <t>F333205000</t>
  </si>
  <si>
    <t>AJUSTES ORÇAMENTO</t>
  </si>
  <si>
    <t>F331102031</t>
  </si>
  <si>
    <t>RNS RURAL</t>
  </si>
  <si>
    <t>F203000005</t>
  </si>
  <si>
    <t>F203000006</t>
  </si>
  <si>
    <t>F333400000</t>
  </si>
  <si>
    <t>SUPERINTENDÊNCIA DE RECURSOS HUMANOS</t>
  </si>
  <si>
    <t>F200000001</t>
  </si>
  <si>
    <t>ARQUIVO ESPECIAL RNS AUTO</t>
  </si>
  <si>
    <t>RNS RISCOS PATRIMONIAIS</t>
  </si>
  <si>
    <t>RNS GARANTIA</t>
  </si>
  <si>
    <t>RNS PESSOAS</t>
  </si>
  <si>
    <t>RNS TRANSPORTES</t>
  </si>
  <si>
    <t>RNPA AUTO</t>
  </si>
  <si>
    <t>RNPA TRANSPORTES</t>
  </si>
  <si>
    <t>RNPA RISCOS PATRIMONIAIS</t>
  </si>
  <si>
    <t>RECALL</t>
  </si>
  <si>
    <t>RNS AUTO</t>
  </si>
  <si>
    <t>F331102094</t>
  </si>
  <si>
    <t>F331102097</t>
  </si>
  <si>
    <t>F331102098</t>
  </si>
  <si>
    <t>F331102099</t>
  </si>
  <si>
    <t>F331102100</t>
  </si>
  <si>
    <t>F331102101</t>
  </si>
  <si>
    <t>F331102102</t>
  </si>
  <si>
    <t>F331102104</t>
  </si>
  <si>
    <t>F331102105</t>
  </si>
  <si>
    <t>GERÊNCIA DE ATENDIMENTO</t>
  </si>
  <si>
    <t>GESTÃO DE DADOS DE SAÚDE</t>
  </si>
  <si>
    <t>EXPERIÊNCIA AUTO</t>
  </si>
  <si>
    <t>F331102107</t>
  </si>
  <si>
    <t>F331102108</t>
  </si>
  <si>
    <t>F331102109</t>
  </si>
  <si>
    <t>F331102110</t>
  </si>
  <si>
    <t>F331102095</t>
  </si>
  <si>
    <t>F331102096</t>
  </si>
  <si>
    <t>F331102111</t>
  </si>
  <si>
    <t>DIRETORIA DE SERVIÇOS AS ASSOCIADAS</t>
  </si>
  <si>
    <t>DIRETORIA JURÍDICA</t>
  </si>
  <si>
    <t>CONTROLES INTERNOS E COMPLIANCE</t>
  </si>
  <si>
    <t>F333105000</t>
  </si>
  <si>
    <t>SUPERINTENDÊNCIA DE ADMINISTRAÇÃO E FINANÇAS</t>
  </si>
  <si>
    <t>F200000002</t>
  </si>
  <si>
    <t>4.1.2.03.02.0003</t>
  </si>
  <si>
    <t>PREVIDENCIA PRIVADA</t>
  </si>
  <si>
    <t>Previdência Privada</t>
  </si>
  <si>
    <t>F251102000</t>
  </si>
  <si>
    <t>F251103000</t>
  </si>
  <si>
    <t>F251104000</t>
  </si>
  <si>
    <t>F251105000</t>
  </si>
  <si>
    <t>GERÊNCIA DE REL C/ ESTADOS E MUNICÍPIOS</t>
  </si>
  <si>
    <t>GERÊNCIA DE RELAÇÕES COM SENADO</t>
  </si>
  <si>
    <t>GERÊNCIA DE RELAÇÕES COM A CÂMARA</t>
  </si>
  <si>
    <t>COORDENAÇÃO ADMINISTRATIVA DF</t>
  </si>
  <si>
    <t>4.1.2.03.08</t>
  </si>
  <si>
    <t>PLANO DE PREVIDÊNCIA PRIVADA</t>
  </si>
  <si>
    <t>4.1.2.03.08.0001</t>
  </si>
  <si>
    <t>41203080001</t>
  </si>
  <si>
    <t>1.1.1.02.01.0044</t>
  </si>
  <si>
    <t>BCO BEPAY - BPP INSTITUIÇÕES DE PAGAMENTOS 0001/200040270-2</t>
  </si>
  <si>
    <t>1.1.1.02.01.0045</t>
  </si>
  <si>
    <t>BCO IUGU - IUGU INSTITUIÇÕES DE PAGAMENTOS 0002/5392769-0</t>
  </si>
  <si>
    <t>11102010044</t>
  </si>
  <si>
    <t>11102010045</t>
  </si>
  <si>
    <t>F200100000</t>
  </si>
  <si>
    <t>1.1.3.01.01.0010</t>
  </si>
  <si>
    <t>PAYPAL- CARTÃO DE CRÉDITO</t>
  </si>
  <si>
    <t>2.1.9.01.01.0002</t>
  </si>
  <si>
    <t>RECEITAS DIFERIDAS INSCRICAO DE EVENTOS</t>
  </si>
  <si>
    <t>1.1.3.01.01.0009</t>
  </si>
  <si>
    <t>2.2.3.01.01.0003</t>
  </si>
  <si>
    <t>BEPAY/IUGU- BPP/IUGU CARTÃO DE CREDITO</t>
  </si>
  <si>
    <t>11301010009</t>
  </si>
  <si>
    <t>11301010010</t>
  </si>
  <si>
    <t>1.1.3.01.09</t>
  </si>
  <si>
    <t>1.1.3.01.09.0001</t>
  </si>
  <si>
    <t>1.1.3.01.09.0002</t>
  </si>
  <si>
    <t>ANTECIPACAO DE IMPOSTOS S/ INSCRICAO DE EVENTOS</t>
  </si>
  <si>
    <t>ANTECIPACAO ISS S/ INSCRICAO DE EVENTOS</t>
  </si>
  <si>
    <t>ANTECIPACAO COFINS S/ INSCRICAO DE EVENTOS</t>
  </si>
  <si>
    <t>21901010002</t>
  </si>
  <si>
    <t>22301010003</t>
  </si>
  <si>
    <t>F331102093</t>
  </si>
  <si>
    <t>COMBO VEÍCULOS</t>
  </si>
  <si>
    <t>41203020003</t>
  </si>
  <si>
    <t>SUPERINTENDÊNCIA DE REL. INSTITUCIONAIS</t>
  </si>
  <si>
    <t>1.1.3.01.09.0003</t>
  </si>
  <si>
    <t>ANTECIPACAO ISS S/ PATROCÍNIO DE EVENTOS</t>
  </si>
  <si>
    <t>1.1.3.01.09.0004</t>
  </si>
  <si>
    <t>ANTECIPACAO COFINS S/ PATROCÍNIO DE EVENTOANTECIPACAO COFINS S/ PATROCÍNIO DE EVENTOS</t>
  </si>
  <si>
    <t>2.1.9.01.01.0003</t>
  </si>
  <si>
    <t>RECEITAS DIFERIDAS PATROCINIO DE EVENTOS</t>
  </si>
  <si>
    <t>21901010003</t>
  </si>
  <si>
    <t>SUPERINTENDÊNCIA DE ORÇAMENTO E CONTABILIDADE</t>
  </si>
  <si>
    <t>DIRETORIA DE SUSTENTABILIDADE E DE RELAÇŌES DE CONSUMO</t>
  </si>
  <si>
    <t>GERÊNCIA DE R. C /IMPRENSA E PUBLICAÇÕES</t>
  </si>
  <si>
    <t>Descrição MXM</t>
  </si>
  <si>
    <t>GERÊNCIA DE RELAÇÕES COM IMPRENSA E PUBLICAÇÕES</t>
  </si>
  <si>
    <t>SUP. DE R. DE CONSUMO E SUSTENTABILIDADE</t>
  </si>
  <si>
    <t>SUP. DE ORÇAMENTO E CONTABILIDADE</t>
  </si>
  <si>
    <t>SUPERINTENDÊNCIA DE RELAÇÕES INSTITUCIONAIS</t>
  </si>
  <si>
    <t>GERÊNCIA DE RELAÇÕES COM ESTADOS E MUNICÍPIOS</t>
  </si>
  <si>
    <t>SUPERINTENDÊNCIA DE ACOMPANHAMENTO TÉCNICO</t>
  </si>
  <si>
    <t>SUPERINTENDÊNCIA DE ADM. E FINANÇAS</t>
  </si>
  <si>
    <t>PROJETOS DISERV</t>
  </si>
  <si>
    <t>F331102078</t>
  </si>
  <si>
    <t>SIVVE SCORE</t>
  </si>
  <si>
    <t>F331102063</t>
  </si>
  <si>
    <t>F331102001</t>
  </si>
  <si>
    <t>BDRF</t>
  </si>
  <si>
    <t>F331102002</t>
  </si>
  <si>
    <t>BDSII</t>
  </si>
  <si>
    <t>BASE LICENCIAMENTO</t>
  </si>
  <si>
    <t>F331102028</t>
  </si>
  <si>
    <t>VINCHASSI</t>
  </si>
  <si>
    <t>F331102064</t>
  </si>
  <si>
    <t>FAMÍLIA RNS</t>
  </si>
  <si>
    <t>RENAVAM BIN ESTADUAL</t>
  </si>
  <si>
    <t>3.1.1.06.01.0004</t>
  </si>
  <si>
    <t>OUTRAS RECEITAS DE EVENTOS</t>
  </si>
  <si>
    <t>31106010004</t>
  </si>
  <si>
    <t>EXPERIÊNCIA EM RISCOS DIVERSOS</t>
  </si>
  <si>
    <t>F203000007</t>
  </si>
  <si>
    <t>GERÊNCIA DE MARKETING</t>
  </si>
  <si>
    <t>DASHBOARD DE SEGUROS AUTO</t>
  </si>
  <si>
    <t>SECRETARIA GERAL E GOV. CORPORATIVA</t>
  </si>
  <si>
    <t>SECRETARIA GERAL E GOVERNANÇA CORPORATIVA</t>
  </si>
  <si>
    <t>SUPERINTENDÊNCIA EXECUTIVA DE COORDENAÇÃO DO GABINETE</t>
  </si>
  <si>
    <t>SUP. EXEC. DE COMUNICAÇÃO E MARKETING</t>
  </si>
  <si>
    <t>SUP. EXEC. DE COORDENAÇÃO DE GABINETE</t>
  </si>
  <si>
    <t>SUPERINTENDÊNCIA EXECUTIVA DE COMUNICAÇÃO E MARKETING</t>
  </si>
  <si>
    <t>DIRETORIA DE SUSTENTABILIDADE E CONSUMO</t>
  </si>
  <si>
    <t>DIRET. TÉC. DE E. E DE REL.REGULATÓRIAS</t>
  </si>
  <si>
    <t>DIRETORIA TÉCNICA, DE ESTUDOS E DE RELAÇÕES REGULATÓRIAS</t>
  </si>
  <si>
    <t>F333500000</t>
  </si>
  <si>
    <t>SUPERINTENDÊNCIA DE RELACIONAMENTO COM PODER EXECUTIVO</t>
  </si>
  <si>
    <t>SUPER. DE RELAC. COM PODER EXECUTIVO</t>
  </si>
  <si>
    <t>GERÊNCIA DE TECNOLOGIA E SISTEMAS</t>
  </si>
  <si>
    <t>F333401000</t>
  </si>
  <si>
    <t>GERÊNCIA DE RECURSOS HUMANOS</t>
  </si>
  <si>
    <t>F333206000</t>
  </si>
  <si>
    <t>PROTEÇÃO E PRIVACIDADE DE DADOS</t>
  </si>
  <si>
    <t>2.1.2.02.05.0005</t>
  </si>
  <si>
    <t>IMPOSTOS SOBRE SERVIÇOS NO EXTERIOR</t>
  </si>
  <si>
    <t>F331102112</t>
  </si>
  <si>
    <t>PRODUTOS DISERV</t>
  </si>
  <si>
    <t>GERÊNCIA DE COMUNICAÇÃO</t>
  </si>
  <si>
    <t>DPVAT BILHETES</t>
  </si>
  <si>
    <t>RESSARCIMENTO</t>
  </si>
  <si>
    <t>EV BÁSICO</t>
  </si>
  <si>
    <t>CIC</t>
  </si>
  <si>
    <t>CONSULTAS SNG REGISTRO - Ñ CUMULATIVA</t>
  </si>
  <si>
    <t>F331109000</t>
  </si>
  <si>
    <t>GERÊNCIA DE MARKETING COMERCIAL</t>
  </si>
  <si>
    <t>N010101001</t>
  </si>
  <si>
    <t>N020101000</t>
  </si>
  <si>
    <t>N020101001</t>
  </si>
  <si>
    <t>N020101003</t>
  </si>
  <si>
    <t>N020101004</t>
  </si>
  <si>
    <t>N020101005</t>
  </si>
  <si>
    <t>N020101006</t>
  </si>
  <si>
    <t>N020101007</t>
  </si>
  <si>
    <t>N020101008</t>
  </si>
  <si>
    <t>N020101009</t>
  </si>
  <si>
    <t>DESPESAS CNSEG</t>
  </si>
  <si>
    <t>ENQUADRAMENTO DE VEÍCULOS</t>
  </si>
  <si>
    <t>MONITORAMENTO RF</t>
  </si>
  <si>
    <t>PRESI</t>
  </si>
  <si>
    <t>SUCOM</t>
  </si>
  <si>
    <t>SURIN</t>
  </si>
  <si>
    <t>DIJUR</t>
  </si>
  <si>
    <t>SEJUR</t>
  </si>
  <si>
    <t>DISEC</t>
  </si>
  <si>
    <t>SUPEV</t>
  </si>
  <si>
    <t>DICOR</t>
  </si>
  <si>
    <t>DISERV</t>
  </si>
  <si>
    <t>SEGER</t>
  </si>
  <si>
    <t>SUREC</t>
  </si>
  <si>
    <t>SUESP</t>
  </si>
  <si>
    <t>SUPAT</t>
  </si>
  <si>
    <t>SUAFI</t>
  </si>
  <si>
    <t>SUPOC</t>
  </si>
  <si>
    <t>SUPRH</t>
  </si>
  <si>
    <t>SUPEX</t>
  </si>
  <si>
    <t>SUGAB</t>
  </si>
  <si>
    <t>DITEC</t>
  </si>
  <si>
    <t>CÓDIGO
GERÊNCIA</t>
  </si>
  <si>
    <t>CÓDIGO
SUPERINTÊNDENCIA</t>
  </si>
  <si>
    <t>CÓDIGO
DIRETORIA</t>
  </si>
  <si>
    <t>CICOM</t>
  </si>
  <si>
    <t>GECOM</t>
  </si>
  <si>
    <t>GERIN</t>
  </si>
  <si>
    <t>FGE0201</t>
  </si>
  <si>
    <t>FSU0201</t>
  </si>
  <si>
    <t>FDIRIN</t>
  </si>
  <si>
    <t>FGE0129</t>
  </si>
  <si>
    <t>FGE0131</t>
  </si>
  <si>
    <t>FSE0104</t>
  </si>
  <si>
    <t>FSE0105</t>
  </si>
  <si>
    <t>FPR0001</t>
  </si>
  <si>
    <t>FSU0113</t>
  </si>
  <si>
    <t>FGE0202</t>
  </si>
  <si>
    <t>FGE0203</t>
  </si>
  <si>
    <t>FGT0101</t>
  </si>
  <si>
    <t>FSU0101</t>
  </si>
  <si>
    <t>FGE0101</t>
  </si>
  <si>
    <t>FGE0102</t>
  </si>
  <si>
    <t>FSU0107</t>
  </si>
  <si>
    <t>FSU0106</t>
  </si>
  <si>
    <t>FGE0124</t>
  </si>
  <si>
    <t>FDAFC</t>
  </si>
  <si>
    <t>FGE0128</t>
  </si>
  <si>
    <t>FGE0109</t>
  </si>
  <si>
    <t>FGE0110</t>
  </si>
  <si>
    <t>FGE0112</t>
  </si>
  <si>
    <t>FGE0113</t>
  </si>
  <si>
    <t>FGE0134</t>
  </si>
  <si>
    <t>FSU0102</t>
  </si>
  <si>
    <t>FSU0105</t>
  </si>
  <si>
    <t>FSU0104</t>
  </si>
  <si>
    <t>FGE0104</t>
  </si>
  <si>
    <t>FGE0106</t>
  </si>
  <si>
    <t>FGE0107</t>
  </si>
  <si>
    <t>FGE0132</t>
  </si>
  <si>
    <t>FSU0108</t>
  </si>
  <si>
    <t>FGE0108</t>
  </si>
  <si>
    <t>FSU0119</t>
  </si>
  <si>
    <t>FGE0133</t>
  </si>
  <si>
    <t>FSU0202</t>
  </si>
  <si>
    <t>N010101000</t>
  </si>
  <si>
    <t>N020000000</t>
  </si>
  <si>
    <t>N020100000</t>
  </si>
  <si>
    <t>SUPERINTENDÊNCIA</t>
  </si>
  <si>
    <t>N020102000</t>
  </si>
  <si>
    <t>N020103000</t>
  </si>
  <si>
    <t>N020104000</t>
  </si>
  <si>
    <t>ESTRUTURA</t>
  </si>
  <si>
    <t>GECON</t>
  </si>
  <si>
    <t>GECST</t>
  </si>
  <si>
    <t>GEPCF</t>
  </si>
  <si>
    <t>GEIRC</t>
  </si>
  <si>
    <t>GEMKT</t>
  </si>
  <si>
    <t>FDTEC</t>
  </si>
  <si>
    <t>GEADM</t>
  </si>
  <si>
    <t>GEFIN</t>
  </si>
  <si>
    <t>GETCS</t>
  </si>
  <si>
    <t>GEORC</t>
  </si>
  <si>
    <t>GERRH</t>
  </si>
  <si>
    <t>F321102000</t>
  </si>
  <si>
    <t>GERÊNCIA DE PROJETOS INSTITUCIONAIS</t>
  </si>
  <si>
    <t>FGE204</t>
  </si>
  <si>
    <t>GEPIT</t>
  </si>
  <si>
    <t>F331110000</t>
  </si>
  <si>
    <t>FGE0135</t>
  </si>
  <si>
    <t>GEINFRA</t>
  </si>
  <si>
    <t>F331101002</t>
  </si>
  <si>
    <t>ASSINATURAS E REGRAS</t>
  </si>
  <si>
    <t>F331101003</t>
  </si>
  <si>
    <t>PROCEDIMENTOS CRIMINAIS</t>
  </si>
  <si>
    <t>FGT0102</t>
  </si>
  <si>
    <t>FDS0103</t>
  </si>
  <si>
    <t>FORINF</t>
  </si>
  <si>
    <t>ASSINT</t>
  </si>
  <si>
    <t>PROCED</t>
  </si>
  <si>
    <t>CCETIP</t>
  </si>
  <si>
    <t>CONSNG</t>
  </si>
  <si>
    <t>ESCRPRJ</t>
  </si>
  <si>
    <t>INSID</t>
  </si>
  <si>
    <t>REVSEG</t>
  </si>
  <si>
    <t>NDX0101</t>
  </si>
  <si>
    <t>F311103000</t>
  </si>
  <si>
    <t>FGE0136</t>
  </si>
  <si>
    <t>GERÊNCIA JURÍDICA CORP., DE NEGÓCIOS</t>
  </si>
  <si>
    <t>GERÊNCIA ADMINISTRATIVA - DF</t>
  </si>
  <si>
    <t>ASLG</t>
  </si>
  <si>
    <t>GEDOM</t>
  </si>
  <si>
    <t>GECTB</t>
  </si>
  <si>
    <t>GECOS</t>
  </si>
  <si>
    <t>GEEVE</t>
  </si>
  <si>
    <t>GECOMUN</t>
  </si>
  <si>
    <t>GJNECO</t>
  </si>
  <si>
    <t>GEREM</t>
  </si>
  <si>
    <t>GERSEN</t>
  </si>
  <si>
    <t>GERCAM</t>
  </si>
  <si>
    <t>GEMKCO</t>
  </si>
  <si>
    <t>DIRETORIA ADMINISTRATIVA</t>
  </si>
  <si>
    <t>F331101004</t>
  </si>
  <si>
    <t>F331101005</t>
  </si>
  <si>
    <t>F331101006</t>
  </si>
  <si>
    <t>PROCEDIMENTOS CRIMINAIS - AUTO</t>
  </si>
  <si>
    <t>PROCEDIMENTOS CRIMINAIS - PATRIMONIAL</t>
  </si>
  <si>
    <t>PROCEDIMENTOS CRIMINAIS - TRANSPORTES</t>
  </si>
  <si>
    <t>FGE0114</t>
  </si>
  <si>
    <t>N020101002</t>
  </si>
  <si>
    <t>F331101007</t>
  </si>
  <si>
    <t>F331101008</t>
  </si>
  <si>
    <t>F331101009</t>
  </si>
  <si>
    <t>F331101010</t>
  </si>
  <si>
    <t>F331101011</t>
  </si>
  <si>
    <t>F331101012</t>
  </si>
  <si>
    <t>F331101013</t>
  </si>
  <si>
    <t>F331101014</t>
  </si>
  <si>
    <t>F331101015</t>
  </si>
  <si>
    <t>F331101016</t>
  </si>
  <si>
    <t>F331101017</t>
  </si>
  <si>
    <t>F331101018</t>
  </si>
  <si>
    <t>ASSINATURAS - AUTO</t>
  </si>
  <si>
    <t>ASSINATURAS - PATRIMONIAL</t>
  </si>
  <si>
    <t>ASSINATURAS - TRANSPORTES</t>
  </si>
  <si>
    <t>ASSINATURAS - RURAL</t>
  </si>
  <si>
    <t>ASSINATURAS - DANOS CORPORAIS</t>
  </si>
  <si>
    <t>ASSINATURAS - 24H</t>
  </si>
  <si>
    <t>REGRAS - AUTO</t>
  </si>
  <si>
    <t>REGRAS - PATRIMONIAL</t>
  </si>
  <si>
    <t>REGRAS - TRANSPORTES</t>
  </si>
  <si>
    <t>REGRAS - RURAL</t>
  </si>
  <si>
    <t>REGRAS - DANOS CORPORAIS</t>
  </si>
  <si>
    <t>REGRAS - 24H</t>
  </si>
  <si>
    <t>DIRETORIA DE RELAÇÕES INSTITUCIONAIS</t>
  </si>
  <si>
    <t>DIRIN</t>
  </si>
  <si>
    <t xml:space="preserve">Contribuicoes, mensalidades e anuidades </t>
  </si>
  <si>
    <t>Doacoes</t>
  </si>
  <si>
    <t>Anuidades a entidades de classe</t>
  </si>
  <si>
    <t>Representação Em Congressos E Seminarios</t>
  </si>
  <si>
    <t>Despesas De Viagens Em Congressos E Seminarios</t>
  </si>
  <si>
    <t>DIRETORIA DE ASSUNTOS CORPORATIVOS E RELAÇÕES SINDICAIS</t>
  </si>
  <si>
    <t>Marketing</t>
  </si>
  <si>
    <t>GERÊNCIA DE SERVIÇO NACIONAL DE GRAVAMES</t>
  </si>
  <si>
    <t>GERÊNCIA DE SISTEMAS</t>
  </si>
  <si>
    <t>GERÊNCIA DE ATENDIMENTO/PÓS-VENDA</t>
  </si>
  <si>
    <t>SUPERINTENDÊNCIA DE PRODUTOS E OPERAÇÕES</t>
  </si>
  <si>
    <t>SUPRO</t>
  </si>
  <si>
    <t>FSU0114</t>
  </si>
  <si>
    <t>GESNG</t>
  </si>
  <si>
    <t>GERSI</t>
  </si>
  <si>
    <t>GERÊNCIA DE ATENDIMENTO/PÓS VENDA</t>
  </si>
  <si>
    <t>GEAPV</t>
  </si>
  <si>
    <t>DIRET. DE A. CORP. E REL. SINDICAIS</t>
  </si>
  <si>
    <t>F331101019</t>
  </si>
  <si>
    <t>PROCEDIMENTOS CRIMINAIS - 24H</t>
  </si>
  <si>
    <t>F331111000</t>
  </si>
  <si>
    <t>SUPERINTENDÊNCIA DE NEGÓCIOS</t>
  </si>
  <si>
    <t>FSU0115</t>
  </si>
  <si>
    <t>SUNEG</t>
  </si>
  <si>
    <t>SUPERINTENDÊNCIA DE PROJETOS ESPECIAIS</t>
  </si>
  <si>
    <t>FSU0116</t>
  </si>
  <si>
    <t>SUPRE</t>
  </si>
  <si>
    <t>F331112000</t>
  </si>
  <si>
    <t>F331102113</t>
  </si>
  <si>
    <t>SCCP</t>
  </si>
  <si>
    <t>GERTI</t>
  </si>
  <si>
    <t>GERCOM</t>
  </si>
  <si>
    <t>GMKTCO</t>
  </si>
  <si>
    <t>F331101020</t>
  </si>
  <si>
    <t>INSFED</t>
  </si>
  <si>
    <t>N020101010</t>
  </si>
  <si>
    <t>ARQUIVO ESPECIAL - RNS AUTO</t>
  </si>
  <si>
    <t>N020101011</t>
  </si>
  <si>
    <t>N020101012</t>
  </si>
  <si>
    <t>N020101013</t>
  </si>
  <si>
    <t>N020101014</t>
  </si>
  <si>
    <t>RNS RISCO PATRIMONIAIS</t>
  </si>
  <si>
    <t>N020101015</t>
  </si>
  <si>
    <t>N020101016</t>
  </si>
  <si>
    <t>RNS TRANPORTES</t>
  </si>
  <si>
    <t>F331113000</t>
  </si>
  <si>
    <t>FGE0137</t>
  </si>
  <si>
    <t>N050000000</t>
  </si>
  <si>
    <t>N020101017</t>
  </si>
  <si>
    <t>F331101021</t>
  </si>
  <si>
    <t>PROCEDIMENTOS CRIMINAIS – RURAL</t>
  </si>
  <si>
    <t>F331101022</t>
  </si>
  <si>
    <t>PROCEDIMENTOS CRIMINAIS  DANOS CORPORAIS</t>
  </si>
  <si>
    <t>ALIMENTAÇÃO E EVENTOS</t>
  </si>
  <si>
    <t>ALIMENTAÇÃO, COFFEE BREAK</t>
  </si>
  <si>
    <t>ALIMENTAÇÃO, COFFEE BREAK e BUFFET</t>
  </si>
  <si>
    <t>4.1.3.10.03.0002</t>
  </si>
  <si>
    <t>4.1.3.11</t>
  </si>
  <si>
    <t>TREINAMENTOS, CURSOS E CONGRESSOS</t>
  </si>
  <si>
    <t>4.1.3.11.02</t>
  </si>
  <si>
    <t>4.1.3.11.02.0001</t>
  </si>
  <si>
    <t>4.1.3.11.02.0002</t>
  </si>
  <si>
    <t>Novas contas</t>
  </si>
  <si>
    <t>41310030002</t>
  </si>
  <si>
    <t>41311</t>
  </si>
  <si>
    <t>4131102</t>
  </si>
  <si>
    <t>41311020001</t>
  </si>
  <si>
    <t>41311020002</t>
  </si>
  <si>
    <t>ASSINATURAS – VIDA E PREVIDÊNCIA</t>
  </si>
  <si>
    <t>DIRETORIA DE ASSUNTOS COPORATIVOS E REL. SINDICAIS</t>
  </si>
  <si>
    <t>DIRETORIA TÉCNICA DE ESTUDOS E DE REL. REGULATÓRIAS</t>
  </si>
  <si>
    <t>DIRETORIA DE RELACÕES INSTITUCIONAIS</t>
  </si>
  <si>
    <t>N010000000</t>
  </si>
  <si>
    <t>N030000000</t>
  </si>
  <si>
    <t>N040000000</t>
  </si>
  <si>
    <t>N060000000</t>
  </si>
  <si>
    <t>N070000000</t>
  </si>
  <si>
    <t>N080000000</t>
  </si>
  <si>
    <t>N090000000</t>
  </si>
  <si>
    <t>NPR0001</t>
  </si>
  <si>
    <t>NDX0104</t>
  </si>
  <si>
    <t>NDX0105</t>
  </si>
  <si>
    <t>NDX0103</t>
  </si>
  <si>
    <t>NDX0102</t>
  </si>
  <si>
    <t>NDX0106</t>
  </si>
  <si>
    <t>NSX0002</t>
  </si>
  <si>
    <t>NSX0001</t>
  </si>
  <si>
    <t>NGE0101</t>
  </si>
  <si>
    <t>F331001000</t>
  </si>
  <si>
    <t>GESEG</t>
  </si>
  <si>
    <t>DIRETORIA DE SERVIÇOS ÀS ASSOCIADAS</t>
  </si>
  <si>
    <t>SUPERINTENDENCIA DE SERVIÇOS AS ASSOCIADAS</t>
  </si>
  <si>
    <t>SUPERINTENDÊNCIA DE SERVIÇOS AS ASSOCIADAS</t>
  </si>
  <si>
    <t>GERÊNCIA DE SEGURANÇA DA INFORMAÇÃO</t>
  </si>
  <si>
    <t>GERÊNCIA DE INFRAESTRUTURA</t>
  </si>
  <si>
    <t>GERENCIA DE GOVERNANCA DE TI</t>
  </si>
  <si>
    <t>GEGVTI</t>
  </si>
  <si>
    <t>4.1.3.10.01</t>
  </si>
  <si>
    <t>REALIZACAO DE EVENTOS</t>
  </si>
  <si>
    <t>4.1.3.10.01.0001</t>
  </si>
  <si>
    <t>REALIZACAO DE EVENTOS - DIVERSOS</t>
  </si>
  <si>
    <t>4131001</t>
  </si>
  <si>
    <t>41310010001</t>
  </si>
  <si>
    <t>PARA O PROJETO BI</t>
  </si>
  <si>
    <t>41310010002</t>
  </si>
  <si>
    <t>MATERIAIS DE EVENTOS</t>
  </si>
  <si>
    <t>4.1.3.10.01.0002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</si>
</sst>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0" x14ac:knownFonts="1">
    <font>
      <sz val="11"/>
      <color theme="1"/>
      <name val="Calibri"/>
      <family val="2"/>
      <scheme val="minor"/>
    </font>
    <font>
      <sz val="8"/>
      <name val="Courier New"/>
      <family val="3"/>
    </font>
    <font>
      <b/>
      <sz val="8"/>
      <name val="Verdana"/>
      <family val="2"/>
    </font>
    <font>
      <sz val="8"/>
      <name val="Verdana"/>
      <family val="2"/>
    </font>
    <font>
      <sz val="8"/>
      <color theme="5"/>
      <name val="Verdana"/>
      <family val="2"/>
    </font>
    <font>
      <sz val="8"/>
      <color theme="1"/>
      <name val="Verdana"/>
      <family val="2"/>
    </font>
    <font>
      <sz val="8"/>
      <color rgb="FFC00000"/>
      <name val="Verdana"/>
      <family val="2"/>
    </font>
    <font>
      <sz val="8"/>
      <color rgb="FFFF0000"/>
      <name val="Verdana"/>
      <family val="2"/>
    </font>
    <font>
      <b/>
      <sz val="8"/>
      <color rgb="FFC00000"/>
      <name val="Verdana"/>
      <family val="2"/>
    </font>
    <font>
      <b/>
      <sz val="8"/>
      <color theme="5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Leelawadee"/>
      <family val="2"/>
    </font>
    <font>
      <sz val="11"/>
      <color theme="1"/>
      <name val="Leelawadee"/>
      <family val="2"/>
    </font>
    <font>
      <b/>
      <sz val="10"/>
      <name val="Leelawadee"/>
      <family val="2"/>
    </font>
    <font>
      <sz val="10"/>
      <color theme="1"/>
      <name val="Leelawadee"/>
      <family val="2"/>
    </font>
    <font>
      <sz val="8"/>
      <color rgb="FF000000"/>
      <name val="Verdana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FF0000"/>
      <name val="Times New Roman"/>
      <family val="1"/>
    </font>
    <font>
      <b/>
      <sz val="9"/>
      <color indexed="81"/>
      <name val="Segoe UI"/>
      <family val="2"/>
    </font>
    <font>
      <b/>
      <sz val="9"/>
      <color indexed="81"/>
      <name val="Segoe UI"/>
      <charset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64" fontId="14" fillId="0" borderId="0" applyFont="0" applyFill="0" applyBorder="0" applyAlignment="0" applyProtection="0"/>
  </cellStyleXfs>
  <cellXfs count="92">
    <xf numFmtId="0" fontId="0" fillId="0" borderId="0" xfId="0"/>
    <xf numFmtId="0" fontId="2" fillId="0" borderId="0" xfId="1" applyFont="1" applyFill="1" applyAlignment="1">
      <alignment horizontal="left"/>
    </xf>
    <xf numFmtId="0" fontId="3" fillId="0" borderId="0" xfId="1" applyFont="1" applyFill="1" applyAlignment="1">
      <alignment horizontal="left"/>
    </xf>
    <xf numFmtId="0" fontId="4" fillId="0" borderId="0" xfId="1" applyFont="1" applyFill="1" applyAlignment="1">
      <alignment horizontal="left"/>
    </xf>
    <xf numFmtId="0" fontId="3" fillId="0" borderId="0" xfId="1" applyFont="1" applyFill="1" applyAlignment="1">
      <alignment horizontal="center"/>
    </xf>
    <xf numFmtId="14" fontId="5" fillId="0" borderId="0" xfId="0" applyNumberFormat="1" applyFont="1" applyAlignment="1">
      <alignment horizontal="left"/>
    </xf>
    <xf numFmtId="0" fontId="5" fillId="0" borderId="0" xfId="0" applyFont="1"/>
    <xf numFmtId="0" fontId="8" fillId="0" borderId="0" xfId="1" applyFont="1" applyFill="1" applyAlignment="1">
      <alignment horizontal="left"/>
    </xf>
    <xf numFmtId="0" fontId="9" fillId="0" borderId="0" xfId="1" applyFont="1" applyFill="1" applyAlignment="1">
      <alignment horizontal="left"/>
    </xf>
    <xf numFmtId="0" fontId="6" fillId="0" borderId="0" xfId="1" applyFont="1" applyFill="1" applyAlignment="1">
      <alignment horizontal="left"/>
    </xf>
    <xf numFmtId="0" fontId="3" fillId="0" borderId="0" xfId="1" applyFont="1" applyFill="1" applyAlignment="1">
      <alignment vertical="top"/>
    </xf>
    <xf numFmtId="0" fontId="7" fillId="0" borderId="0" xfId="1" applyFont="1" applyFill="1" applyAlignment="1">
      <alignment horizontal="left"/>
    </xf>
    <xf numFmtId="0" fontId="3" fillId="3" borderId="0" xfId="1" applyFont="1" applyFill="1" applyAlignment="1">
      <alignment horizontal="left"/>
    </xf>
    <xf numFmtId="0" fontId="3" fillId="4" borderId="0" xfId="1" applyFont="1" applyFill="1" applyAlignment="1">
      <alignment horizontal="left"/>
    </xf>
    <xf numFmtId="0" fontId="5" fillId="4" borderId="0" xfId="0" applyFont="1" applyFill="1"/>
    <xf numFmtId="0" fontId="2" fillId="3" borderId="0" xfId="1" applyFont="1" applyFill="1" applyAlignment="1">
      <alignment horizontal="left"/>
    </xf>
    <xf numFmtId="0" fontId="5" fillId="2" borderId="0" xfId="0" applyFont="1" applyFill="1"/>
    <xf numFmtId="49" fontId="2" fillId="0" borderId="0" xfId="1" applyNumberFormat="1" applyFont="1" applyFill="1" applyAlignment="1">
      <alignment horizontal="left"/>
    </xf>
    <xf numFmtId="49" fontId="3" fillId="0" borderId="0" xfId="1" applyNumberFormat="1" applyFont="1" applyFill="1" applyAlignment="1">
      <alignment horizontal="left"/>
    </xf>
    <xf numFmtId="49" fontId="6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left"/>
    </xf>
    <xf numFmtId="49" fontId="8" fillId="0" borderId="0" xfId="1" applyNumberFormat="1" applyFont="1" applyFill="1" applyAlignment="1">
      <alignment horizontal="left"/>
    </xf>
    <xf numFmtId="49" fontId="9" fillId="0" borderId="0" xfId="1" applyNumberFormat="1" applyFont="1" applyFill="1" applyAlignment="1">
      <alignment horizontal="left"/>
    </xf>
    <xf numFmtId="49" fontId="4" fillId="0" borderId="0" xfId="1" applyNumberFormat="1" applyFont="1" applyFill="1" applyAlignment="1">
      <alignment horizontal="left"/>
    </xf>
    <xf numFmtId="0" fontId="13" fillId="0" borderId="0" xfId="0" applyFont="1"/>
    <xf numFmtId="0" fontId="0" fillId="0" borderId="0" xfId="0" applyAlignment="1">
      <alignment horizontal="left"/>
    </xf>
    <xf numFmtId="0" fontId="15" fillId="0" borderId="0" xfId="1" applyFont="1" applyFill="1" applyAlignment="1">
      <alignment horizontal="left"/>
    </xf>
    <xf numFmtId="0" fontId="15" fillId="0" borderId="0" xfId="1" applyFont="1" applyFill="1" applyAlignment="1">
      <alignment vertical="top"/>
    </xf>
    <xf numFmtId="0" fontId="0" fillId="0" borderId="0" xfId="0" quotePrefix="1"/>
    <xf numFmtId="49" fontId="2" fillId="0" borderId="1" xfId="1" applyNumberFormat="1" applyFont="1" applyFill="1" applyBorder="1" applyAlignment="1">
      <alignment vertical="center"/>
    </xf>
    <xf numFmtId="0" fontId="2" fillId="0" borderId="1" xfId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1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21" fillId="3" borderId="0" xfId="0" applyFont="1" applyFill="1" applyAlignment="1">
      <alignment vertical="center"/>
    </xf>
    <xf numFmtId="0" fontId="3" fillId="3" borderId="0" xfId="1" applyFont="1" applyFill="1" applyAlignment="1">
      <alignment horizontal="center"/>
    </xf>
    <xf numFmtId="0" fontId="4" fillId="3" borderId="0" xfId="1" applyFont="1" applyFill="1" applyAlignment="1">
      <alignment horizontal="left"/>
    </xf>
    <xf numFmtId="0" fontId="5" fillId="3" borderId="0" xfId="0" applyFont="1" applyFill="1"/>
    <xf numFmtId="49" fontId="2" fillId="3" borderId="0" xfId="1" applyNumberFormat="1" applyFont="1" applyFill="1" applyAlignment="1">
      <alignment horizontal="left"/>
    </xf>
    <xf numFmtId="49" fontId="3" fillId="3" borderId="0" xfId="1" applyNumberFormat="1" applyFont="1" applyFill="1" applyAlignment="1">
      <alignment horizontal="left"/>
    </xf>
    <xf numFmtId="0" fontId="3" fillId="7" borderId="0" xfId="1" applyFont="1" applyFill="1" applyAlignment="1">
      <alignment horizontal="left"/>
    </xf>
    <xf numFmtId="0" fontId="3" fillId="7" borderId="0" xfId="1" applyFont="1" applyFill="1" applyAlignment="1">
      <alignment horizontal="center"/>
    </xf>
    <xf numFmtId="0" fontId="4" fillId="7" borderId="0" xfId="1" applyFont="1" applyFill="1" applyAlignment="1">
      <alignment horizontal="left"/>
    </xf>
    <xf numFmtId="0" fontId="5" fillId="7" borderId="0" xfId="0" applyFont="1" applyFill="1"/>
    <xf numFmtId="49" fontId="3" fillId="7" borderId="0" xfId="1" applyNumberFormat="1" applyFont="1" applyFill="1" applyAlignment="1">
      <alignment horizontal="left"/>
    </xf>
    <xf numFmtId="0" fontId="22" fillId="6" borderId="2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4" fillId="3" borderId="0" xfId="0" applyFont="1" applyFill="1" applyAlignment="1">
      <alignment vertical="center"/>
    </xf>
    <xf numFmtId="0" fontId="26" fillId="0" borderId="0" xfId="0" applyFont="1" applyAlignment="1">
      <alignment vertical="center"/>
    </xf>
    <xf numFmtId="0" fontId="25" fillId="2" borderId="0" xfId="0" applyFont="1" applyFill="1" applyAlignment="1">
      <alignment vertical="center"/>
    </xf>
    <xf numFmtId="0" fontId="27" fillId="0" borderId="0" xfId="0" applyFont="1" applyAlignment="1">
      <alignment vertical="center"/>
    </xf>
    <xf numFmtId="0" fontId="25" fillId="5" borderId="0" xfId="0" applyFont="1" applyFill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3" fillId="8" borderId="0" xfId="1" applyFont="1" applyFill="1" applyAlignment="1">
      <alignment horizontal="left"/>
    </xf>
    <xf numFmtId="0" fontId="4" fillId="8" borderId="0" xfId="1" applyFont="1" applyFill="1" applyAlignment="1">
      <alignment horizontal="left"/>
    </xf>
    <xf numFmtId="0" fontId="3" fillId="8" borderId="0" xfId="1" applyFont="1" applyFill="1" applyAlignment="1">
      <alignment vertical="top"/>
    </xf>
    <xf numFmtId="0" fontId="5" fillId="8" borderId="0" xfId="0" applyFont="1" applyFill="1"/>
    <xf numFmtId="0" fontId="27" fillId="3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24" fillId="2" borderId="0" xfId="0" applyFont="1" applyFill="1" applyAlignment="1">
      <alignment vertical="center"/>
    </xf>
    <xf numFmtId="0" fontId="25" fillId="3" borderId="0" xfId="0" applyFont="1" applyFill="1" applyAlignment="1">
      <alignment vertical="center"/>
    </xf>
    <xf numFmtId="0" fontId="22" fillId="6" borderId="0" xfId="0" applyFont="1" applyFill="1" applyAlignment="1">
      <alignment vertical="center"/>
    </xf>
    <xf numFmtId="0" fontId="22" fillId="6" borderId="0" xfId="0" applyFont="1" applyFill="1" applyAlignment="1">
      <alignment horizontal="center" vertical="center" wrapText="1"/>
    </xf>
    <xf numFmtId="0" fontId="22" fillId="6" borderId="0" xfId="0" applyFont="1" applyFill="1" applyAlignment="1">
      <alignment vertical="center" wrapText="1"/>
    </xf>
    <xf numFmtId="0" fontId="3" fillId="3" borderId="0" xfId="1" applyFont="1" applyFill="1" applyAlignment="1">
      <alignment vertical="top"/>
    </xf>
    <xf numFmtId="0" fontId="7" fillId="3" borderId="0" xfId="1" applyFont="1" applyFill="1" applyAlignment="1">
      <alignment horizontal="left"/>
    </xf>
    <xf numFmtId="0" fontId="7" fillId="3" borderId="0" xfId="1" applyFont="1" applyFill="1" applyAlignment="1">
      <alignment vertical="top"/>
    </xf>
    <xf numFmtId="0" fontId="12" fillId="9" borderId="0" xfId="0" quotePrefix="1" applyFont="1" applyFill="1"/>
    <xf numFmtId="0" fontId="2" fillId="9" borderId="0" xfId="1" applyFont="1" applyFill="1" applyAlignment="1">
      <alignment horizontal="left"/>
    </xf>
    <xf numFmtId="0" fontId="12" fillId="9" borderId="0" xfId="0" applyFont="1" applyFill="1"/>
    <xf numFmtId="0" fontId="3" fillId="9" borderId="0" xfId="1" applyFont="1" applyFill="1" applyAlignment="1">
      <alignment horizontal="left"/>
    </xf>
    <xf numFmtId="0" fontId="3" fillId="9" borderId="0" xfId="1" applyFont="1" applyFill="1" applyAlignment="1">
      <alignment horizontal="center"/>
    </xf>
    <xf numFmtId="0" fontId="4" fillId="9" borderId="0" xfId="1" applyFont="1" applyFill="1" applyAlignment="1">
      <alignment horizontal="left"/>
    </xf>
    <xf numFmtId="0" fontId="5" fillId="9" borderId="0" xfId="0" applyFont="1" applyFill="1"/>
    <xf numFmtId="0" fontId="5" fillId="9" borderId="0" xfId="0" quotePrefix="1" applyFont="1" applyFill="1"/>
    <xf numFmtId="0" fontId="24" fillId="10" borderId="0" xfId="0" applyFont="1" applyFill="1" applyAlignment="1">
      <alignment horizontal="left" vertical="center"/>
    </xf>
    <xf numFmtId="0" fontId="12" fillId="11" borderId="0" xfId="0" quotePrefix="1" applyFont="1" applyFill="1"/>
    <xf numFmtId="0" fontId="2" fillId="11" borderId="0" xfId="1" applyFont="1" applyFill="1" applyAlignment="1">
      <alignment horizontal="left"/>
    </xf>
    <xf numFmtId="0" fontId="12" fillId="11" borderId="0" xfId="0" applyFont="1" applyFill="1"/>
    <xf numFmtId="0" fontId="3" fillId="11" borderId="0" xfId="1" applyFont="1" applyFill="1" applyAlignment="1">
      <alignment horizontal="left"/>
    </xf>
    <xf numFmtId="0" fontId="3" fillId="11" borderId="0" xfId="1" applyFont="1" applyFill="1" applyAlignment="1">
      <alignment horizontal="center"/>
    </xf>
    <xf numFmtId="0" fontId="4" fillId="11" borderId="0" xfId="1" applyFont="1" applyFill="1" applyAlignment="1">
      <alignment horizontal="left"/>
    </xf>
    <xf numFmtId="0" fontId="5" fillId="11" borderId="0" xfId="0" applyFont="1" applyFill="1"/>
    <xf numFmtId="0" fontId="5" fillId="11" borderId="0" xfId="0" quotePrefix="1" applyFont="1" applyFill="1"/>
    <xf numFmtId="49" fontId="12" fillId="11" borderId="0" xfId="0" quotePrefix="1" applyNumberFormat="1" applyFont="1" applyFill="1"/>
    <xf numFmtId="49" fontId="5" fillId="11" borderId="0" xfId="0" quotePrefix="1" applyNumberFormat="1" applyFont="1" applyFill="1"/>
  </cellXfs>
  <cellStyles count="3">
    <cellStyle name="Normal" xfId="0" builtinId="0"/>
    <cellStyle name="Normal 2" xfId="1" xr:uid="{00000000-0005-0000-0000-000001000000}"/>
    <cellStyle name="Vírgula 2" xfId="2" xr:uid="{00000000-0005-0000-0000-000002000000}"/>
  </cellStyles>
  <dxfs count="0"/>
  <tableStyles count="0" defaultTableStyle="TableStyleMedium2" defaultPivotStyle="PivotStyleLight16"/>
  <colors>
    <mruColors>
      <color rgb="FFCCFF33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Or&#231;amento%202024\2024%20-%20Painel%20de%20controle_or&#231;amento.xlsx" TargetMode="External"/><Relationship Id="rId1" Type="http://schemas.openxmlformats.org/officeDocument/2006/relationships/externalLinkPath" Target="2024%20-%20Painel%20de%20controle_or&#231;ame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 de Contas"/>
      <sheetName val="Plano de Contas sem ponto"/>
      <sheetName val="Centro de lucro"/>
      <sheetName val="Fluxo de caixa"/>
    </sheetNames>
    <sheetDataSet>
      <sheetData sheetId="0">
        <row r="718">
          <cell r="C718" t="str">
            <v>REALIZACAO DE EVENTOS</v>
          </cell>
        </row>
        <row r="719">
          <cell r="C719" t="str">
            <v>REALIZACAO DE EVENTOS - DIVERSOS</v>
          </cell>
        </row>
        <row r="720">
          <cell r="C720" t="str">
            <v>MATERIAIS DE EVENTOS</v>
          </cell>
        </row>
      </sheetData>
      <sheetData sheetId="1">
        <row r="718">
          <cell r="C718" t="str">
            <v>REALIZACAO DE EVENTOS</v>
          </cell>
        </row>
        <row r="719">
          <cell r="C719" t="str">
            <v>REALIZACAO DE EVENTOS - DIVERSOS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47"/>
  <sheetViews>
    <sheetView showGridLines="0" tabSelected="1" zoomScaleNormal="100" workbookViewId="0">
      <pane ySplit="1" topLeftCell="A693" activePane="bottomLeft" state="frozen"/>
      <selection activeCell="M610" sqref="A610:M611"/>
      <selection pane="bottomLeft" activeCell="C720" sqref="C720"/>
    </sheetView>
  </sheetViews>
  <sheetFormatPr defaultColWidth="9.1796875" defaultRowHeight="10" x14ac:dyDescent="0.2"/>
  <cols>
    <col min="1" max="1" width="18.54296875" style="6" customWidth="1"/>
    <col min="2" max="2" width="6.26953125" style="6" customWidth="1"/>
    <col min="3" max="3" width="42" style="6" customWidth="1"/>
    <col min="4" max="5" width="11.26953125" style="6" customWidth="1"/>
    <col min="6" max="6" width="19.26953125" style="6" customWidth="1"/>
    <col min="7" max="7" width="13.7265625" style="6" customWidth="1"/>
    <col min="8" max="8" width="11.1796875" style="6" customWidth="1"/>
    <col min="9" max="9" width="11.26953125" style="6" customWidth="1"/>
    <col min="10" max="10" width="44.26953125" style="2" customWidth="1"/>
    <col min="11" max="11" width="27.26953125" style="2" customWidth="1"/>
    <col min="12" max="12" width="46" style="6" customWidth="1"/>
    <col min="13" max="13" width="32.1796875" style="6" customWidth="1"/>
    <col min="14" max="18" width="9.1796875" style="6"/>
    <col min="19" max="19" width="12.1796875" style="6" bestFit="1" customWidth="1"/>
    <col min="20" max="16384" width="9.1796875" style="6"/>
  </cols>
  <sheetData>
    <row r="1" spans="1:19" s="35" customFormat="1" ht="21" customHeight="1" thickBot="1" x14ac:dyDescent="0.4">
      <c r="A1" s="34" t="s">
        <v>31</v>
      </c>
      <c r="B1" s="34" t="s">
        <v>40</v>
      </c>
      <c r="C1" s="34" t="s">
        <v>32</v>
      </c>
      <c r="D1" s="34" t="s">
        <v>33</v>
      </c>
      <c r="E1" s="34" t="s">
        <v>34</v>
      </c>
      <c r="F1" s="34" t="s">
        <v>35</v>
      </c>
      <c r="G1" s="34" t="s">
        <v>1489</v>
      </c>
      <c r="H1" s="34" t="s">
        <v>36</v>
      </c>
      <c r="I1" s="34" t="s">
        <v>1496</v>
      </c>
      <c r="J1" s="34" t="s">
        <v>37</v>
      </c>
      <c r="K1" s="34" t="s">
        <v>38</v>
      </c>
      <c r="L1" s="34" t="s">
        <v>1497</v>
      </c>
      <c r="M1" s="34" t="s">
        <v>1528</v>
      </c>
      <c r="N1" s="34" t="s">
        <v>1741</v>
      </c>
    </row>
    <row r="2" spans="1:19" x14ac:dyDescent="0.2">
      <c r="A2" s="1" t="s">
        <v>39</v>
      </c>
      <c r="B2" s="1" t="s">
        <v>40</v>
      </c>
      <c r="C2" s="1" t="s">
        <v>41</v>
      </c>
      <c r="D2" s="2" t="s">
        <v>42</v>
      </c>
      <c r="E2" s="2" t="str">
        <f t="shared" ref="E2:E33" si="0">LEFT(A2,1)</f>
        <v>1</v>
      </c>
      <c r="F2" s="2" t="s">
        <v>43</v>
      </c>
      <c r="G2" s="4" t="s">
        <v>1492</v>
      </c>
      <c r="H2" s="2">
        <f t="shared" ref="H2:H33" si="1">LEN(A2)</f>
        <v>1</v>
      </c>
      <c r="I2" s="3" t="str">
        <f t="shared" ref="I2:I33" si="2">IF(H2=11,A2,"-")</f>
        <v>-</v>
      </c>
      <c r="J2" s="2" t="str">
        <f t="shared" ref="J2:J33" si="3">IF(H2&lt;11,C2,IF(I2&lt;&gt;"-",C2,J1))</f>
        <v>ATIVO</v>
      </c>
      <c r="S2" s="6" t="b">
        <f>C2='Plano de Contas sem ponto'!C2</f>
        <v>1</v>
      </c>
    </row>
    <row r="3" spans="1:19" x14ac:dyDescent="0.2">
      <c r="A3" s="1" t="s">
        <v>44</v>
      </c>
      <c r="B3" s="1" t="s">
        <v>40</v>
      </c>
      <c r="C3" s="1" t="s">
        <v>45</v>
      </c>
      <c r="D3" s="2" t="s">
        <v>42</v>
      </c>
      <c r="E3" s="2" t="str">
        <f t="shared" si="0"/>
        <v>1</v>
      </c>
      <c r="F3" s="2" t="s">
        <v>43</v>
      </c>
      <c r="G3" s="2" t="s">
        <v>1490</v>
      </c>
      <c r="H3" s="2">
        <f t="shared" si="1"/>
        <v>3</v>
      </c>
      <c r="I3" s="3" t="str">
        <f t="shared" si="2"/>
        <v>-</v>
      </c>
      <c r="J3" s="2" t="str">
        <f t="shared" si="3"/>
        <v>ATIVO CIRCULANTE</v>
      </c>
      <c r="S3" s="6" t="b">
        <f>C3='Plano de Contas sem ponto'!C3</f>
        <v>1</v>
      </c>
    </row>
    <row r="4" spans="1:19" x14ac:dyDescent="0.2">
      <c r="A4" s="1" t="s">
        <v>46</v>
      </c>
      <c r="B4" s="1" t="s">
        <v>40</v>
      </c>
      <c r="C4" s="1" t="s">
        <v>47</v>
      </c>
      <c r="D4" s="2" t="s">
        <v>42</v>
      </c>
      <c r="E4" s="2" t="str">
        <f t="shared" si="0"/>
        <v>1</v>
      </c>
      <c r="F4" s="2" t="s">
        <v>43</v>
      </c>
      <c r="G4" s="2" t="s">
        <v>1490</v>
      </c>
      <c r="H4" s="2">
        <f t="shared" si="1"/>
        <v>5</v>
      </c>
      <c r="I4" s="3" t="str">
        <f t="shared" si="2"/>
        <v>-</v>
      </c>
      <c r="J4" s="2" t="str">
        <f t="shared" si="3"/>
        <v>DISPONIVEL</v>
      </c>
      <c r="S4" s="6" t="b">
        <f>C4='Plano de Contas sem ponto'!C4</f>
        <v>1</v>
      </c>
    </row>
    <row r="5" spans="1:19" x14ac:dyDescent="0.2">
      <c r="A5" s="1" t="s">
        <v>48</v>
      </c>
      <c r="B5" s="1" t="s">
        <v>40</v>
      </c>
      <c r="C5" s="1" t="s">
        <v>49</v>
      </c>
      <c r="D5" s="2" t="s">
        <v>42</v>
      </c>
      <c r="E5" s="2" t="str">
        <f t="shared" si="0"/>
        <v>1</v>
      </c>
      <c r="F5" s="2" t="s">
        <v>43</v>
      </c>
      <c r="G5" s="2" t="s">
        <v>1490</v>
      </c>
      <c r="H5" s="2">
        <f t="shared" si="1"/>
        <v>8</v>
      </c>
      <c r="I5" s="3" t="str">
        <f t="shared" si="2"/>
        <v>-</v>
      </c>
      <c r="J5" s="2" t="str">
        <f t="shared" si="3"/>
        <v>CAIXA</v>
      </c>
      <c r="S5" s="6" t="b">
        <f>C5='Plano de Contas sem ponto'!C5</f>
        <v>1</v>
      </c>
    </row>
    <row r="6" spans="1:19" x14ac:dyDescent="0.2">
      <c r="A6" s="1" t="s">
        <v>50</v>
      </c>
      <c r="B6" s="1" t="s">
        <v>40</v>
      </c>
      <c r="C6" s="1" t="s">
        <v>51</v>
      </c>
      <c r="D6" s="2" t="s">
        <v>42</v>
      </c>
      <c r="E6" s="2" t="str">
        <f t="shared" si="0"/>
        <v>1</v>
      </c>
      <c r="F6" s="2" t="s">
        <v>43</v>
      </c>
      <c r="G6" s="2" t="s">
        <v>1490</v>
      </c>
      <c r="H6" s="2">
        <f t="shared" si="1"/>
        <v>11</v>
      </c>
      <c r="I6" s="3" t="str">
        <f t="shared" si="2"/>
        <v>1.1.1.01.01</v>
      </c>
      <c r="J6" s="2" t="str">
        <f t="shared" si="3"/>
        <v>FUNDOS FIXOS</v>
      </c>
      <c r="K6" s="2" t="s">
        <v>52</v>
      </c>
      <c r="L6" s="6" t="s">
        <v>1498</v>
      </c>
      <c r="S6" s="6" t="b">
        <f>C6='Plano de Contas sem ponto'!C6</f>
        <v>1</v>
      </c>
    </row>
    <row r="7" spans="1:19" x14ac:dyDescent="0.2">
      <c r="A7" s="2" t="s">
        <v>53</v>
      </c>
      <c r="B7" s="2" t="s">
        <v>54</v>
      </c>
      <c r="C7" s="2" t="s">
        <v>55</v>
      </c>
      <c r="D7" s="2" t="s">
        <v>42</v>
      </c>
      <c r="E7" s="2" t="str">
        <f t="shared" si="0"/>
        <v>1</v>
      </c>
      <c r="F7" s="2" t="s">
        <v>43</v>
      </c>
      <c r="G7" s="2" t="s">
        <v>1490</v>
      </c>
      <c r="H7" s="2">
        <f t="shared" si="1"/>
        <v>16</v>
      </c>
      <c r="I7" s="3" t="str">
        <f t="shared" si="2"/>
        <v>-</v>
      </c>
      <c r="J7" s="2" t="str">
        <f t="shared" si="3"/>
        <v>FUNDOS FIXOS</v>
      </c>
      <c r="K7" s="2" t="s">
        <v>52</v>
      </c>
      <c r="L7" s="6" t="s">
        <v>1498</v>
      </c>
      <c r="S7" s="6" t="b">
        <f>C7='Plano de Contas sem ponto'!C7</f>
        <v>1</v>
      </c>
    </row>
    <row r="8" spans="1:19" x14ac:dyDescent="0.2">
      <c r="A8" s="2" t="s">
        <v>56</v>
      </c>
      <c r="B8" s="2" t="s">
        <v>54</v>
      </c>
      <c r="C8" s="2" t="s">
        <v>57</v>
      </c>
      <c r="D8" s="2" t="s">
        <v>42</v>
      </c>
      <c r="E8" s="2" t="str">
        <f t="shared" si="0"/>
        <v>1</v>
      </c>
      <c r="F8" s="2" t="s">
        <v>43</v>
      </c>
      <c r="G8" s="2" t="s">
        <v>1490</v>
      </c>
      <c r="H8" s="2">
        <f t="shared" si="1"/>
        <v>16</v>
      </c>
      <c r="I8" s="3" t="str">
        <f t="shared" si="2"/>
        <v>-</v>
      </c>
      <c r="J8" s="2" t="str">
        <f t="shared" si="3"/>
        <v>FUNDOS FIXOS</v>
      </c>
      <c r="K8" s="2" t="s">
        <v>52</v>
      </c>
      <c r="L8" s="6" t="s">
        <v>1498</v>
      </c>
      <c r="S8" s="6" t="b">
        <f>C8='Plano de Contas sem ponto'!C8</f>
        <v>1</v>
      </c>
    </row>
    <row r="9" spans="1:19" x14ac:dyDescent="0.2">
      <c r="A9" s="2" t="s">
        <v>58</v>
      </c>
      <c r="B9" s="2" t="s">
        <v>54</v>
      </c>
      <c r="C9" s="2" t="s">
        <v>59</v>
      </c>
      <c r="D9" s="2" t="s">
        <v>42</v>
      </c>
      <c r="E9" s="2" t="str">
        <f t="shared" si="0"/>
        <v>1</v>
      </c>
      <c r="F9" s="2" t="s">
        <v>43</v>
      </c>
      <c r="G9" s="2" t="s">
        <v>1490</v>
      </c>
      <c r="H9" s="2">
        <f t="shared" si="1"/>
        <v>16</v>
      </c>
      <c r="I9" s="3" t="str">
        <f t="shared" si="2"/>
        <v>-</v>
      </c>
      <c r="J9" s="2" t="str">
        <f t="shared" si="3"/>
        <v>FUNDOS FIXOS</v>
      </c>
      <c r="K9" s="2" t="s">
        <v>52</v>
      </c>
      <c r="L9" s="6" t="s">
        <v>1498</v>
      </c>
      <c r="S9" s="6" t="b">
        <f>C9='Plano de Contas sem ponto'!C9</f>
        <v>1</v>
      </c>
    </row>
    <row r="10" spans="1:19" x14ac:dyDescent="0.2">
      <c r="A10" s="2" t="s">
        <v>60</v>
      </c>
      <c r="B10" s="2" t="s">
        <v>54</v>
      </c>
      <c r="C10" s="2" t="s">
        <v>61</v>
      </c>
      <c r="D10" s="2" t="s">
        <v>42</v>
      </c>
      <c r="E10" s="2" t="str">
        <f t="shared" si="0"/>
        <v>1</v>
      </c>
      <c r="F10" s="2" t="s">
        <v>43</v>
      </c>
      <c r="G10" s="2" t="s">
        <v>1490</v>
      </c>
      <c r="H10" s="2">
        <f t="shared" si="1"/>
        <v>16</v>
      </c>
      <c r="I10" s="3" t="str">
        <f t="shared" si="2"/>
        <v>-</v>
      </c>
      <c r="J10" s="2" t="str">
        <f t="shared" si="3"/>
        <v>FUNDOS FIXOS</v>
      </c>
      <c r="K10" s="2" t="s">
        <v>52</v>
      </c>
      <c r="L10" s="6" t="s">
        <v>1498</v>
      </c>
      <c r="S10" s="6" t="b">
        <f>C10='Plano de Contas sem ponto'!C10</f>
        <v>1</v>
      </c>
    </row>
    <row r="11" spans="1:19" x14ac:dyDescent="0.2">
      <c r="A11" s="2" t="s">
        <v>62</v>
      </c>
      <c r="B11" s="2" t="s">
        <v>54</v>
      </c>
      <c r="C11" s="2" t="s">
        <v>63</v>
      </c>
      <c r="D11" s="2" t="s">
        <v>42</v>
      </c>
      <c r="E11" s="2" t="str">
        <f t="shared" si="0"/>
        <v>1</v>
      </c>
      <c r="F11" s="2" t="s">
        <v>43</v>
      </c>
      <c r="G11" s="2" t="s">
        <v>1490</v>
      </c>
      <c r="H11" s="2">
        <f t="shared" si="1"/>
        <v>16</v>
      </c>
      <c r="I11" s="3" t="str">
        <f t="shared" si="2"/>
        <v>-</v>
      </c>
      <c r="J11" s="2" t="str">
        <f t="shared" si="3"/>
        <v>FUNDOS FIXOS</v>
      </c>
      <c r="K11" s="2" t="s">
        <v>52</v>
      </c>
      <c r="L11" s="6" t="s">
        <v>1498</v>
      </c>
      <c r="S11" s="6" t="b">
        <f>C11='Plano de Contas sem ponto'!C11</f>
        <v>1</v>
      </c>
    </row>
    <row r="12" spans="1:19" x14ac:dyDescent="0.2">
      <c r="A12" s="2" t="s">
        <v>64</v>
      </c>
      <c r="B12" s="2" t="s">
        <v>54</v>
      </c>
      <c r="C12" s="2" t="s">
        <v>65</v>
      </c>
      <c r="D12" s="2" t="s">
        <v>42</v>
      </c>
      <c r="E12" s="2" t="str">
        <f t="shared" si="0"/>
        <v>1</v>
      </c>
      <c r="F12" s="2" t="s">
        <v>43</v>
      </c>
      <c r="G12" s="2" t="s">
        <v>1490</v>
      </c>
      <c r="H12" s="2">
        <f t="shared" si="1"/>
        <v>16</v>
      </c>
      <c r="I12" s="3" t="str">
        <f t="shared" si="2"/>
        <v>-</v>
      </c>
      <c r="J12" s="2" t="str">
        <f t="shared" si="3"/>
        <v>FUNDOS FIXOS</v>
      </c>
      <c r="K12" s="2" t="s">
        <v>52</v>
      </c>
      <c r="L12" s="6" t="s">
        <v>1498</v>
      </c>
      <c r="S12" s="6" t="b">
        <f>C12='Plano de Contas sem ponto'!C12</f>
        <v>1</v>
      </c>
    </row>
    <row r="13" spans="1:19" x14ac:dyDescent="0.2">
      <c r="A13" s="2" t="s">
        <v>66</v>
      </c>
      <c r="B13" s="2" t="s">
        <v>54</v>
      </c>
      <c r="C13" s="2" t="s">
        <v>67</v>
      </c>
      <c r="D13" s="2" t="s">
        <v>42</v>
      </c>
      <c r="E13" s="2" t="str">
        <f t="shared" si="0"/>
        <v>1</v>
      </c>
      <c r="F13" s="2" t="s">
        <v>43</v>
      </c>
      <c r="G13" s="2" t="s">
        <v>1490</v>
      </c>
      <c r="H13" s="2">
        <f t="shared" si="1"/>
        <v>16</v>
      </c>
      <c r="I13" s="3" t="str">
        <f t="shared" si="2"/>
        <v>-</v>
      </c>
      <c r="J13" s="2" t="str">
        <f t="shared" si="3"/>
        <v>FUNDOS FIXOS</v>
      </c>
      <c r="K13" s="2" t="s">
        <v>52</v>
      </c>
      <c r="L13" s="6" t="s">
        <v>1498</v>
      </c>
      <c r="S13" s="6" t="b">
        <f>C13='Plano de Contas sem ponto'!C13</f>
        <v>1</v>
      </c>
    </row>
    <row r="14" spans="1:19" x14ac:dyDescent="0.2">
      <c r="A14" s="2" t="s">
        <v>68</v>
      </c>
      <c r="B14" s="2" t="s">
        <v>54</v>
      </c>
      <c r="C14" s="2" t="s">
        <v>69</v>
      </c>
      <c r="D14" s="2" t="s">
        <v>42</v>
      </c>
      <c r="E14" s="2" t="str">
        <f t="shared" si="0"/>
        <v>1</v>
      </c>
      <c r="F14" s="2" t="s">
        <v>43</v>
      </c>
      <c r="G14" s="2" t="s">
        <v>1490</v>
      </c>
      <c r="H14" s="2">
        <f t="shared" si="1"/>
        <v>16</v>
      </c>
      <c r="I14" s="3" t="str">
        <f t="shared" si="2"/>
        <v>-</v>
      </c>
      <c r="J14" s="2" t="str">
        <f t="shared" si="3"/>
        <v>FUNDOS FIXOS</v>
      </c>
      <c r="K14" s="2" t="s">
        <v>52</v>
      </c>
      <c r="L14" s="6" t="s">
        <v>1498</v>
      </c>
      <c r="S14" s="6" t="b">
        <f>C14='Plano de Contas sem ponto'!C14</f>
        <v>1</v>
      </c>
    </row>
    <row r="15" spans="1:19" x14ac:dyDescent="0.2">
      <c r="A15" s="2" t="s">
        <v>70</v>
      </c>
      <c r="B15" s="2" t="s">
        <v>54</v>
      </c>
      <c r="C15" s="2" t="s">
        <v>71</v>
      </c>
      <c r="D15" s="2" t="s">
        <v>42</v>
      </c>
      <c r="E15" s="2" t="str">
        <f t="shared" si="0"/>
        <v>1</v>
      </c>
      <c r="F15" s="2" t="s">
        <v>43</v>
      </c>
      <c r="G15" s="2" t="s">
        <v>1490</v>
      </c>
      <c r="H15" s="2">
        <f t="shared" si="1"/>
        <v>16</v>
      </c>
      <c r="I15" s="3" t="str">
        <f t="shared" si="2"/>
        <v>-</v>
      </c>
      <c r="J15" s="2" t="str">
        <f t="shared" si="3"/>
        <v>FUNDOS FIXOS</v>
      </c>
      <c r="K15" s="2" t="s">
        <v>52</v>
      </c>
      <c r="L15" s="6" t="s">
        <v>1498</v>
      </c>
      <c r="S15" s="6" t="b">
        <f>C15='Plano de Contas sem ponto'!C15</f>
        <v>1</v>
      </c>
    </row>
    <row r="16" spans="1:19" x14ac:dyDescent="0.2">
      <c r="A16" s="2" t="s">
        <v>72</v>
      </c>
      <c r="B16" s="2" t="s">
        <v>54</v>
      </c>
      <c r="C16" s="2" t="s">
        <v>73</v>
      </c>
      <c r="D16" s="2" t="s">
        <v>42</v>
      </c>
      <c r="E16" s="2" t="str">
        <f t="shared" si="0"/>
        <v>1</v>
      </c>
      <c r="F16" s="2" t="s">
        <v>43</v>
      </c>
      <c r="G16" s="2" t="s">
        <v>1490</v>
      </c>
      <c r="H16" s="2">
        <f t="shared" si="1"/>
        <v>16</v>
      </c>
      <c r="I16" s="3" t="str">
        <f t="shared" si="2"/>
        <v>-</v>
      </c>
      <c r="J16" s="2" t="str">
        <f t="shared" si="3"/>
        <v>FUNDOS FIXOS</v>
      </c>
      <c r="K16" s="2" t="s">
        <v>52</v>
      </c>
      <c r="L16" s="6" t="s">
        <v>1498</v>
      </c>
      <c r="S16" s="6" t="b">
        <f>C16='Plano de Contas sem ponto'!C16</f>
        <v>1</v>
      </c>
    </row>
    <row r="17" spans="1:19" x14ac:dyDescent="0.2">
      <c r="A17" s="1" t="s">
        <v>74</v>
      </c>
      <c r="B17" s="1" t="s">
        <v>40</v>
      </c>
      <c r="C17" s="1" t="s">
        <v>75</v>
      </c>
      <c r="D17" s="2" t="s">
        <v>42</v>
      </c>
      <c r="E17" s="2" t="str">
        <f t="shared" si="0"/>
        <v>1</v>
      </c>
      <c r="F17" s="2" t="s">
        <v>43</v>
      </c>
      <c r="G17" s="2" t="s">
        <v>1490</v>
      </c>
      <c r="H17" s="2">
        <f t="shared" si="1"/>
        <v>8</v>
      </c>
      <c r="I17" s="3" t="str">
        <f t="shared" si="2"/>
        <v>-</v>
      </c>
      <c r="J17" s="2" t="str">
        <f t="shared" si="3"/>
        <v>BANCOS</v>
      </c>
      <c r="K17" s="2" t="s">
        <v>52</v>
      </c>
      <c r="S17" s="6" t="b">
        <f>C17='Plano de Contas sem ponto'!C17</f>
        <v>1</v>
      </c>
    </row>
    <row r="18" spans="1:19" x14ac:dyDescent="0.2">
      <c r="A18" s="1" t="s">
        <v>76</v>
      </c>
      <c r="B18" s="1" t="s">
        <v>40</v>
      </c>
      <c r="C18" s="1" t="s">
        <v>77</v>
      </c>
      <c r="D18" s="2" t="s">
        <v>42</v>
      </c>
      <c r="E18" s="2" t="str">
        <f t="shared" si="0"/>
        <v>1</v>
      </c>
      <c r="F18" s="2" t="s">
        <v>43</v>
      </c>
      <c r="G18" s="2" t="s">
        <v>1490</v>
      </c>
      <c r="H18" s="2">
        <f t="shared" si="1"/>
        <v>11</v>
      </c>
      <c r="I18" s="3" t="str">
        <f t="shared" si="2"/>
        <v>1.1.1.02.01</v>
      </c>
      <c r="J18" s="2" t="str">
        <f t="shared" si="3"/>
        <v>BANCOS CONTA MOVIMENTO</v>
      </c>
      <c r="K18" s="2" t="s">
        <v>52</v>
      </c>
      <c r="L18" s="6" t="s">
        <v>1503</v>
      </c>
      <c r="S18" s="6" t="b">
        <f>C18='Plano de Contas sem ponto'!C18</f>
        <v>1</v>
      </c>
    </row>
    <row r="19" spans="1:19" x14ac:dyDescent="0.2">
      <c r="A19" s="2" t="s">
        <v>78</v>
      </c>
      <c r="B19" s="2" t="s">
        <v>54</v>
      </c>
      <c r="C19" s="2" t="s">
        <v>79</v>
      </c>
      <c r="D19" s="2" t="s">
        <v>42</v>
      </c>
      <c r="E19" s="2" t="str">
        <f t="shared" si="0"/>
        <v>1</v>
      </c>
      <c r="F19" s="2" t="s">
        <v>43</v>
      </c>
      <c r="G19" s="2" t="s">
        <v>1490</v>
      </c>
      <c r="H19" s="2">
        <f t="shared" si="1"/>
        <v>16</v>
      </c>
      <c r="I19" s="3" t="str">
        <f t="shared" si="2"/>
        <v>-</v>
      </c>
      <c r="J19" s="2" t="str">
        <f t="shared" si="3"/>
        <v>BANCOS CONTA MOVIMENTO</v>
      </c>
      <c r="K19" s="2" t="s">
        <v>52</v>
      </c>
      <c r="L19" s="6" t="s">
        <v>1503</v>
      </c>
      <c r="S19" s="6" t="b">
        <f>C19='Plano de Contas sem ponto'!C19</f>
        <v>1</v>
      </c>
    </row>
    <row r="20" spans="1:19" x14ac:dyDescent="0.2">
      <c r="A20" s="2" t="s">
        <v>80</v>
      </c>
      <c r="B20" s="2" t="s">
        <v>54</v>
      </c>
      <c r="C20" s="2" t="s">
        <v>81</v>
      </c>
      <c r="D20" s="2" t="s">
        <v>42</v>
      </c>
      <c r="E20" s="2" t="str">
        <f t="shared" si="0"/>
        <v>1</v>
      </c>
      <c r="F20" s="2" t="s">
        <v>43</v>
      </c>
      <c r="G20" s="2" t="s">
        <v>1490</v>
      </c>
      <c r="H20" s="2">
        <f t="shared" si="1"/>
        <v>16</v>
      </c>
      <c r="I20" s="3" t="str">
        <f t="shared" si="2"/>
        <v>-</v>
      </c>
      <c r="J20" s="2" t="str">
        <f t="shared" si="3"/>
        <v>BANCOS CONTA MOVIMENTO</v>
      </c>
      <c r="K20" s="2" t="s">
        <v>52</v>
      </c>
      <c r="L20" s="6" t="s">
        <v>1503</v>
      </c>
      <c r="S20" s="6" t="b">
        <f>C20='Plano de Contas sem ponto'!C20</f>
        <v>1</v>
      </c>
    </row>
    <row r="21" spans="1:19" x14ac:dyDescent="0.2">
      <c r="A21" s="2" t="s">
        <v>82</v>
      </c>
      <c r="B21" s="2" t="s">
        <v>54</v>
      </c>
      <c r="C21" s="2" t="s">
        <v>83</v>
      </c>
      <c r="D21" s="2" t="s">
        <v>42</v>
      </c>
      <c r="E21" s="2" t="str">
        <f t="shared" si="0"/>
        <v>1</v>
      </c>
      <c r="F21" s="2" t="s">
        <v>43</v>
      </c>
      <c r="G21" s="2" t="s">
        <v>1490</v>
      </c>
      <c r="H21" s="2">
        <f t="shared" si="1"/>
        <v>16</v>
      </c>
      <c r="I21" s="3" t="str">
        <f t="shared" si="2"/>
        <v>-</v>
      </c>
      <c r="J21" s="2" t="str">
        <f t="shared" si="3"/>
        <v>BANCOS CONTA MOVIMENTO</v>
      </c>
      <c r="K21" s="2" t="s">
        <v>52</v>
      </c>
      <c r="L21" s="6" t="s">
        <v>1503</v>
      </c>
      <c r="S21" s="6" t="b">
        <f>C21='Plano de Contas sem ponto'!C21</f>
        <v>1</v>
      </c>
    </row>
    <row r="22" spans="1:19" x14ac:dyDescent="0.2">
      <c r="A22" s="2" t="s">
        <v>84</v>
      </c>
      <c r="B22" s="2" t="s">
        <v>54</v>
      </c>
      <c r="C22" s="2" t="s">
        <v>85</v>
      </c>
      <c r="D22" s="2" t="s">
        <v>42</v>
      </c>
      <c r="E22" s="2" t="str">
        <f t="shared" si="0"/>
        <v>1</v>
      </c>
      <c r="F22" s="2" t="s">
        <v>43</v>
      </c>
      <c r="G22" s="2" t="s">
        <v>1490</v>
      </c>
      <c r="H22" s="2">
        <f t="shared" si="1"/>
        <v>16</v>
      </c>
      <c r="I22" s="3" t="str">
        <f t="shared" si="2"/>
        <v>-</v>
      </c>
      <c r="J22" s="2" t="str">
        <f t="shared" si="3"/>
        <v>BANCOS CONTA MOVIMENTO</v>
      </c>
      <c r="K22" s="2" t="s">
        <v>52</v>
      </c>
      <c r="L22" s="6" t="s">
        <v>1503</v>
      </c>
      <c r="S22" s="6" t="b">
        <f>C22='Plano de Contas sem ponto'!C22</f>
        <v>1</v>
      </c>
    </row>
    <row r="23" spans="1:19" x14ac:dyDescent="0.2">
      <c r="A23" s="2" t="s">
        <v>86</v>
      </c>
      <c r="B23" s="2" t="s">
        <v>54</v>
      </c>
      <c r="C23" s="2" t="s">
        <v>87</v>
      </c>
      <c r="D23" s="2" t="s">
        <v>42</v>
      </c>
      <c r="E23" s="2" t="str">
        <f t="shared" si="0"/>
        <v>1</v>
      </c>
      <c r="F23" s="2" t="s">
        <v>43</v>
      </c>
      <c r="G23" s="2" t="s">
        <v>1490</v>
      </c>
      <c r="H23" s="2">
        <f t="shared" si="1"/>
        <v>16</v>
      </c>
      <c r="I23" s="3" t="str">
        <f t="shared" si="2"/>
        <v>-</v>
      </c>
      <c r="J23" s="2" t="str">
        <f t="shared" si="3"/>
        <v>BANCOS CONTA MOVIMENTO</v>
      </c>
      <c r="K23" s="2" t="s">
        <v>52</v>
      </c>
      <c r="L23" s="6" t="s">
        <v>1503</v>
      </c>
      <c r="S23" s="6" t="b">
        <f>C23='Plano de Contas sem ponto'!C23</f>
        <v>1</v>
      </c>
    </row>
    <row r="24" spans="1:19" x14ac:dyDescent="0.2">
      <c r="A24" s="2" t="s">
        <v>88</v>
      </c>
      <c r="B24" s="2" t="s">
        <v>54</v>
      </c>
      <c r="C24" s="2" t="s">
        <v>89</v>
      </c>
      <c r="D24" s="2" t="s">
        <v>42</v>
      </c>
      <c r="E24" s="2" t="str">
        <f t="shared" si="0"/>
        <v>1</v>
      </c>
      <c r="F24" s="2" t="s">
        <v>43</v>
      </c>
      <c r="G24" s="2" t="s">
        <v>1490</v>
      </c>
      <c r="H24" s="2">
        <f t="shared" si="1"/>
        <v>16</v>
      </c>
      <c r="I24" s="3" t="str">
        <f t="shared" si="2"/>
        <v>-</v>
      </c>
      <c r="J24" s="2" t="str">
        <f t="shared" si="3"/>
        <v>BANCOS CONTA MOVIMENTO</v>
      </c>
      <c r="K24" s="2" t="s">
        <v>52</v>
      </c>
      <c r="L24" s="6" t="s">
        <v>1503</v>
      </c>
      <c r="S24" s="6" t="b">
        <f>C24='Plano de Contas sem ponto'!C24</f>
        <v>1</v>
      </c>
    </row>
    <row r="25" spans="1:19" x14ac:dyDescent="0.2">
      <c r="A25" s="2" t="s">
        <v>90</v>
      </c>
      <c r="B25" s="2" t="s">
        <v>54</v>
      </c>
      <c r="C25" s="2" t="s">
        <v>91</v>
      </c>
      <c r="D25" s="2" t="s">
        <v>42</v>
      </c>
      <c r="E25" s="2" t="str">
        <f t="shared" si="0"/>
        <v>1</v>
      </c>
      <c r="F25" s="2" t="s">
        <v>43</v>
      </c>
      <c r="G25" s="2" t="s">
        <v>1490</v>
      </c>
      <c r="H25" s="2">
        <f t="shared" si="1"/>
        <v>16</v>
      </c>
      <c r="I25" s="3" t="str">
        <f t="shared" si="2"/>
        <v>-</v>
      </c>
      <c r="J25" s="2" t="str">
        <f t="shared" si="3"/>
        <v>BANCOS CONTA MOVIMENTO</v>
      </c>
      <c r="K25" s="2" t="s">
        <v>52</v>
      </c>
      <c r="L25" s="6" t="s">
        <v>1503</v>
      </c>
      <c r="S25" s="6" t="b">
        <f>C25='Plano de Contas sem ponto'!C25</f>
        <v>1</v>
      </c>
    </row>
    <row r="26" spans="1:19" x14ac:dyDescent="0.2">
      <c r="A26" s="2" t="s">
        <v>92</v>
      </c>
      <c r="B26" s="2" t="s">
        <v>54</v>
      </c>
      <c r="C26" s="2" t="s">
        <v>93</v>
      </c>
      <c r="D26" s="2" t="s">
        <v>42</v>
      </c>
      <c r="E26" s="2" t="str">
        <f t="shared" si="0"/>
        <v>1</v>
      </c>
      <c r="F26" s="2" t="s">
        <v>43</v>
      </c>
      <c r="G26" s="2" t="s">
        <v>1490</v>
      </c>
      <c r="H26" s="2">
        <f t="shared" si="1"/>
        <v>16</v>
      </c>
      <c r="I26" s="3" t="str">
        <f t="shared" si="2"/>
        <v>-</v>
      </c>
      <c r="J26" s="2" t="str">
        <f t="shared" si="3"/>
        <v>BANCOS CONTA MOVIMENTO</v>
      </c>
      <c r="K26" s="2" t="s">
        <v>52</v>
      </c>
      <c r="L26" s="6" t="s">
        <v>1503</v>
      </c>
      <c r="S26" s="6" t="b">
        <f>C26='Plano de Contas sem ponto'!C26</f>
        <v>1</v>
      </c>
    </row>
    <row r="27" spans="1:19" x14ac:dyDescent="0.2">
      <c r="A27" s="2" t="s">
        <v>94</v>
      </c>
      <c r="B27" s="2" t="s">
        <v>54</v>
      </c>
      <c r="C27" s="2" t="s">
        <v>95</v>
      </c>
      <c r="D27" s="2" t="s">
        <v>42</v>
      </c>
      <c r="E27" s="2" t="str">
        <f t="shared" si="0"/>
        <v>1</v>
      </c>
      <c r="F27" s="2" t="s">
        <v>43</v>
      </c>
      <c r="G27" s="2" t="s">
        <v>1490</v>
      </c>
      <c r="H27" s="2">
        <f t="shared" si="1"/>
        <v>16</v>
      </c>
      <c r="I27" s="3" t="str">
        <f t="shared" si="2"/>
        <v>-</v>
      </c>
      <c r="J27" s="2" t="str">
        <f t="shared" si="3"/>
        <v>BANCOS CONTA MOVIMENTO</v>
      </c>
      <c r="K27" s="2" t="s">
        <v>52</v>
      </c>
      <c r="L27" s="6" t="s">
        <v>1503</v>
      </c>
      <c r="S27" s="6" t="b">
        <f>C27='Plano de Contas sem ponto'!C27</f>
        <v>1</v>
      </c>
    </row>
    <row r="28" spans="1:19" x14ac:dyDescent="0.2">
      <c r="A28" s="2" t="s">
        <v>96</v>
      </c>
      <c r="B28" s="2" t="s">
        <v>54</v>
      </c>
      <c r="C28" s="2" t="s">
        <v>97</v>
      </c>
      <c r="D28" s="2" t="s">
        <v>42</v>
      </c>
      <c r="E28" s="2" t="str">
        <f t="shared" si="0"/>
        <v>1</v>
      </c>
      <c r="F28" s="2" t="s">
        <v>43</v>
      </c>
      <c r="G28" s="2" t="s">
        <v>1490</v>
      </c>
      <c r="H28" s="2">
        <f t="shared" si="1"/>
        <v>16</v>
      </c>
      <c r="I28" s="3" t="str">
        <f t="shared" si="2"/>
        <v>-</v>
      </c>
      <c r="J28" s="2" t="str">
        <f t="shared" si="3"/>
        <v>BANCOS CONTA MOVIMENTO</v>
      </c>
      <c r="K28" s="2" t="s">
        <v>52</v>
      </c>
      <c r="L28" s="6" t="s">
        <v>1503</v>
      </c>
      <c r="S28" s="6" t="b">
        <f>C28='Plano de Contas sem ponto'!C28</f>
        <v>1</v>
      </c>
    </row>
    <row r="29" spans="1:19" x14ac:dyDescent="0.2">
      <c r="A29" s="2" t="s">
        <v>98</v>
      </c>
      <c r="B29" s="2" t="s">
        <v>54</v>
      </c>
      <c r="C29" s="2" t="s">
        <v>99</v>
      </c>
      <c r="D29" s="2" t="s">
        <v>42</v>
      </c>
      <c r="E29" s="2" t="str">
        <f t="shared" si="0"/>
        <v>1</v>
      </c>
      <c r="F29" s="2" t="s">
        <v>43</v>
      </c>
      <c r="G29" s="2" t="s">
        <v>1490</v>
      </c>
      <c r="H29" s="2">
        <f t="shared" si="1"/>
        <v>16</v>
      </c>
      <c r="I29" s="3" t="str">
        <f t="shared" si="2"/>
        <v>-</v>
      </c>
      <c r="J29" s="2" t="str">
        <f t="shared" si="3"/>
        <v>BANCOS CONTA MOVIMENTO</v>
      </c>
      <c r="K29" s="2" t="s">
        <v>52</v>
      </c>
      <c r="L29" s="6" t="s">
        <v>1503</v>
      </c>
      <c r="S29" s="6" t="b">
        <f>C29='Plano de Contas sem ponto'!C29</f>
        <v>1</v>
      </c>
    </row>
    <row r="30" spans="1:19" x14ac:dyDescent="0.2">
      <c r="A30" s="2" t="s">
        <v>100</v>
      </c>
      <c r="B30" s="2" t="s">
        <v>54</v>
      </c>
      <c r="C30" s="2" t="s">
        <v>101</v>
      </c>
      <c r="D30" s="2" t="s">
        <v>42</v>
      </c>
      <c r="E30" s="2" t="str">
        <f t="shared" si="0"/>
        <v>1</v>
      </c>
      <c r="F30" s="2" t="s">
        <v>43</v>
      </c>
      <c r="G30" s="2" t="s">
        <v>1490</v>
      </c>
      <c r="H30" s="2">
        <f t="shared" si="1"/>
        <v>16</v>
      </c>
      <c r="I30" s="3" t="str">
        <f t="shared" si="2"/>
        <v>-</v>
      </c>
      <c r="J30" s="2" t="str">
        <f t="shared" si="3"/>
        <v>BANCOS CONTA MOVIMENTO</v>
      </c>
      <c r="K30" s="2" t="s">
        <v>52</v>
      </c>
      <c r="L30" s="6" t="s">
        <v>1503</v>
      </c>
      <c r="S30" s="6" t="b">
        <f>C30='Plano de Contas sem ponto'!C30</f>
        <v>1</v>
      </c>
    </row>
    <row r="31" spans="1:19" x14ac:dyDescent="0.2">
      <c r="A31" s="2" t="s">
        <v>102</v>
      </c>
      <c r="B31" s="2" t="s">
        <v>54</v>
      </c>
      <c r="C31" s="2" t="s">
        <v>103</v>
      </c>
      <c r="D31" s="2" t="s">
        <v>42</v>
      </c>
      <c r="E31" s="2" t="str">
        <f t="shared" si="0"/>
        <v>1</v>
      </c>
      <c r="F31" s="2" t="s">
        <v>43</v>
      </c>
      <c r="G31" s="2" t="s">
        <v>1490</v>
      </c>
      <c r="H31" s="2">
        <f t="shared" si="1"/>
        <v>16</v>
      </c>
      <c r="I31" s="3" t="str">
        <f t="shared" si="2"/>
        <v>-</v>
      </c>
      <c r="J31" s="2" t="str">
        <f t="shared" si="3"/>
        <v>BANCOS CONTA MOVIMENTO</v>
      </c>
      <c r="K31" s="2" t="s">
        <v>52</v>
      </c>
      <c r="L31" s="6" t="s">
        <v>1503</v>
      </c>
      <c r="S31" s="6" t="b">
        <f>C31='Plano de Contas sem ponto'!C31</f>
        <v>1</v>
      </c>
    </row>
    <row r="32" spans="1:19" x14ac:dyDescent="0.2">
      <c r="A32" s="2" t="s">
        <v>104</v>
      </c>
      <c r="B32" s="2" t="s">
        <v>54</v>
      </c>
      <c r="C32" s="2" t="s">
        <v>105</v>
      </c>
      <c r="D32" s="2" t="s">
        <v>42</v>
      </c>
      <c r="E32" s="2" t="str">
        <f t="shared" si="0"/>
        <v>1</v>
      </c>
      <c r="F32" s="2" t="s">
        <v>43</v>
      </c>
      <c r="G32" s="2" t="s">
        <v>1490</v>
      </c>
      <c r="H32" s="2">
        <f t="shared" si="1"/>
        <v>16</v>
      </c>
      <c r="I32" s="3" t="str">
        <f t="shared" si="2"/>
        <v>-</v>
      </c>
      <c r="J32" s="2" t="str">
        <f t="shared" si="3"/>
        <v>BANCOS CONTA MOVIMENTO</v>
      </c>
      <c r="K32" s="2" t="s">
        <v>52</v>
      </c>
      <c r="L32" s="6" t="s">
        <v>1503</v>
      </c>
      <c r="S32" s="6" t="b">
        <f>C32='Plano de Contas sem ponto'!C32</f>
        <v>1</v>
      </c>
    </row>
    <row r="33" spans="1:19" x14ac:dyDescent="0.2">
      <c r="A33" s="2" t="s">
        <v>106</v>
      </c>
      <c r="B33" s="2" t="s">
        <v>54</v>
      </c>
      <c r="C33" s="2" t="s">
        <v>107</v>
      </c>
      <c r="D33" s="2" t="s">
        <v>42</v>
      </c>
      <c r="E33" s="2" t="str">
        <f t="shared" si="0"/>
        <v>1</v>
      </c>
      <c r="F33" s="2" t="s">
        <v>43</v>
      </c>
      <c r="G33" s="2" t="s">
        <v>1490</v>
      </c>
      <c r="H33" s="2">
        <f t="shared" si="1"/>
        <v>16</v>
      </c>
      <c r="I33" s="3" t="str">
        <f t="shared" si="2"/>
        <v>-</v>
      </c>
      <c r="J33" s="2" t="str">
        <f t="shared" si="3"/>
        <v>BANCOS CONTA MOVIMENTO</v>
      </c>
      <c r="K33" s="2" t="s">
        <v>52</v>
      </c>
      <c r="L33" s="6" t="s">
        <v>1503</v>
      </c>
      <c r="S33" s="6" t="b">
        <f>C33='Plano de Contas sem ponto'!C33</f>
        <v>1</v>
      </c>
    </row>
    <row r="34" spans="1:19" x14ac:dyDescent="0.2">
      <c r="A34" s="2" t="s">
        <v>108</v>
      </c>
      <c r="B34" s="2" t="s">
        <v>54</v>
      </c>
      <c r="C34" s="2" t="s">
        <v>109</v>
      </c>
      <c r="D34" s="2" t="s">
        <v>42</v>
      </c>
      <c r="E34" s="2" t="str">
        <f t="shared" ref="E34:E65" si="4">LEFT(A34,1)</f>
        <v>1</v>
      </c>
      <c r="F34" s="2" t="s">
        <v>43</v>
      </c>
      <c r="G34" s="2" t="s">
        <v>1490</v>
      </c>
      <c r="H34" s="2">
        <f t="shared" ref="H34:H65" si="5">LEN(A34)</f>
        <v>16</v>
      </c>
      <c r="I34" s="3" t="str">
        <f t="shared" ref="I34:I65" si="6">IF(H34=11,A34,"-")</f>
        <v>-</v>
      </c>
      <c r="J34" s="2" t="str">
        <f t="shared" ref="J34:J61" si="7">IF(H34&lt;11,C34,IF(I34&lt;&gt;"-",C34,J33))</f>
        <v>BANCOS CONTA MOVIMENTO</v>
      </c>
      <c r="K34" s="2" t="s">
        <v>52</v>
      </c>
      <c r="L34" s="6" t="s">
        <v>1503</v>
      </c>
      <c r="S34" s="6" t="b">
        <f>C34='Plano de Contas sem ponto'!C34</f>
        <v>1</v>
      </c>
    </row>
    <row r="35" spans="1:19" x14ac:dyDescent="0.2">
      <c r="A35" s="2" t="s">
        <v>110</v>
      </c>
      <c r="B35" s="2" t="s">
        <v>54</v>
      </c>
      <c r="C35" s="2" t="s">
        <v>111</v>
      </c>
      <c r="D35" s="2" t="s">
        <v>42</v>
      </c>
      <c r="E35" s="2" t="str">
        <f t="shared" si="4"/>
        <v>1</v>
      </c>
      <c r="F35" s="2" t="s">
        <v>43</v>
      </c>
      <c r="G35" s="2" t="s">
        <v>1490</v>
      </c>
      <c r="H35" s="2">
        <f t="shared" si="5"/>
        <v>16</v>
      </c>
      <c r="I35" s="3" t="str">
        <f t="shared" si="6"/>
        <v>-</v>
      </c>
      <c r="J35" s="2" t="str">
        <f t="shared" si="7"/>
        <v>BANCOS CONTA MOVIMENTO</v>
      </c>
      <c r="K35" s="2" t="s">
        <v>52</v>
      </c>
      <c r="L35" s="6" t="s">
        <v>1503</v>
      </c>
      <c r="S35" s="6" t="b">
        <f>C35='Plano de Contas sem ponto'!C35</f>
        <v>1</v>
      </c>
    </row>
    <row r="36" spans="1:19" x14ac:dyDescent="0.2">
      <c r="A36" s="2" t="s">
        <v>112</v>
      </c>
      <c r="B36" s="2" t="s">
        <v>54</v>
      </c>
      <c r="C36" s="2" t="s">
        <v>113</v>
      </c>
      <c r="D36" s="2" t="s">
        <v>42</v>
      </c>
      <c r="E36" s="2" t="str">
        <f t="shared" si="4"/>
        <v>1</v>
      </c>
      <c r="F36" s="2" t="s">
        <v>43</v>
      </c>
      <c r="G36" s="2" t="s">
        <v>1490</v>
      </c>
      <c r="H36" s="2">
        <f t="shared" si="5"/>
        <v>16</v>
      </c>
      <c r="I36" s="3" t="str">
        <f t="shared" si="6"/>
        <v>-</v>
      </c>
      <c r="J36" s="2" t="str">
        <f t="shared" si="7"/>
        <v>BANCOS CONTA MOVIMENTO</v>
      </c>
      <c r="K36" s="2" t="s">
        <v>52</v>
      </c>
      <c r="L36" s="6" t="s">
        <v>1503</v>
      </c>
      <c r="S36" s="6" t="b">
        <f>C36='Plano de Contas sem ponto'!C36</f>
        <v>1</v>
      </c>
    </row>
    <row r="37" spans="1:19" x14ac:dyDescent="0.2">
      <c r="A37" s="2" t="s">
        <v>114</v>
      </c>
      <c r="B37" s="2" t="s">
        <v>54</v>
      </c>
      <c r="C37" s="2" t="s">
        <v>115</v>
      </c>
      <c r="D37" s="2" t="s">
        <v>42</v>
      </c>
      <c r="E37" s="2" t="str">
        <f t="shared" si="4"/>
        <v>1</v>
      </c>
      <c r="F37" s="2" t="s">
        <v>43</v>
      </c>
      <c r="G37" s="2" t="s">
        <v>1490</v>
      </c>
      <c r="H37" s="2">
        <f t="shared" si="5"/>
        <v>16</v>
      </c>
      <c r="I37" s="3" t="str">
        <f t="shared" si="6"/>
        <v>-</v>
      </c>
      <c r="J37" s="2" t="str">
        <f t="shared" si="7"/>
        <v>BANCOS CONTA MOVIMENTO</v>
      </c>
      <c r="K37" s="2" t="s">
        <v>52</v>
      </c>
      <c r="L37" s="6" t="s">
        <v>1503</v>
      </c>
      <c r="S37" s="6" t="b">
        <f>C37='Plano de Contas sem ponto'!C37</f>
        <v>1</v>
      </c>
    </row>
    <row r="38" spans="1:19" x14ac:dyDescent="0.2">
      <c r="A38" s="2" t="s">
        <v>116</v>
      </c>
      <c r="B38" s="2" t="s">
        <v>54</v>
      </c>
      <c r="C38" s="2" t="s">
        <v>117</v>
      </c>
      <c r="D38" s="2" t="s">
        <v>42</v>
      </c>
      <c r="E38" s="2" t="str">
        <f t="shared" si="4"/>
        <v>1</v>
      </c>
      <c r="F38" s="2" t="s">
        <v>43</v>
      </c>
      <c r="G38" s="2" t="s">
        <v>1490</v>
      </c>
      <c r="H38" s="2">
        <f t="shared" si="5"/>
        <v>16</v>
      </c>
      <c r="I38" s="3" t="str">
        <f t="shared" si="6"/>
        <v>-</v>
      </c>
      <c r="J38" s="2" t="str">
        <f t="shared" si="7"/>
        <v>BANCOS CONTA MOVIMENTO</v>
      </c>
      <c r="K38" s="2" t="s">
        <v>52</v>
      </c>
      <c r="L38" s="6" t="s">
        <v>1503</v>
      </c>
      <c r="S38" s="6" t="b">
        <f>C38='Plano de Contas sem ponto'!C38</f>
        <v>1</v>
      </c>
    </row>
    <row r="39" spans="1:19" x14ac:dyDescent="0.2">
      <c r="A39" s="2" t="s">
        <v>118</v>
      </c>
      <c r="B39" s="2" t="s">
        <v>54</v>
      </c>
      <c r="C39" s="2" t="s">
        <v>119</v>
      </c>
      <c r="D39" s="2" t="s">
        <v>42</v>
      </c>
      <c r="E39" s="2" t="str">
        <f t="shared" si="4"/>
        <v>1</v>
      </c>
      <c r="F39" s="2" t="s">
        <v>43</v>
      </c>
      <c r="G39" s="2" t="s">
        <v>1490</v>
      </c>
      <c r="H39" s="2">
        <f t="shared" si="5"/>
        <v>16</v>
      </c>
      <c r="I39" s="3" t="str">
        <f t="shared" si="6"/>
        <v>-</v>
      </c>
      <c r="J39" s="2" t="str">
        <f t="shared" si="7"/>
        <v>BANCOS CONTA MOVIMENTO</v>
      </c>
      <c r="K39" s="2" t="s">
        <v>52</v>
      </c>
      <c r="L39" s="6" t="s">
        <v>1503</v>
      </c>
      <c r="S39" s="6" t="b">
        <f>C39='Plano de Contas sem ponto'!C39</f>
        <v>1</v>
      </c>
    </row>
    <row r="40" spans="1:19" x14ac:dyDescent="0.2">
      <c r="A40" s="2" t="s">
        <v>120</v>
      </c>
      <c r="B40" s="2" t="s">
        <v>54</v>
      </c>
      <c r="C40" s="2" t="s">
        <v>121</v>
      </c>
      <c r="D40" s="2" t="s">
        <v>42</v>
      </c>
      <c r="E40" s="2" t="str">
        <f t="shared" si="4"/>
        <v>1</v>
      </c>
      <c r="F40" s="2" t="s">
        <v>43</v>
      </c>
      <c r="G40" s="2" t="s">
        <v>1490</v>
      </c>
      <c r="H40" s="2">
        <f t="shared" si="5"/>
        <v>16</v>
      </c>
      <c r="I40" s="3" t="str">
        <f t="shared" si="6"/>
        <v>-</v>
      </c>
      <c r="J40" s="2" t="str">
        <f t="shared" si="7"/>
        <v>BANCOS CONTA MOVIMENTO</v>
      </c>
      <c r="K40" s="2" t="s">
        <v>52</v>
      </c>
      <c r="L40" s="6" t="s">
        <v>1503</v>
      </c>
      <c r="S40" s="6" t="b">
        <f>C40='Plano de Contas sem ponto'!C40</f>
        <v>1</v>
      </c>
    </row>
    <row r="41" spans="1:19" x14ac:dyDescent="0.2">
      <c r="A41" s="2" t="s">
        <v>122</v>
      </c>
      <c r="B41" s="2" t="s">
        <v>54</v>
      </c>
      <c r="C41" s="2" t="s">
        <v>123</v>
      </c>
      <c r="D41" s="2" t="s">
        <v>42</v>
      </c>
      <c r="E41" s="2" t="str">
        <f t="shared" si="4"/>
        <v>1</v>
      </c>
      <c r="F41" s="2" t="s">
        <v>43</v>
      </c>
      <c r="G41" s="2" t="s">
        <v>1490</v>
      </c>
      <c r="H41" s="2">
        <f t="shared" si="5"/>
        <v>16</v>
      </c>
      <c r="I41" s="3" t="str">
        <f t="shared" si="6"/>
        <v>-</v>
      </c>
      <c r="J41" s="2" t="str">
        <f t="shared" si="7"/>
        <v>BANCOS CONTA MOVIMENTO</v>
      </c>
      <c r="K41" s="2" t="s">
        <v>52</v>
      </c>
      <c r="L41" s="6" t="s">
        <v>1503</v>
      </c>
      <c r="S41" s="6" t="b">
        <f>C41='Plano de Contas sem ponto'!C41</f>
        <v>1</v>
      </c>
    </row>
    <row r="42" spans="1:19" x14ac:dyDescent="0.2">
      <c r="A42" s="2" t="s">
        <v>124</v>
      </c>
      <c r="B42" s="2" t="s">
        <v>54</v>
      </c>
      <c r="C42" s="2" t="s">
        <v>125</v>
      </c>
      <c r="D42" s="2" t="s">
        <v>42</v>
      </c>
      <c r="E42" s="2" t="str">
        <f t="shared" si="4"/>
        <v>1</v>
      </c>
      <c r="F42" s="2" t="s">
        <v>43</v>
      </c>
      <c r="G42" s="2" t="s">
        <v>1490</v>
      </c>
      <c r="H42" s="2">
        <f t="shared" si="5"/>
        <v>16</v>
      </c>
      <c r="I42" s="3" t="str">
        <f t="shared" si="6"/>
        <v>-</v>
      </c>
      <c r="J42" s="2" t="str">
        <f t="shared" si="7"/>
        <v>BANCOS CONTA MOVIMENTO</v>
      </c>
      <c r="K42" s="2" t="s">
        <v>52</v>
      </c>
      <c r="L42" s="6" t="s">
        <v>1503</v>
      </c>
      <c r="S42" s="6" t="b">
        <f>C42='Plano de Contas sem ponto'!C42</f>
        <v>1</v>
      </c>
    </row>
    <row r="43" spans="1:19" x14ac:dyDescent="0.2">
      <c r="A43" s="2" t="s">
        <v>126</v>
      </c>
      <c r="B43" s="2" t="s">
        <v>54</v>
      </c>
      <c r="C43" s="2" t="s">
        <v>127</v>
      </c>
      <c r="D43" s="2" t="s">
        <v>42</v>
      </c>
      <c r="E43" s="2" t="str">
        <f t="shared" si="4"/>
        <v>1</v>
      </c>
      <c r="F43" s="2" t="s">
        <v>43</v>
      </c>
      <c r="G43" s="2" t="s">
        <v>1490</v>
      </c>
      <c r="H43" s="2">
        <f t="shared" si="5"/>
        <v>16</v>
      </c>
      <c r="I43" s="3" t="str">
        <f t="shared" si="6"/>
        <v>-</v>
      </c>
      <c r="J43" s="2" t="str">
        <f t="shared" si="7"/>
        <v>BANCOS CONTA MOVIMENTO</v>
      </c>
      <c r="K43" s="2" t="s">
        <v>52</v>
      </c>
      <c r="L43" s="6" t="s">
        <v>1503</v>
      </c>
      <c r="S43" s="6" t="b">
        <f>C43='Plano de Contas sem ponto'!C43</f>
        <v>1</v>
      </c>
    </row>
    <row r="44" spans="1:19" x14ac:dyDescent="0.2">
      <c r="A44" s="2" t="s">
        <v>128</v>
      </c>
      <c r="B44" s="2" t="s">
        <v>54</v>
      </c>
      <c r="C44" s="2" t="s">
        <v>129</v>
      </c>
      <c r="D44" s="2" t="s">
        <v>42</v>
      </c>
      <c r="E44" s="2" t="str">
        <f t="shared" si="4"/>
        <v>1</v>
      </c>
      <c r="F44" s="2" t="s">
        <v>43</v>
      </c>
      <c r="G44" s="2" t="s">
        <v>1490</v>
      </c>
      <c r="H44" s="2">
        <f t="shared" si="5"/>
        <v>16</v>
      </c>
      <c r="I44" s="3" t="str">
        <f t="shared" si="6"/>
        <v>-</v>
      </c>
      <c r="J44" s="2" t="str">
        <f t="shared" si="7"/>
        <v>BANCOS CONTA MOVIMENTO</v>
      </c>
      <c r="K44" s="2" t="s">
        <v>52</v>
      </c>
      <c r="L44" s="6" t="s">
        <v>1503</v>
      </c>
      <c r="S44" s="6" t="b">
        <f>C44='Plano de Contas sem ponto'!C44</f>
        <v>1</v>
      </c>
    </row>
    <row r="45" spans="1:19" x14ac:dyDescent="0.2">
      <c r="A45" s="2" t="s">
        <v>130</v>
      </c>
      <c r="B45" s="2" t="s">
        <v>54</v>
      </c>
      <c r="C45" s="2" t="s">
        <v>131</v>
      </c>
      <c r="D45" s="2" t="s">
        <v>42</v>
      </c>
      <c r="E45" s="2" t="str">
        <f t="shared" si="4"/>
        <v>1</v>
      </c>
      <c r="F45" s="2" t="s">
        <v>43</v>
      </c>
      <c r="G45" s="2" t="s">
        <v>1490</v>
      </c>
      <c r="H45" s="2">
        <f t="shared" si="5"/>
        <v>16</v>
      </c>
      <c r="I45" s="3" t="str">
        <f t="shared" si="6"/>
        <v>-</v>
      </c>
      <c r="J45" s="2" t="str">
        <f t="shared" si="7"/>
        <v>BANCOS CONTA MOVIMENTO</v>
      </c>
      <c r="K45" s="2" t="s">
        <v>52</v>
      </c>
      <c r="L45" s="6" t="s">
        <v>1503</v>
      </c>
      <c r="S45" s="6" t="b">
        <f>C45='Plano de Contas sem ponto'!C45</f>
        <v>1</v>
      </c>
    </row>
    <row r="46" spans="1:19" x14ac:dyDescent="0.2">
      <c r="A46" s="2" t="s">
        <v>132</v>
      </c>
      <c r="B46" s="2" t="s">
        <v>54</v>
      </c>
      <c r="C46" s="2" t="s">
        <v>133</v>
      </c>
      <c r="D46" s="2" t="s">
        <v>42</v>
      </c>
      <c r="E46" s="2" t="str">
        <f t="shared" si="4"/>
        <v>1</v>
      </c>
      <c r="F46" s="2" t="s">
        <v>43</v>
      </c>
      <c r="G46" s="2" t="s">
        <v>1490</v>
      </c>
      <c r="H46" s="2">
        <f t="shared" si="5"/>
        <v>16</v>
      </c>
      <c r="I46" s="3" t="str">
        <f t="shared" si="6"/>
        <v>-</v>
      </c>
      <c r="J46" s="2" t="str">
        <f t="shared" si="7"/>
        <v>BANCOS CONTA MOVIMENTO</v>
      </c>
      <c r="K46" s="2" t="s">
        <v>52</v>
      </c>
      <c r="L46" s="6" t="s">
        <v>1503</v>
      </c>
      <c r="S46" s="6" t="b">
        <f>C46='Plano de Contas sem ponto'!C46</f>
        <v>1</v>
      </c>
    </row>
    <row r="47" spans="1:19" x14ac:dyDescent="0.2">
      <c r="A47" s="2" t="s">
        <v>134</v>
      </c>
      <c r="B47" s="2" t="s">
        <v>54</v>
      </c>
      <c r="C47" s="2" t="s">
        <v>135</v>
      </c>
      <c r="D47" s="2" t="s">
        <v>42</v>
      </c>
      <c r="E47" s="2" t="str">
        <f t="shared" si="4"/>
        <v>1</v>
      </c>
      <c r="F47" s="2" t="s">
        <v>43</v>
      </c>
      <c r="G47" s="2" t="s">
        <v>1490</v>
      </c>
      <c r="H47" s="2">
        <f t="shared" si="5"/>
        <v>16</v>
      </c>
      <c r="I47" s="3" t="str">
        <f t="shared" si="6"/>
        <v>-</v>
      </c>
      <c r="J47" s="2" t="str">
        <f t="shared" si="7"/>
        <v>BANCOS CONTA MOVIMENTO</v>
      </c>
      <c r="K47" s="2" t="s">
        <v>52</v>
      </c>
      <c r="L47" s="6" t="s">
        <v>1503</v>
      </c>
      <c r="S47" s="6" t="b">
        <f>C47='Plano de Contas sem ponto'!C47</f>
        <v>1</v>
      </c>
    </row>
    <row r="48" spans="1:19" x14ac:dyDescent="0.2">
      <c r="A48" s="2" t="s">
        <v>136</v>
      </c>
      <c r="B48" s="2" t="s">
        <v>54</v>
      </c>
      <c r="C48" s="2" t="s">
        <v>137</v>
      </c>
      <c r="D48" s="2" t="s">
        <v>42</v>
      </c>
      <c r="E48" s="2" t="str">
        <f t="shared" si="4"/>
        <v>1</v>
      </c>
      <c r="F48" s="2" t="s">
        <v>43</v>
      </c>
      <c r="G48" s="2" t="s">
        <v>1490</v>
      </c>
      <c r="H48" s="2">
        <f t="shared" si="5"/>
        <v>16</v>
      </c>
      <c r="I48" s="3" t="str">
        <f t="shared" si="6"/>
        <v>-</v>
      </c>
      <c r="J48" s="2" t="str">
        <f t="shared" si="7"/>
        <v>BANCOS CONTA MOVIMENTO</v>
      </c>
      <c r="K48" s="2" t="s">
        <v>52</v>
      </c>
      <c r="L48" s="6" t="s">
        <v>1503</v>
      </c>
      <c r="S48" s="6" t="b">
        <f>C48='Plano de Contas sem ponto'!C48</f>
        <v>1</v>
      </c>
    </row>
    <row r="49" spans="1:19" x14ac:dyDescent="0.2">
      <c r="A49" s="2" t="s">
        <v>138</v>
      </c>
      <c r="B49" s="2" t="s">
        <v>54</v>
      </c>
      <c r="C49" s="2" t="s">
        <v>139</v>
      </c>
      <c r="D49" s="2" t="s">
        <v>42</v>
      </c>
      <c r="E49" s="2" t="str">
        <f t="shared" si="4"/>
        <v>1</v>
      </c>
      <c r="F49" s="2" t="s">
        <v>43</v>
      </c>
      <c r="G49" s="2" t="s">
        <v>1490</v>
      </c>
      <c r="H49" s="2">
        <f t="shared" si="5"/>
        <v>16</v>
      </c>
      <c r="I49" s="3" t="str">
        <f t="shared" si="6"/>
        <v>-</v>
      </c>
      <c r="J49" s="2" t="str">
        <f t="shared" si="7"/>
        <v>BANCOS CONTA MOVIMENTO</v>
      </c>
      <c r="K49" s="2" t="s">
        <v>52</v>
      </c>
      <c r="L49" s="6" t="s">
        <v>1503</v>
      </c>
      <c r="S49" s="6" t="b">
        <f>C49='Plano de Contas sem ponto'!C49</f>
        <v>1</v>
      </c>
    </row>
    <row r="50" spans="1:19" x14ac:dyDescent="0.2">
      <c r="A50" s="2" t="s">
        <v>140</v>
      </c>
      <c r="B50" s="2" t="s">
        <v>54</v>
      </c>
      <c r="C50" s="2" t="s">
        <v>141</v>
      </c>
      <c r="D50" s="2" t="s">
        <v>42</v>
      </c>
      <c r="E50" s="2" t="str">
        <f t="shared" si="4"/>
        <v>1</v>
      </c>
      <c r="F50" s="2" t="s">
        <v>43</v>
      </c>
      <c r="G50" s="2" t="s">
        <v>1490</v>
      </c>
      <c r="H50" s="2">
        <f t="shared" si="5"/>
        <v>16</v>
      </c>
      <c r="I50" s="3" t="str">
        <f t="shared" si="6"/>
        <v>-</v>
      </c>
      <c r="J50" s="2" t="str">
        <f t="shared" si="7"/>
        <v>BANCOS CONTA MOVIMENTO</v>
      </c>
      <c r="K50" s="2" t="s">
        <v>52</v>
      </c>
      <c r="L50" s="6" t="s">
        <v>1503</v>
      </c>
      <c r="S50" s="6" t="b">
        <f>C50='Plano de Contas sem ponto'!C50</f>
        <v>1</v>
      </c>
    </row>
    <row r="51" spans="1:19" x14ac:dyDescent="0.2">
      <c r="A51" s="2" t="s">
        <v>142</v>
      </c>
      <c r="B51" s="2" t="s">
        <v>54</v>
      </c>
      <c r="C51" s="2" t="s">
        <v>143</v>
      </c>
      <c r="D51" s="2" t="s">
        <v>42</v>
      </c>
      <c r="E51" s="2" t="str">
        <f t="shared" si="4"/>
        <v>1</v>
      </c>
      <c r="F51" s="2" t="s">
        <v>43</v>
      </c>
      <c r="G51" s="2" t="s">
        <v>1490</v>
      </c>
      <c r="H51" s="2">
        <f t="shared" si="5"/>
        <v>16</v>
      </c>
      <c r="I51" s="3" t="str">
        <f t="shared" si="6"/>
        <v>-</v>
      </c>
      <c r="J51" s="2" t="str">
        <f t="shared" si="7"/>
        <v>BANCOS CONTA MOVIMENTO</v>
      </c>
      <c r="K51" s="2" t="s">
        <v>52</v>
      </c>
      <c r="L51" s="6" t="s">
        <v>1503</v>
      </c>
      <c r="S51" s="6" t="b">
        <f>C51='Plano de Contas sem ponto'!C51</f>
        <v>1</v>
      </c>
    </row>
    <row r="52" spans="1:19" x14ac:dyDescent="0.2">
      <c r="A52" s="2" t="s">
        <v>144</v>
      </c>
      <c r="B52" s="2" t="s">
        <v>54</v>
      </c>
      <c r="C52" s="2" t="s">
        <v>145</v>
      </c>
      <c r="D52" s="2" t="s">
        <v>42</v>
      </c>
      <c r="E52" s="2" t="str">
        <f t="shared" si="4"/>
        <v>1</v>
      </c>
      <c r="F52" s="2" t="s">
        <v>43</v>
      </c>
      <c r="G52" s="2" t="s">
        <v>1490</v>
      </c>
      <c r="H52" s="2">
        <f t="shared" si="5"/>
        <v>16</v>
      </c>
      <c r="I52" s="3" t="str">
        <f t="shared" si="6"/>
        <v>-</v>
      </c>
      <c r="J52" s="2" t="str">
        <f t="shared" si="7"/>
        <v>BANCOS CONTA MOVIMENTO</v>
      </c>
      <c r="K52" s="2" t="s">
        <v>52</v>
      </c>
      <c r="L52" s="6" t="s">
        <v>1503</v>
      </c>
      <c r="S52" s="6" t="b">
        <f>C52='Plano de Contas sem ponto'!C52</f>
        <v>1</v>
      </c>
    </row>
    <row r="53" spans="1:19" x14ac:dyDescent="0.2">
      <c r="A53" s="2" t="s">
        <v>146</v>
      </c>
      <c r="B53" s="2" t="s">
        <v>54</v>
      </c>
      <c r="C53" s="2" t="s">
        <v>147</v>
      </c>
      <c r="D53" s="2" t="s">
        <v>42</v>
      </c>
      <c r="E53" s="2" t="str">
        <f t="shared" si="4"/>
        <v>1</v>
      </c>
      <c r="F53" s="2" t="s">
        <v>43</v>
      </c>
      <c r="G53" s="2" t="s">
        <v>1490</v>
      </c>
      <c r="H53" s="2">
        <f t="shared" si="5"/>
        <v>16</v>
      </c>
      <c r="I53" s="3" t="str">
        <f t="shared" si="6"/>
        <v>-</v>
      </c>
      <c r="J53" s="2" t="str">
        <f t="shared" si="7"/>
        <v>BANCOS CONTA MOVIMENTO</v>
      </c>
      <c r="K53" s="2" t="s">
        <v>52</v>
      </c>
      <c r="L53" s="6" t="s">
        <v>1503</v>
      </c>
      <c r="S53" s="6" t="b">
        <f>C53='Plano de Contas sem ponto'!C53</f>
        <v>1</v>
      </c>
    </row>
    <row r="54" spans="1:19" x14ac:dyDescent="0.2">
      <c r="A54" s="2" t="s">
        <v>148</v>
      </c>
      <c r="B54" s="2" t="s">
        <v>54</v>
      </c>
      <c r="C54" s="2" t="s">
        <v>149</v>
      </c>
      <c r="D54" s="2" t="s">
        <v>42</v>
      </c>
      <c r="E54" s="2" t="str">
        <f t="shared" si="4"/>
        <v>1</v>
      </c>
      <c r="F54" s="2" t="s">
        <v>43</v>
      </c>
      <c r="G54" s="2" t="s">
        <v>1490</v>
      </c>
      <c r="H54" s="2">
        <f t="shared" si="5"/>
        <v>16</v>
      </c>
      <c r="I54" s="3" t="str">
        <f t="shared" si="6"/>
        <v>-</v>
      </c>
      <c r="J54" s="2" t="str">
        <f t="shared" si="7"/>
        <v>BANCOS CONTA MOVIMENTO</v>
      </c>
      <c r="K54" s="2" t="s">
        <v>52</v>
      </c>
      <c r="L54" s="6" t="s">
        <v>1503</v>
      </c>
      <c r="S54" s="6" t="b">
        <f>C54='Plano de Contas sem ponto'!C54</f>
        <v>1</v>
      </c>
    </row>
    <row r="55" spans="1:19" x14ac:dyDescent="0.2">
      <c r="A55" s="2" t="s">
        <v>150</v>
      </c>
      <c r="B55" s="2" t="s">
        <v>54</v>
      </c>
      <c r="C55" s="2" t="s">
        <v>151</v>
      </c>
      <c r="D55" s="2" t="s">
        <v>42</v>
      </c>
      <c r="E55" s="2" t="str">
        <f t="shared" si="4"/>
        <v>1</v>
      </c>
      <c r="F55" s="2" t="s">
        <v>43</v>
      </c>
      <c r="G55" s="2" t="s">
        <v>1490</v>
      </c>
      <c r="H55" s="2">
        <f t="shared" si="5"/>
        <v>16</v>
      </c>
      <c r="I55" s="3" t="str">
        <f t="shared" si="6"/>
        <v>-</v>
      </c>
      <c r="J55" s="2" t="str">
        <f t="shared" si="7"/>
        <v>BANCOS CONTA MOVIMENTO</v>
      </c>
      <c r="K55" s="2" t="s">
        <v>52</v>
      </c>
      <c r="L55" s="6" t="s">
        <v>1503</v>
      </c>
      <c r="S55" s="6" t="b">
        <f>C55='Plano de Contas sem ponto'!C55</f>
        <v>1</v>
      </c>
    </row>
    <row r="56" spans="1:19" x14ac:dyDescent="0.2">
      <c r="A56" s="2" t="s">
        <v>152</v>
      </c>
      <c r="B56" s="2" t="s">
        <v>54</v>
      </c>
      <c r="C56" s="2" t="s">
        <v>153</v>
      </c>
      <c r="D56" s="2" t="s">
        <v>42</v>
      </c>
      <c r="E56" s="2" t="str">
        <f t="shared" si="4"/>
        <v>1</v>
      </c>
      <c r="F56" s="2" t="s">
        <v>43</v>
      </c>
      <c r="G56" s="2" t="s">
        <v>1490</v>
      </c>
      <c r="H56" s="2">
        <f t="shared" si="5"/>
        <v>16</v>
      </c>
      <c r="I56" s="3" t="str">
        <f t="shared" si="6"/>
        <v>-</v>
      </c>
      <c r="J56" s="2" t="str">
        <f t="shared" si="7"/>
        <v>BANCOS CONTA MOVIMENTO</v>
      </c>
      <c r="K56" s="2" t="s">
        <v>52</v>
      </c>
      <c r="L56" s="6" t="s">
        <v>1503</v>
      </c>
      <c r="S56" s="6" t="b">
        <f>C56='Plano de Contas sem ponto'!C56</f>
        <v>1</v>
      </c>
    </row>
    <row r="57" spans="1:19" x14ac:dyDescent="0.2">
      <c r="A57" s="2" t="s">
        <v>154</v>
      </c>
      <c r="B57" s="2" t="s">
        <v>54</v>
      </c>
      <c r="C57" s="2" t="s">
        <v>155</v>
      </c>
      <c r="D57" s="2" t="s">
        <v>42</v>
      </c>
      <c r="E57" s="2" t="str">
        <f t="shared" si="4"/>
        <v>1</v>
      </c>
      <c r="F57" s="2" t="s">
        <v>43</v>
      </c>
      <c r="G57" s="2" t="s">
        <v>1490</v>
      </c>
      <c r="H57" s="2">
        <f t="shared" si="5"/>
        <v>16</v>
      </c>
      <c r="I57" s="3" t="str">
        <f t="shared" si="6"/>
        <v>-</v>
      </c>
      <c r="J57" s="2" t="str">
        <f t="shared" si="7"/>
        <v>BANCOS CONTA MOVIMENTO</v>
      </c>
      <c r="K57" s="2" t="s">
        <v>52</v>
      </c>
      <c r="L57" s="6" t="s">
        <v>1503</v>
      </c>
      <c r="S57" s="6" t="b">
        <f>C57='Plano de Contas sem ponto'!C57</f>
        <v>1</v>
      </c>
    </row>
    <row r="58" spans="1:19" x14ac:dyDescent="0.2">
      <c r="A58" s="2" t="s">
        <v>156</v>
      </c>
      <c r="B58" s="2" t="s">
        <v>54</v>
      </c>
      <c r="C58" s="2" t="s">
        <v>157</v>
      </c>
      <c r="D58" s="2" t="s">
        <v>42</v>
      </c>
      <c r="E58" s="2" t="str">
        <f t="shared" si="4"/>
        <v>1</v>
      </c>
      <c r="F58" s="2" t="s">
        <v>43</v>
      </c>
      <c r="G58" s="2" t="s">
        <v>1490</v>
      </c>
      <c r="H58" s="2">
        <f t="shared" si="5"/>
        <v>16</v>
      </c>
      <c r="I58" s="3" t="str">
        <f t="shared" si="6"/>
        <v>-</v>
      </c>
      <c r="J58" s="2" t="str">
        <f t="shared" si="7"/>
        <v>BANCOS CONTA MOVIMENTO</v>
      </c>
      <c r="K58" s="2" t="s">
        <v>52</v>
      </c>
      <c r="L58" s="6" t="s">
        <v>1503</v>
      </c>
      <c r="S58" s="6" t="b">
        <f>C58='Plano de Contas sem ponto'!C58</f>
        <v>1</v>
      </c>
    </row>
    <row r="59" spans="1:19" x14ac:dyDescent="0.2">
      <c r="A59" s="2" t="s">
        <v>158</v>
      </c>
      <c r="B59" s="2" t="s">
        <v>54</v>
      </c>
      <c r="C59" s="2" t="s">
        <v>159</v>
      </c>
      <c r="D59" s="2" t="s">
        <v>42</v>
      </c>
      <c r="E59" s="2" t="str">
        <f t="shared" si="4"/>
        <v>1</v>
      </c>
      <c r="F59" s="2" t="s">
        <v>43</v>
      </c>
      <c r="G59" s="2" t="s">
        <v>1490</v>
      </c>
      <c r="H59" s="2">
        <f t="shared" si="5"/>
        <v>16</v>
      </c>
      <c r="I59" s="3" t="str">
        <f t="shared" si="6"/>
        <v>-</v>
      </c>
      <c r="J59" s="2" t="str">
        <f t="shared" si="7"/>
        <v>BANCOS CONTA MOVIMENTO</v>
      </c>
      <c r="K59" s="2" t="s">
        <v>52</v>
      </c>
      <c r="L59" s="6" t="s">
        <v>1503</v>
      </c>
      <c r="S59" s="6" t="b">
        <f>C59='Plano de Contas sem ponto'!C59</f>
        <v>1</v>
      </c>
    </row>
    <row r="60" spans="1:19" x14ac:dyDescent="0.2">
      <c r="A60" s="2" t="s">
        <v>160</v>
      </c>
      <c r="B60" s="2" t="s">
        <v>54</v>
      </c>
      <c r="C60" s="2" t="s">
        <v>161</v>
      </c>
      <c r="D60" s="2" t="s">
        <v>42</v>
      </c>
      <c r="E60" s="2" t="str">
        <f t="shared" si="4"/>
        <v>1</v>
      </c>
      <c r="F60" s="2" t="s">
        <v>43</v>
      </c>
      <c r="G60" s="2" t="s">
        <v>1490</v>
      </c>
      <c r="H60" s="2">
        <f t="shared" si="5"/>
        <v>16</v>
      </c>
      <c r="I60" s="3" t="str">
        <f t="shared" si="6"/>
        <v>-</v>
      </c>
      <c r="J60" s="2" t="str">
        <f t="shared" si="7"/>
        <v>BANCOS CONTA MOVIMENTO</v>
      </c>
      <c r="K60" s="2" t="s">
        <v>52</v>
      </c>
      <c r="L60" s="6" t="s">
        <v>1503</v>
      </c>
      <c r="S60" s="6" t="b">
        <f>C60='Plano de Contas sem ponto'!C60</f>
        <v>1</v>
      </c>
    </row>
    <row r="61" spans="1:19" x14ac:dyDescent="0.2">
      <c r="A61" s="2" t="s">
        <v>162</v>
      </c>
      <c r="B61" s="2" t="s">
        <v>54</v>
      </c>
      <c r="C61" s="2" t="s">
        <v>163</v>
      </c>
      <c r="D61" s="2" t="s">
        <v>42</v>
      </c>
      <c r="E61" s="2" t="str">
        <f t="shared" si="4"/>
        <v>1</v>
      </c>
      <c r="F61" s="2" t="s">
        <v>43</v>
      </c>
      <c r="G61" s="2" t="s">
        <v>1490</v>
      </c>
      <c r="H61" s="2">
        <f t="shared" si="5"/>
        <v>16</v>
      </c>
      <c r="I61" s="3" t="str">
        <f t="shared" si="6"/>
        <v>-</v>
      </c>
      <c r="J61" s="2" t="str">
        <f t="shared" si="7"/>
        <v>BANCOS CONTA MOVIMENTO</v>
      </c>
      <c r="K61" s="2" t="s">
        <v>52</v>
      </c>
      <c r="L61" s="6" t="s">
        <v>1503</v>
      </c>
      <c r="S61" s="6" t="b">
        <f>C61='Plano de Contas sem ponto'!C61</f>
        <v>1</v>
      </c>
    </row>
    <row r="62" spans="1:19" x14ac:dyDescent="0.2">
      <c r="A62" s="12" t="s">
        <v>2836</v>
      </c>
      <c r="B62" s="12" t="s">
        <v>54</v>
      </c>
      <c r="C62" s="12" t="s">
        <v>2837</v>
      </c>
      <c r="D62" s="2" t="s">
        <v>42</v>
      </c>
      <c r="E62" s="2" t="str">
        <f t="shared" si="4"/>
        <v>1</v>
      </c>
      <c r="F62" s="2" t="s">
        <v>43</v>
      </c>
      <c r="G62" s="2" t="s">
        <v>1490</v>
      </c>
      <c r="H62" s="2">
        <f t="shared" si="5"/>
        <v>16</v>
      </c>
      <c r="I62" s="3" t="str">
        <f t="shared" si="6"/>
        <v>-</v>
      </c>
      <c r="J62" s="2" t="str">
        <f>IF(H62&lt;11,C62,IF(I62&lt;&gt;"-",C62,J59))</f>
        <v>BANCOS CONTA MOVIMENTO</v>
      </c>
      <c r="K62" s="2" t="s">
        <v>52</v>
      </c>
      <c r="L62" s="6" t="s">
        <v>1503</v>
      </c>
      <c r="S62" s="6" t="b">
        <f>C62='Plano de Contas sem ponto'!C62</f>
        <v>1</v>
      </c>
    </row>
    <row r="63" spans="1:19" x14ac:dyDescent="0.2">
      <c r="A63" s="12" t="s">
        <v>2838</v>
      </c>
      <c r="B63" s="12" t="s">
        <v>54</v>
      </c>
      <c r="C63" s="12" t="s">
        <v>2839</v>
      </c>
      <c r="D63" s="2" t="s">
        <v>42</v>
      </c>
      <c r="E63" s="2" t="str">
        <f t="shared" si="4"/>
        <v>1</v>
      </c>
      <c r="F63" s="2" t="s">
        <v>43</v>
      </c>
      <c r="G63" s="2" t="s">
        <v>1490</v>
      </c>
      <c r="H63" s="2">
        <f t="shared" si="5"/>
        <v>16</v>
      </c>
      <c r="I63" s="3" t="str">
        <f t="shared" si="6"/>
        <v>-</v>
      </c>
      <c r="J63" s="2" t="str">
        <f>IF(H63&lt;11,C63,IF(I63&lt;&gt;"-",C63,J60))</f>
        <v>BANCOS CONTA MOVIMENTO</v>
      </c>
      <c r="K63" s="2" t="s">
        <v>52</v>
      </c>
      <c r="L63" s="6" t="s">
        <v>1503</v>
      </c>
      <c r="S63" s="6" t="b">
        <f>C63='Plano de Contas sem ponto'!C63</f>
        <v>1</v>
      </c>
    </row>
    <row r="64" spans="1:19" x14ac:dyDescent="0.2">
      <c r="A64" s="1" t="s">
        <v>164</v>
      </c>
      <c r="B64" s="1" t="s">
        <v>40</v>
      </c>
      <c r="C64" s="1" t="s">
        <v>165</v>
      </c>
      <c r="D64" s="2" t="s">
        <v>42</v>
      </c>
      <c r="E64" s="2" t="str">
        <f t="shared" si="4"/>
        <v>1</v>
      </c>
      <c r="F64" s="2" t="s">
        <v>43</v>
      </c>
      <c r="G64" s="2" t="s">
        <v>1490</v>
      </c>
      <c r="H64" s="2">
        <f t="shared" si="5"/>
        <v>11</v>
      </c>
      <c r="I64" s="3" t="str">
        <f t="shared" si="6"/>
        <v>1.1.1.02.02</v>
      </c>
      <c r="J64" s="2" t="str">
        <f>IF(H64&lt;11,C64,IF(I64&lt;&gt;"-",C64,J61))</f>
        <v>INVESTIMENTOS</v>
      </c>
      <c r="K64" s="2" t="s">
        <v>52</v>
      </c>
      <c r="S64" s="6" t="b">
        <f>C64='Plano de Contas sem ponto'!C64</f>
        <v>1</v>
      </c>
    </row>
    <row r="65" spans="1:19" x14ac:dyDescent="0.2">
      <c r="A65" s="2" t="s">
        <v>166</v>
      </c>
      <c r="B65" s="2" t="s">
        <v>54</v>
      </c>
      <c r="C65" s="2" t="s">
        <v>167</v>
      </c>
      <c r="D65" s="2" t="s">
        <v>42</v>
      </c>
      <c r="E65" s="2" t="str">
        <f t="shared" si="4"/>
        <v>1</v>
      </c>
      <c r="F65" s="2" t="s">
        <v>43</v>
      </c>
      <c r="G65" s="2" t="s">
        <v>1490</v>
      </c>
      <c r="H65" s="2">
        <f t="shared" si="5"/>
        <v>16</v>
      </c>
      <c r="I65" s="3" t="str">
        <f t="shared" si="6"/>
        <v>-</v>
      </c>
      <c r="J65" s="2" t="str">
        <f t="shared" ref="J65:J101" si="8">IF(H65&lt;11,C65,IF(I65&lt;&gt;"-",C65,J64))</f>
        <v>INVESTIMENTOS</v>
      </c>
      <c r="K65" s="2" t="s">
        <v>52</v>
      </c>
      <c r="L65" s="6" t="s">
        <v>1503</v>
      </c>
      <c r="S65" s="6" t="b">
        <f>C65='Plano de Contas sem ponto'!C65</f>
        <v>1</v>
      </c>
    </row>
    <row r="66" spans="1:19" x14ac:dyDescent="0.2">
      <c r="A66" s="1" t="s">
        <v>168</v>
      </c>
      <c r="B66" s="1" t="s">
        <v>40</v>
      </c>
      <c r="C66" s="1" t="s">
        <v>169</v>
      </c>
      <c r="D66" s="2" t="s">
        <v>42</v>
      </c>
      <c r="E66" s="2" t="str">
        <f t="shared" ref="E66:E97" si="9">LEFT(A66,1)</f>
        <v>1</v>
      </c>
      <c r="F66" s="2" t="s">
        <v>43</v>
      </c>
      <c r="G66" s="2" t="s">
        <v>1490</v>
      </c>
      <c r="H66" s="2">
        <f t="shared" ref="H66:H97" si="10">LEN(A66)</f>
        <v>8</v>
      </c>
      <c r="I66" s="3" t="str">
        <f t="shared" ref="I66:I97" si="11">IF(H66=11,A66,"-")</f>
        <v>-</v>
      </c>
      <c r="J66" s="2" t="str">
        <f t="shared" si="8"/>
        <v>APLICACOES FINANCEIRAS</v>
      </c>
      <c r="K66" s="2" t="s">
        <v>52</v>
      </c>
      <c r="S66" s="6" t="b">
        <f>C66='Plano de Contas sem ponto'!C66</f>
        <v>1</v>
      </c>
    </row>
    <row r="67" spans="1:19" x14ac:dyDescent="0.2">
      <c r="A67" s="1" t="s">
        <v>170</v>
      </c>
      <c r="B67" s="1" t="s">
        <v>40</v>
      </c>
      <c r="C67" s="1" t="s">
        <v>171</v>
      </c>
      <c r="D67" s="2" t="s">
        <v>42</v>
      </c>
      <c r="E67" s="2" t="str">
        <f t="shared" si="9"/>
        <v>1</v>
      </c>
      <c r="F67" s="2" t="s">
        <v>43</v>
      </c>
      <c r="G67" s="2" t="s">
        <v>1490</v>
      </c>
      <c r="H67" s="2">
        <f t="shared" si="10"/>
        <v>11</v>
      </c>
      <c r="I67" s="3" t="str">
        <f t="shared" si="11"/>
        <v>1.1.1.03.01</v>
      </c>
      <c r="J67" s="2" t="str">
        <f t="shared" si="8"/>
        <v xml:space="preserve">TITULOS DE RENDA FIXA </v>
      </c>
      <c r="K67" s="2" t="s">
        <v>52</v>
      </c>
      <c r="L67" s="6" t="s">
        <v>1499</v>
      </c>
      <c r="S67" s="6" t="b">
        <f>C67='Plano de Contas sem ponto'!C67</f>
        <v>1</v>
      </c>
    </row>
    <row r="68" spans="1:19" x14ac:dyDescent="0.2">
      <c r="A68" s="2" t="s">
        <v>172</v>
      </c>
      <c r="B68" s="2" t="s">
        <v>54</v>
      </c>
      <c r="C68" s="2" t="s">
        <v>173</v>
      </c>
      <c r="D68" s="2" t="s">
        <v>42</v>
      </c>
      <c r="E68" s="2" t="str">
        <f t="shared" si="9"/>
        <v>1</v>
      </c>
      <c r="F68" s="2" t="s">
        <v>43</v>
      </c>
      <c r="G68" s="2" t="s">
        <v>1490</v>
      </c>
      <c r="H68" s="2">
        <f t="shared" si="10"/>
        <v>16</v>
      </c>
      <c r="I68" s="3" t="str">
        <f t="shared" si="11"/>
        <v>-</v>
      </c>
      <c r="J68" s="2" t="str">
        <f t="shared" si="8"/>
        <v xml:space="preserve">TITULOS DE RENDA FIXA </v>
      </c>
      <c r="K68" s="2" t="s">
        <v>52</v>
      </c>
      <c r="L68" s="6" t="s">
        <v>1499</v>
      </c>
      <c r="S68" s="6" t="b">
        <f>C68='Plano de Contas sem ponto'!C68</f>
        <v>1</v>
      </c>
    </row>
    <row r="69" spans="1:19" x14ac:dyDescent="0.2">
      <c r="A69" s="1" t="s">
        <v>174</v>
      </c>
      <c r="B69" s="1" t="s">
        <v>40</v>
      </c>
      <c r="C69" s="1" t="s">
        <v>175</v>
      </c>
      <c r="D69" s="2" t="s">
        <v>42</v>
      </c>
      <c r="E69" s="2" t="str">
        <f t="shared" si="9"/>
        <v>1</v>
      </c>
      <c r="F69" s="2" t="s">
        <v>43</v>
      </c>
      <c r="G69" s="2" t="s">
        <v>1490</v>
      </c>
      <c r="H69" s="2">
        <f t="shared" si="10"/>
        <v>11</v>
      </c>
      <c r="I69" s="3" t="str">
        <f t="shared" si="11"/>
        <v>1.1.1.03.02</v>
      </c>
      <c r="J69" s="2" t="str">
        <f t="shared" si="8"/>
        <v>TITULOS RENDA VARIÁVEL</v>
      </c>
      <c r="K69" s="2" t="s">
        <v>52</v>
      </c>
      <c r="L69" s="6" t="s">
        <v>1500</v>
      </c>
      <c r="S69" s="6" t="b">
        <f>C69='Plano de Contas sem ponto'!C69</f>
        <v>1</v>
      </c>
    </row>
    <row r="70" spans="1:19" x14ac:dyDescent="0.2">
      <c r="A70" s="2" t="s">
        <v>176</v>
      </c>
      <c r="B70" s="2" t="s">
        <v>54</v>
      </c>
      <c r="C70" s="2" t="s">
        <v>177</v>
      </c>
      <c r="D70" s="2" t="s">
        <v>42</v>
      </c>
      <c r="E70" s="2" t="str">
        <f t="shared" si="9"/>
        <v>1</v>
      </c>
      <c r="F70" s="2" t="s">
        <v>43</v>
      </c>
      <c r="G70" s="2" t="s">
        <v>1490</v>
      </c>
      <c r="H70" s="2">
        <f t="shared" si="10"/>
        <v>16</v>
      </c>
      <c r="I70" s="3" t="str">
        <f t="shared" si="11"/>
        <v>-</v>
      </c>
      <c r="J70" s="2" t="str">
        <f t="shared" si="8"/>
        <v>TITULOS RENDA VARIÁVEL</v>
      </c>
      <c r="K70" s="2" t="s">
        <v>52</v>
      </c>
      <c r="L70" s="6" t="s">
        <v>1500</v>
      </c>
      <c r="S70" s="6" t="b">
        <f>C70='Plano de Contas sem ponto'!C70</f>
        <v>1</v>
      </c>
    </row>
    <row r="71" spans="1:19" x14ac:dyDescent="0.2">
      <c r="A71" s="1" t="s">
        <v>178</v>
      </c>
      <c r="B71" s="1" t="s">
        <v>40</v>
      </c>
      <c r="C71" s="1" t="s">
        <v>179</v>
      </c>
      <c r="D71" s="2" t="s">
        <v>42</v>
      </c>
      <c r="E71" s="2" t="str">
        <f t="shared" si="9"/>
        <v>1</v>
      </c>
      <c r="F71" s="2" t="s">
        <v>43</v>
      </c>
      <c r="G71" s="2" t="s">
        <v>1490</v>
      </c>
      <c r="H71" s="2">
        <f t="shared" si="10"/>
        <v>11</v>
      </c>
      <c r="I71" s="3" t="str">
        <f t="shared" si="11"/>
        <v>1.1.1.03.03</v>
      </c>
      <c r="J71" s="2" t="str">
        <f t="shared" si="8"/>
        <v>QUOTAS E FUNDOS DE INVESTIMENTOS</v>
      </c>
      <c r="K71" s="2" t="s">
        <v>52</v>
      </c>
      <c r="L71" s="6" t="s">
        <v>1501</v>
      </c>
      <c r="S71" s="6" t="b">
        <f>C71='Plano de Contas sem ponto'!C71</f>
        <v>1</v>
      </c>
    </row>
    <row r="72" spans="1:19" x14ac:dyDescent="0.2">
      <c r="A72" s="2" t="s">
        <v>180</v>
      </c>
      <c r="B72" s="2" t="s">
        <v>54</v>
      </c>
      <c r="C72" s="2" t="s">
        <v>179</v>
      </c>
      <c r="D72" s="2" t="s">
        <v>42</v>
      </c>
      <c r="E72" s="2" t="str">
        <f t="shared" si="9"/>
        <v>1</v>
      </c>
      <c r="F72" s="2" t="s">
        <v>43</v>
      </c>
      <c r="G72" s="2" t="s">
        <v>1490</v>
      </c>
      <c r="H72" s="2">
        <f t="shared" si="10"/>
        <v>16</v>
      </c>
      <c r="I72" s="3" t="str">
        <f t="shared" si="11"/>
        <v>-</v>
      </c>
      <c r="J72" s="2" t="str">
        <f t="shared" si="8"/>
        <v>QUOTAS E FUNDOS DE INVESTIMENTOS</v>
      </c>
      <c r="K72" s="2" t="s">
        <v>52</v>
      </c>
      <c r="L72" s="6" t="s">
        <v>1501</v>
      </c>
      <c r="S72" s="6" t="b">
        <f>C72='Plano de Contas sem ponto'!C72</f>
        <v>1</v>
      </c>
    </row>
    <row r="73" spans="1:19" x14ac:dyDescent="0.2">
      <c r="A73" s="1" t="s">
        <v>181</v>
      </c>
      <c r="B73" s="1" t="s">
        <v>40</v>
      </c>
      <c r="C73" s="1" t="s">
        <v>182</v>
      </c>
      <c r="D73" s="2" t="s">
        <v>42</v>
      </c>
      <c r="E73" s="2" t="str">
        <f t="shared" si="9"/>
        <v>1</v>
      </c>
      <c r="F73" s="2" t="s">
        <v>43</v>
      </c>
      <c r="G73" s="2" t="s">
        <v>1490</v>
      </c>
      <c r="H73" s="2">
        <f t="shared" si="10"/>
        <v>11</v>
      </c>
      <c r="I73" s="3" t="str">
        <f t="shared" si="11"/>
        <v>1.1.1.03.04</v>
      </c>
      <c r="J73" s="2" t="str">
        <f t="shared" si="8"/>
        <v>OUTRAS APLICACOES</v>
      </c>
      <c r="K73" s="2" t="s">
        <v>52</v>
      </c>
      <c r="L73" s="6" t="s">
        <v>1502</v>
      </c>
      <c r="S73" s="6" t="b">
        <f>C73='Plano de Contas sem ponto'!C73</f>
        <v>1</v>
      </c>
    </row>
    <row r="74" spans="1:19" x14ac:dyDescent="0.2">
      <c r="A74" s="2" t="s">
        <v>183</v>
      </c>
      <c r="B74" s="2" t="s">
        <v>54</v>
      </c>
      <c r="C74" s="2" t="s">
        <v>182</v>
      </c>
      <c r="D74" s="2" t="s">
        <v>42</v>
      </c>
      <c r="E74" s="2" t="str">
        <f t="shared" si="9"/>
        <v>1</v>
      </c>
      <c r="F74" s="2" t="s">
        <v>43</v>
      </c>
      <c r="G74" s="2" t="s">
        <v>1490</v>
      </c>
      <c r="H74" s="2">
        <f t="shared" si="10"/>
        <v>16</v>
      </c>
      <c r="I74" s="3" t="str">
        <f t="shared" si="11"/>
        <v>-</v>
      </c>
      <c r="J74" s="2" t="str">
        <f t="shared" si="8"/>
        <v>OUTRAS APLICACOES</v>
      </c>
      <c r="K74" s="2" t="s">
        <v>52</v>
      </c>
      <c r="L74" s="6" t="s">
        <v>1502</v>
      </c>
      <c r="S74" s="6" t="b">
        <f>C74='Plano de Contas sem ponto'!C74</f>
        <v>1</v>
      </c>
    </row>
    <row r="75" spans="1:19" x14ac:dyDescent="0.2">
      <c r="A75" s="1" t="s">
        <v>184</v>
      </c>
      <c r="B75" s="1" t="s">
        <v>40</v>
      </c>
      <c r="C75" s="1" t="s">
        <v>185</v>
      </c>
      <c r="D75" s="2" t="s">
        <v>42</v>
      </c>
      <c r="E75" s="2" t="str">
        <f t="shared" si="9"/>
        <v>1</v>
      </c>
      <c r="F75" s="2" t="s">
        <v>43</v>
      </c>
      <c r="G75" s="2" t="s">
        <v>1490</v>
      </c>
      <c r="H75" s="2">
        <f t="shared" si="10"/>
        <v>5</v>
      </c>
      <c r="I75" s="3" t="str">
        <f t="shared" si="11"/>
        <v>-</v>
      </c>
      <c r="J75" s="2" t="str">
        <f t="shared" si="8"/>
        <v>CONTAS A RECEBER</v>
      </c>
      <c r="K75" s="2" t="s">
        <v>186</v>
      </c>
      <c r="L75" s="6" t="s">
        <v>1600</v>
      </c>
      <c r="S75" s="6" t="b">
        <f>C75='Plano de Contas sem ponto'!C75</f>
        <v>1</v>
      </c>
    </row>
    <row r="76" spans="1:19" x14ac:dyDescent="0.2">
      <c r="A76" s="1" t="s">
        <v>187</v>
      </c>
      <c r="B76" s="1" t="s">
        <v>40</v>
      </c>
      <c r="C76" s="1" t="s">
        <v>185</v>
      </c>
      <c r="D76" s="2" t="s">
        <v>42</v>
      </c>
      <c r="E76" s="2" t="str">
        <f t="shared" si="9"/>
        <v>1</v>
      </c>
      <c r="F76" s="2" t="s">
        <v>43</v>
      </c>
      <c r="G76" s="2" t="s">
        <v>1490</v>
      </c>
      <c r="H76" s="2">
        <f t="shared" si="10"/>
        <v>8</v>
      </c>
      <c r="I76" s="3" t="str">
        <f t="shared" si="11"/>
        <v>-</v>
      </c>
      <c r="J76" s="2" t="str">
        <f t="shared" si="8"/>
        <v>CONTAS A RECEBER</v>
      </c>
      <c r="K76" s="2" t="s">
        <v>186</v>
      </c>
      <c r="L76" s="6" t="s">
        <v>1600</v>
      </c>
      <c r="S76" s="6" t="b">
        <f>C76='Plano de Contas sem ponto'!C76</f>
        <v>1</v>
      </c>
    </row>
    <row r="77" spans="1:19" x14ac:dyDescent="0.2">
      <c r="A77" s="1" t="s">
        <v>188</v>
      </c>
      <c r="B77" s="1" t="s">
        <v>40</v>
      </c>
      <c r="C77" s="1" t="s">
        <v>189</v>
      </c>
      <c r="D77" s="2" t="s">
        <v>42</v>
      </c>
      <c r="E77" s="2" t="str">
        <f t="shared" si="9"/>
        <v>1</v>
      </c>
      <c r="F77" s="2" t="s">
        <v>43</v>
      </c>
      <c r="G77" s="2" t="s">
        <v>1490</v>
      </c>
      <c r="H77" s="2">
        <f t="shared" si="10"/>
        <v>11</v>
      </c>
      <c r="I77" s="3" t="str">
        <f t="shared" si="11"/>
        <v>1.1.2.01.01</v>
      </c>
      <c r="J77" s="2" t="str">
        <f t="shared" si="8"/>
        <v xml:space="preserve">CONTAS A RECEBER </v>
      </c>
      <c r="K77" s="2" t="s">
        <v>186</v>
      </c>
      <c r="L77" s="6" t="s">
        <v>1600</v>
      </c>
      <c r="S77" s="6" t="b">
        <f>C77='Plano de Contas sem ponto'!C77</f>
        <v>1</v>
      </c>
    </row>
    <row r="78" spans="1:19" x14ac:dyDescent="0.2">
      <c r="A78" s="2" t="s">
        <v>190</v>
      </c>
      <c r="B78" s="2" t="s">
        <v>54</v>
      </c>
      <c r="C78" s="2" t="s">
        <v>185</v>
      </c>
      <c r="D78" s="2" t="s">
        <v>42</v>
      </c>
      <c r="E78" s="2" t="str">
        <f t="shared" si="9"/>
        <v>1</v>
      </c>
      <c r="F78" s="2" t="s">
        <v>43</v>
      </c>
      <c r="G78" s="2" t="s">
        <v>1490</v>
      </c>
      <c r="H78" s="2">
        <f t="shared" si="10"/>
        <v>16</v>
      </c>
      <c r="I78" s="3" t="str">
        <f t="shared" si="11"/>
        <v>-</v>
      </c>
      <c r="J78" s="2" t="str">
        <f t="shared" si="8"/>
        <v xml:space="preserve">CONTAS A RECEBER </v>
      </c>
      <c r="K78" s="2" t="s">
        <v>186</v>
      </c>
      <c r="L78" s="6" t="s">
        <v>1600</v>
      </c>
      <c r="S78" s="6" t="b">
        <f>C78='Plano de Contas sem ponto'!C78</f>
        <v>1</v>
      </c>
    </row>
    <row r="79" spans="1:19" x14ac:dyDescent="0.2">
      <c r="A79" s="1" t="s">
        <v>191</v>
      </c>
      <c r="B79" s="1" t="s">
        <v>40</v>
      </c>
      <c r="C79" s="1" t="s">
        <v>192</v>
      </c>
      <c r="D79" s="2" t="s">
        <v>42</v>
      </c>
      <c r="E79" s="2" t="str">
        <f t="shared" si="9"/>
        <v>1</v>
      </c>
      <c r="F79" s="2" t="s">
        <v>43</v>
      </c>
      <c r="G79" s="2" t="s">
        <v>1490</v>
      </c>
      <c r="H79" s="2">
        <f t="shared" si="10"/>
        <v>11</v>
      </c>
      <c r="I79" s="3" t="str">
        <f t="shared" si="11"/>
        <v>1.1.2.01.02</v>
      </c>
      <c r="J79" s="2" t="str">
        <f t="shared" si="8"/>
        <v>CONTAS A RECEBER - OUTROS CLIENTES</v>
      </c>
      <c r="K79" s="2" t="s">
        <v>186</v>
      </c>
      <c r="S79" s="6" t="b">
        <f>C79='Plano de Contas sem ponto'!C79</f>
        <v>1</v>
      </c>
    </row>
    <row r="80" spans="1:19" x14ac:dyDescent="0.2">
      <c r="A80" s="2" t="s">
        <v>193</v>
      </c>
      <c r="B80" s="2" t="s">
        <v>54</v>
      </c>
      <c r="C80" s="2" t="s">
        <v>192</v>
      </c>
      <c r="D80" s="2" t="s">
        <v>42</v>
      </c>
      <c r="E80" s="2" t="str">
        <f t="shared" si="9"/>
        <v>1</v>
      </c>
      <c r="F80" s="2" t="s">
        <v>43</v>
      </c>
      <c r="G80" s="2" t="s">
        <v>1490</v>
      </c>
      <c r="H80" s="2">
        <f t="shared" si="10"/>
        <v>16</v>
      </c>
      <c r="I80" s="3" t="str">
        <f t="shared" si="11"/>
        <v>-</v>
      </c>
      <c r="J80" s="2" t="str">
        <f t="shared" si="8"/>
        <v>CONTAS A RECEBER - OUTROS CLIENTES</v>
      </c>
      <c r="K80" s="2" t="s">
        <v>186</v>
      </c>
      <c r="L80" s="6" t="s">
        <v>1600</v>
      </c>
      <c r="S80" s="6" t="b">
        <f>C80='Plano de Contas sem ponto'!C80</f>
        <v>1</v>
      </c>
    </row>
    <row r="81" spans="1:19" x14ac:dyDescent="0.2">
      <c r="A81" s="1" t="s">
        <v>194</v>
      </c>
      <c r="B81" s="1" t="s">
        <v>40</v>
      </c>
      <c r="C81" s="1" t="s">
        <v>195</v>
      </c>
      <c r="D81" s="2" t="s">
        <v>196</v>
      </c>
      <c r="E81" s="2" t="str">
        <f t="shared" si="9"/>
        <v>1</v>
      </c>
      <c r="F81" s="2" t="s">
        <v>43</v>
      </c>
      <c r="G81" s="2" t="s">
        <v>1490</v>
      </c>
      <c r="H81" s="2">
        <f t="shared" si="10"/>
        <v>11</v>
      </c>
      <c r="I81" s="3" t="str">
        <f t="shared" si="11"/>
        <v>1.1.2.01.99</v>
      </c>
      <c r="J81" s="2" t="str">
        <f t="shared" si="8"/>
        <v>PROVISAO CREDITO LIQUID. DUVIDOSA</v>
      </c>
      <c r="K81" s="2" t="s">
        <v>186</v>
      </c>
      <c r="S81" s="6" t="b">
        <f>C81='Plano de Contas sem ponto'!C81</f>
        <v>1</v>
      </c>
    </row>
    <row r="82" spans="1:19" x14ac:dyDescent="0.2">
      <c r="A82" s="2" t="s">
        <v>197</v>
      </c>
      <c r="B82" s="2" t="s">
        <v>54</v>
      </c>
      <c r="C82" s="2" t="s">
        <v>195</v>
      </c>
      <c r="D82" s="2" t="s">
        <v>196</v>
      </c>
      <c r="E82" s="2" t="str">
        <f t="shared" si="9"/>
        <v>1</v>
      </c>
      <c r="F82" s="2" t="s">
        <v>43</v>
      </c>
      <c r="G82" s="2" t="s">
        <v>1490</v>
      </c>
      <c r="H82" s="2">
        <f t="shared" si="10"/>
        <v>16</v>
      </c>
      <c r="I82" s="3" t="str">
        <f t="shared" si="11"/>
        <v>-</v>
      </c>
      <c r="J82" s="2" t="str">
        <f t="shared" si="8"/>
        <v>PROVISAO CREDITO LIQUID. DUVIDOSA</v>
      </c>
      <c r="K82" s="2" t="s">
        <v>186</v>
      </c>
      <c r="L82" s="10" t="s">
        <v>1520</v>
      </c>
      <c r="S82" s="6" t="b">
        <f>C82='Plano de Contas sem ponto'!C82</f>
        <v>1</v>
      </c>
    </row>
    <row r="83" spans="1:19" x14ac:dyDescent="0.2">
      <c r="A83" s="1" t="s">
        <v>198</v>
      </c>
      <c r="B83" s="1" t="s">
        <v>40</v>
      </c>
      <c r="C83" s="1" t="s">
        <v>199</v>
      </c>
      <c r="D83" s="2" t="s">
        <v>42</v>
      </c>
      <c r="E83" s="2" t="str">
        <f t="shared" si="9"/>
        <v>1</v>
      </c>
      <c r="F83" s="2" t="s">
        <v>43</v>
      </c>
      <c r="G83" s="2" t="s">
        <v>1490</v>
      </c>
      <c r="H83" s="2">
        <f t="shared" si="10"/>
        <v>5</v>
      </c>
      <c r="I83" s="3" t="str">
        <f t="shared" si="11"/>
        <v>-</v>
      </c>
      <c r="J83" s="2" t="str">
        <f t="shared" si="8"/>
        <v>CREDITOS A RECEBER</v>
      </c>
      <c r="K83" s="2" t="s">
        <v>200</v>
      </c>
      <c r="S83" s="6" t="b">
        <f>C83='Plano de Contas sem ponto'!C83</f>
        <v>1</v>
      </c>
    </row>
    <row r="84" spans="1:19" x14ac:dyDescent="0.2">
      <c r="A84" s="1" t="s">
        <v>201</v>
      </c>
      <c r="B84" s="1" t="s">
        <v>40</v>
      </c>
      <c r="C84" s="1" t="s">
        <v>199</v>
      </c>
      <c r="D84" s="2" t="s">
        <v>42</v>
      </c>
      <c r="E84" s="2" t="str">
        <f t="shared" si="9"/>
        <v>1</v>
      </c>
      <c r="F84" s="2" t="s">
        <v>43</v>
      </c>
      <c r="G84" s="2" t="s">
        <v>1490</v>
      </c>
      <c r="H84" s="2">
        <f t="shared" si="10"/>
        <v>8</v>
      </c>
      <c r="I84" s="3" t="str">
        <f t="shared" si="11"/>
        <v>-</v>
      </c>
      <c r="J84" s="2" t="str">
        <f t="shared" si="8"/>
        <v>CREDITOS A RECEBER</v>
      </c>
      <c r="K84" s="2" t="s">
        <v>200</v>
      </c>
      <c r="S84" s="6" t="b">
        <f>C84='Plano de Contas sem ponto'!C84</f>
        <v>1</v>
      </c>
    </row>
    <row r="85" spans="1:19" x14ac:dyDescent="0.2">
      <c r="A85" s="1" t="s">
        <v>202</v>
      </c>
      <c r="B85" s="1" t="s">
        <v>40</v>
      </c>
      <c r="C85" s="1" t="s">
        <v>203</v>
      </c>
      <c r="D85" s="2" t="s">
        <v>42</v>
      </c>
      <c r="E85" s="2" t="str">
        <f t="shared" si="9"/>
        <v>1</v>
      </c>
      <c r="F85" s="2" t="s">
        <v>43</v>
      </c>
      <c r="G85" s="2" t="s">
        <v>1490</v>
      </c>
      <c r="H85" s="2">
        <f t="shared" si="10"/>
        <v>11</v>
      </c>
      <c r="I85" s="3" t="str">
        <f t="shared" si="11"/>
        <v>1.1.3.01.00</v>
      </c>
      <c r="J85" s="2" t="str">
        <f t="shared" si="8"/>
        <v>FEDERACOES / SINDICATOS</v>
      </c>
      <c r="K85" s="2" t="s">
        <v>200</v>
      </c>
      <c r="S85" s="6" t="b">
        <f>C85='Plano de Contas sem ponto'!C85</f>
        <v>1</v>
      </c>
    </row>
    <row r="86" spans="1:19" x14ac:dyDescent="0.2">
      <c r="A86" s="2" t="s">
        <v>204</v>
      </c>
      <c r="B86" s="2" t="s">
        <v>54</v>
      </c>
      <c r="C86" s="2" t="s">
        <v>199</v>
      </c>
      <c r="D86" s="2" t="s">
        <v>42</v>
      </c>
      <c r="E86" s="2" t="str">
        <f t="shared" si="9"/>
        <v>1</v>
      </c>
      <c r="F86" s="2" t="s">
        <v>43</v>
      </c>
      <c r="G86" s="2" t="s">
        <v>1490</v>
      </c>
      <c r="H86" s="2">
        <f t="shared" si="10"/>
        <v>16</v>
      </c>
      <c r="I86" s="3" t="str">
        <f t="shared" si="11"/>
        <v>-</v>
      </c>
      <c r="J86" s="2" t="str">
        <f t="shared" si="8"/>
        <v>FEDERACOES / SINDICATOS</v>
      </c>
      <c r="K86" s="2" t="s">
        <v>200</v>
      </c>
      <c r="S86" s="6" t="b">
        <f>C86='Plano de Contas sem ponto'!C86</f>
        <v>1</v>
      </c>
    </row>
    <row r="87" spans="1:19" x14ac:dyDescent="0.2">
      <c r="A87" s="2" t="s">
        <v>205</v>
      </c>
      <c r="B87" s="2" t="s">
        <v>54</v>
      </c>
      <c r="C87" s="2" t="s">
        <v>206</v>
      </c>
      <c r="D87" s="2" t="s">
        <v>42</v>
      </c>
      <c r="E87" s="2" t="str">
        <f t="shared" si="9"/>
        <v>1</v>
      </c>
      <c r="F87" s="2" t="s">
        <v>43</v>
      </c>
      <c r="G87" s="2" t="s">
        <v>1490</v>
      </c>
      <c r="H87" s="2">
        <f t="shared" si="10"/>
        <v>16</v>
      </c>
      <c r="I87" s="3" t="str">
        <f t="shared" si="11"/>
        <v>-</v>
      </c>
      <c r="J87" s="2" t="str">
        <f t="shared" si="8"/>
        <v>FEDERACOES / SINDICATOS</v>
      </c>
      <c r="K87" s="2" t="s">
        <v>200</v>
      </c>
      <c r="S87" s="6" t="b">
        <f>C87='Plano de Contas sem ponto'!C87</f>
        <v>1</v>
      </c>
    </row>
    <row r="88" spans="1:19" x14ac:dyDescent="0.2">
      <c r="A88" s="2" t="s">
        <v>207</v>
      </c>
      <c r="B88" s="2" t="s">
        <v>54</v>
      </c>
      <c r="C88" s="2" t="s">
        <v>208</v>
      </c>
      <c r="D88" s="2" t="s">
        <v>42</v>
      </c>
      <c r="E88" s="2" t="str">
        <f t="shared" si="9"/>
        <v>1</v>
      </c>
      <c r="F88" s="2" t="s">
        <v>43</v>
      </c>
      <c r="G88" s="2" t="s">
        <v>1490</v>
      </c>
      <c r="H88" s="2">
        <f t="shared" si="10"/>
        <v>16</v>
      </c>
      <c r="I88" s="3" t="str">
        <f t="shared" si="11"/>
        <v>-</v>
      </c>
      <c r="J88" s="2" t="str">
        <f t="shared" si="8"/>
        <v>FEDERACOES / SINDICATOS</v>
      </c>
      <c r="K88" s="2" t="s">
        <v>200</v>
      </c>
      <c r="S88" s="6" t="b">
        <f>C88='Plano de Contas sem ponto'!C88</f>
        <v>1</v>
      </c>
    </row>
    <row r="89" spans="1:19" x14ac:dyDescent="0.2">
      <c r="A89" s="2" t="s">
        <v>209</v>
      </c>
      <c r="B89" s="2" t="s">
        <v>54</v>
      </c>
      <c r="C89" s="2" t="s">
        <v>210</v>
      </c>
      <c r="D89" s="2" t="s">
        <v>42</v>
      </c>
      <c r="E89" s="2" t="str">
        <f t="shared" si="9"/>
        <v>1</v>
      </c>
      <c r="F89" s="2" t="s">
        <v>43</v>
      </c>
      <c r="G89" s="2" t="s">
        <v>1490</v>
      </c>
      <c r="H89" s="2">
        <f t="shared" si="10"/>
        <v>16</v>
      </c>
      <c r="I89" s="3" t="str">
        <f t="shared" si="11"/>
        <v>-</v>
      </c>
      <c r="J89" s="2" t="str">
        <f t="shared" si="8"/>
        <v>FEDERACOES / SINDICATOS</v>
      </c>
      <c r="K89" s="2" t="s">
        <v>200</v>
      </c>
      <c r="S89" s="6" t="b">
        <f>C89='Plano de Contas sem ponto'!C89</f>
        <v>1</v>
      </c>
    </row>
    <row r="90" spans="1:19" x14ac:dyDescent="0.2">
      <c r="A90" s="2" t="s">
        <v>211</v>
      </c>
      <c r="B90" s="2" t="s">
        <v>54</v>
      </c>
      <c r="C90" s="2" t="s">
        <v>212</v>
      </c>
      <c r="D90" s="2" t="s">
        <v>42</v>
      </c>
      <c r="E90" s="2" t="str">
        <f t="shared" si="9"/>
        <v>1</v>
      </c>
      <c r="F90" s="2" t="s">
        <v>43</v>
      </c>
      <c r="G90" s="2" t="s">
        <v>1490</v>
      </c>
      <c r="H90" s="2">
        <f t="shared" si="10"/>
        <v>16</v>
      </c>
      <c r="I90" s="3" t="str">
        <f t="shared" si="11"/>
        <v>-</v>
      </c>
      <c r="J90" s="2" t="str">
        <f t="shared" si="8"/>
        <v>FEDERACOES / SINDICATOS</v>
      </c>
      <c r="K90" s="2" t="s">
        <v>200</v>
      </c>
      <c r="S90" s="6" t="b">
        <f>C90='Plano de Contas sem ponto'!C90</f>
        <v>1</v>
      </c>
    </row>
    <row r="91" spans="1:19" x14ac:dyDescent="0.2">
      <c r="A91" s="2" t="s">
        <v>213</v>
      </c>
      <c r="B91" s="2" t="s">
        <v>54</v>
      </c>
      <c r="C91" s="2" t="s">
        <v>214</v>
      </c>
      <c r="D91" s="2" t="s">
        <v>42</v>
      </c>
      <c r="E91" s="2" t="str">
        <f t="shared" si="9"/>
        <v>1</v>
      </c>
      <c r="F91" s="2" t="s">
        <v>43</v>
      </c>
      <c r="G91" s="2" t="s">
        <v>1490</v>
      </c>
      <c r="H91" s="2">
        <f t="shared" si="10"/>
        <v>16</v>
      </c>
      <c r="I91" s="3" t="str">
        <f t="shared" si="11"/>
        <v>-</v>
      </c>
      <c r="J91" s="2" t="str">
        <f t="shared" si="8"/>
        <v>FEDERACOES / SINDICATOS</v>
      </c>
      <c r="K91" s="2" t="s">
        <v>200</v>
      </c>
      <c r="S91" s="6" t="b">
        <f>C91='Plano de Contas sem ponto'!C91</f>
        <v>1</v>
      </c>
    </row>
    <row r="92" spans="1:19" x14ac:dyDescent="0.2">
      <c r="A92" s="2" t="s">
        <v>215</v>
      </c>
      <c r="B92" s="2" t="s">
        <v>54</v>
      </c>
      <c r="C92" s="2" t="s">
        <v>216</v>
      </c>
      <c r="D92" s="2" t="s">
        <v>42</v>
      </c>
      <c r="E92" s="2" t="str">
        <f t="shared" si="9"/>
        <v>1</v>
      </c>
      <c r="F92" s="2" t="s">
        <v>43</v>
      </c>
      <c r="G92" s="2" t="s">
        <v>1490</v>
      </c>
      <c r="H92" s="2">
        <f t="shared" si="10"/>
        <v>16</v>
      </c>
      <c r="I92" s="3" t="str">
        <f t="shared" si="11"/>
        <v>-</v>
      </c>
      <c r="J92" s="2" t="str">
        <f t="shared" si="8"/>
        <v>FEDERACOES / SINDICATOS</v>
      </c>
      <c r="K92" s="2" t="s">
        <v>200</v>
      </c>
      <c r="S92" s="6" t="b">
        <f>C92='Plano de Contas sem ponto'!C92</f>
        <v>1</v>
      </c>
    </row>
    <row r="93" spans="1:19" x14ac:dyDescent="0.2">
      <c r="A93" s="2" t="s">
        <v>217</v>
      </c>
      <c r="B93" s="2" t="s">
        <v>54</v>
      </c>
      <c r="C93" s="2" t="s">
        <v>218</v>
      </c>
      <c r="D93" s="2" t="s">
        <v>42</v>
      </c>
      <c r="E93" s="2" t="str">
        <f t="shared" si="9"/>
        <v>1</v>
      </c>
      <c r="F93" s="2" t="s">
        <v>43</v>
      </c>
      <c r="G93" s="2" t="s">
        <v>1490</v>
      </c>
      <c r="H93" s="2">
        <f t="shared" si="10"/>
        <v>16</v>
      </c>
      <c r="I93" s="3" t="str">
        <f t="shared" si="11"/>
        <v>-</v>
      </c>
      <c r="J93" s="2" t="str">
        <f t="shared" si="8"/>
        <v>FEDERACOES / SINDICATOS</v>
      </c>
      <c r="K93" s="2" t="s">
        <v>200</v>
      </c>
      <c r="S93" s="6" t="b">
        <f>C93='Plano de Contas sem ponto'!C93</f>
        <v>1</v>
      </c>
    </row>
    <row r="94" spans="1:19" x14ac:dyDescent="0.2">
      <c r="A94" s="1" t="s">
        <v>219</v>
      </c>
      <c r="B94" s="1" t="s">
        <v>40</v>
      </c>
      <c r="C94" s="1" t="s">
        <v>220</v>
      </c>
      <c r="D94" s="2" t="s">
        <v>42</v>
      </c>
      <c r="E94" s="2" t="str">
        <f t="shared" si="9"/>
        <v>1</v>
      </c>
      <c r="F94" s="2" t="s">
        <v>43</v>
      </c>
      <c r="G94" s="2" t="s">
        <v>1490</v>
      </c>
      <c r="H94" s="2">
        <f t="shared" si="10"/>
        <v>11</v>
      </c>
      <c r="I94" s="3" t="str">
        <f t="shared" si="11"/>
        <v>1.1.3.01.01</v>
      </c>
      <c r="J94" s="2" t="str">
        <f t="shared" si="8"/>
        <v>CREDITOS A RECEBER - OUTROS</v>
      </c>
      <c r="K94" s="2" t="s">
        <v>200</v>
      </c>
      <c r="S94" s="6" t="b">
        <f>C94='Plano de Contas sem ponto'!C94</f>
        <v>1</v>
      </c>
    </row>
    <row r="95" spans="1:19" x14ac:dyDescent="0.2">
      <c r="A95" s="2" t="s">
        <v>221</v>
      </c>
      <c r="B95" s="2" t="s">
        <v>54</v>
      </c>
      <c r="C95" s="2" t="s">
        <v>222</v>
      </c>
      <c r="D95" s="2" t="s">
        <v>42</v>
      </c>
      <c r="E95" s="2" t="str">
        <f t="shared" si="9"/>
        <v>1</v>
      </c>
      <c r="F95" s="2" t="s">
        <v>43</v>
      </c>
      <c r="G95" s="2" t="s">
        <v>1490</v>
      </c>
      <c r="H95" s="2">
        <f t="shared" si="10"/>
        <v>16</v>
      </c>
      <c r="I95" s="3" t="str">
        <f t="shared" si="11"/>
        <v>-</v>
      </c>
      <c r="J95" s="2" t="str">
        <f t="shared" si="8"/>
        <v>CREDITOS A RECEBER - OUTROS</v>
      </c>
      <c r="K95" s="2" t="s">
        <v>200</v>
      </c>
      <c r="S95" s="6" t="b">
        <f>C95='Plano de Contas sem ponto'!C95</f>
        <v>1</v>
      </c>
    </row>
    <row r="96" spans="1:19" x14ac:dyDescent="0.2">
      <c r="A96" s="2" t="s">
        <v>223</v>
      </c>
      <c r="B96" s="2" t="s">
        <v>54</v>
      </c>
      <c r="C96" s="2" t="s">
        <v>224</v>
      </c>
      <c r="D96" s="2" t="s">
        <v>42</v>
      </c>
      <c r="E96" s="2" t="str">
        <f t="shared" si="9"/>
        <v>1</v>
      </c>
      <c r="F96" s="2" t="s">
        <v>43</v>
      </c>
      <c r="G96" s="2" t="s">
        <v>1490</v>
      </c>
      <c r="H96" s="2">
        <f t="shared" si="10"/>
        <v>16</v>
      </c>
      <c r="I96" s="3" t="str">
        <f t="shared" si="11"/>
        <v>-</v>
      </c>
      <c r="J96" s="2" t="str">
        <f t="shared" si="8"/>
        <v>CREDITOS A RECEBER - OUTROS</v>
      </c>
      <c r="K96" s="2" t="s">
        <v>200</v>
      </c>
      <c r="S96" s="6" t="b">
        <f>C96='Plano de Contas sem ponto'!C96</f>
        <v>1</v>
      </c>
    </row>
    <row r="97" spans="1:19" x14ac:dyDescent="0.2">
      <c r="A97" s="2" t="s">
        <v>225</v>
      </c>
      <c r="B97" s="2" t="s">
        <v>54</v>
      </c>
      <c r="C97" s="2" t="s">
        <v>226</v>
      </c>
      <c r="D97" s="2" t="s">
        <v>42</v>
      </c>
      <c r="E97" s="2" t="str">
        <f t="shared" si="9"/>
        <v>1</v>
      </c>
      <c r="F97" s="2" t="s">
        <v>43</v>
      </c>
      <c r="G97" s="2" t="s">
        <v>1490</v>
      </c>
      <c r="H97" s="2">
        <f t="shared" si="10"/>
        <v>16</v>
      </c>
      <c r="I97" s="3" t="str">
        <f t="shared" si="11"/>
        <v>-</v>
      </c>
      <c r="J97" s="2" t="str">
        <f t="shared" si="8"/>
        <v>CREDITOS A RECEBER - OUTROS</v>
      </c>
      <c r="K97" s="2" t="s">
        <v>200</v>
      </c>
      <c r="S97" s="6" t="b">
        <f>C97='Plano de Contas sem ponto'!C97</f>
        <v>1</v>
      </c>
    </row>
    <row r="98" spans="1:19" x14ac:dyDescent="0.2">
      <c r="A98" s="2" t="s">
        <v>227</v>
      </c>
      <c r="B98" s="2" t="s">
        <v>54</v>
      </c>
      <c r="C98" s="2" t="s">
        <v>228</v>
      </c>
      <c r="D98" s="2" t="s">
        <v>42</v>
      </c>
      <c r="E98" s="2" t="str">
        <f t="shared" ref="E98:E133" si="12">LEFT(A98,1)</f>
        <v>1</v>
      </c>
      <c r="F98" s="2" t="s">
        <v>43</v>
      </c>
      <c r="G98" s="2" t="s">
        <v>1490</v>
      </c>
      <c r="H98" s="2">
        <f t="shared" ref="H98:H133" si="13">LEN(A98)</f>
        <v>16</v>
      </c>
      <c r="I98" s="3" t="str">
        <f t="shared" ref="I98:I129" si="14">IF(H98=11,A98,"-")</f>
        <v>-</v>
      </c>
      <c r="J98" s="2" t="str">
        <f t="shared" si="8"/>
        <v>CREDITOS A RECEBER - OUTROS</v>
      </c>
      <c r="K98" s="2" t="s">
        <v>200</v>
      </c>
      <c r="S98" s="6" t="b">
        <f>C98='Plano de Contas sem ponto'!C98</f>
        <v>1</v>
      </c>
    </row>
    <row r="99" spans="1:19" x14ac:dyDescent="0.2">
      <c r="A99" s="2" t="s">
        <v>229</v>
      </c>
      <c r="B99" s="2" t="s">
        <v>54</v>
      </c>
      <c r="C99" s="2" t="s">
        <v>230</v>
      </c>
      <c r="D99" s="2" t="s">
        <v>42</v>
      </c>
      <c r="E99" s="2" t="str">
        <f t="shared" si="12"/>
        <v>1</v>
      </c>
      <c r="F99" s="2" t="s">
        <v>43</v>
      </c>
      <c r="G99" s="2" t="s">
        <v>1490</v>
      </c>
      <c r="H99" s="2">
        <f t="shared" si="13"/>
        <v>16</v>
      </c>
      <c r="I99" s="3" t="str">
        <f t="shared" si="14"/>
        <v>-</v>
      </c>
      <c r="J99" s="2" t="str">
        <f t="shared" si="8"/>
        <v>CREDITOS A RECEBER - OUTROS</v>
      </c>
      <c r="K99" s="2" t="s">
        <v>200</v>
      </c>
      <c r="S99" s="6" t="b">
        <f>C99='Plano de Contas sem ponto'!C99</f>
        <v>1</v>
      </c>
    </row>
    <row r="100" spans="1:19" x14ac:dyDescent="0.2">
      <c r="A100" s="2" t="s">
        <v>231</v>
      </c>
      <c r="B100" s="2" t="s">
        <v>54</v>
      </c>
      <c r="C100" s="2" t="s">
        <v>232</v>
      </c>
      <c r="D100" s="2" t="s">
        <v>42</v>
      </c>
      <c r="E100" s="2" t="str">
        <f t="shared" si="12"/>
        <v>1</v>
      </c>
      <c r="F100" s="2" t="s">
        <v>43</v>
      </c>
      <c r="G100" s="2" t="s">
        <v>1490</v>
      </c>
      <c r="H100" s="2">
        <f t="shared" si="13"/>
        <v>16</v>
      </c>
      <c r="I100" s="3" t="str">
        <f t="shared" si="14"/>
        <v>-</v>
      </c>
      <c r="J100" s="2" t="str">
        <f t="shared" si="8"/>
        <v>CREDITOS A RECEBER - OUTROS</v>
      </c>
      <c r="K100" s="2" t="s">
        <v>200</v>
      </c>
      <c r="S100" s="6" t="b">
        <f>C100='Plano de Contas sem ponto'!C100</f>
        <v>1</v>
      </c>
    </row>
    <row r="101" spans="1:19" x14ac:dyDescent="0.2">
      <c r="A101" s="2" t="s">
        <v>233</v>
      </c>
      <c r="B101" s="2" t="s">
        <v>54</v>
      </c>
      <c r="C101" s="2" t="s">
        <v>234</v>
      </c>
      <c r="D101" s="2" t="s">
        <v>42</v>
      </c>
      <c r="E101" s="2" t="str">
        <f t="shared" si="12"/>
        <v>1</v>
      </c>
      <c r="F101" s="2" t="s">
        <v>43</v>
      </c>
      <c r="G101" s="2" t="s">
        <v>1490</v>
      </c>
      <c r="H101" s="2">
        <f t="shared" si="13"/>
        <v>16</v>
      </c>
      <c r="I101" s="3" t="str">
        <f t="shared" si="14"/>
        <v>-</v>
      </c>
      <c r="J101" s="2" t="str">
        <f t="shared" si="8"/>
        <v>CREDITOS A RECEBER - OUTROS</v>
      </c>
      <c r="K101" s="2" t="s">
        <v>200</v>
      </c>
      <c r="S101" s="6" t="b">
        <f>C101='Plano de Contas sem ponto'!C101</f>
        <v>1</v>
      </c>
    </row>
    <row r="102" spans="1:19" x14ac:dyDescent="0.2">
      <c r="A102" s="2" t="s">
        <v>235</v>
      </c>
      <c r="B102" s="2" t="s">
        <v>54</v>
      </c>
      <c r="C102" s="2" t="s">
        <v>236</v>
      </c>
      <c r="D102" s="2" t="s">
        <v>42</v>
      </c>
      <c r="E102" s="2" t="str">
        <f t="shared" si="12"/>
        <v>1</v>
      </c>
      <c r="F102" s="2" t="s">
        <v>43</v>
      </c>
      <c r="G102" s="2" t="s">
        <v>1490</v>
      </c>
      <c r="H102" s="2">
        <f t="shared" si="13"/>
        <v>16</v>
      </c>
      <c r="I102" s="3" t="str">
        <f t="shared" si="14"/>
        <v>-</v>
      </c>
      <c r="J102" s="2" t="str">
        <f>IF(H102&lt;11,C102,IF(I102&lt;&gt;"-",C102,J100))</f>
        <v>CREDITOS A RECEBER - OUTROS</v>
      </c>
      <c r="K102" s="2" t="s">
        <v>200</v>
      </c>
      <c r="S102" s="6" t="b">
        <f>C102='Plano de Contas sem ponto'!C102</f>
        <v>1</v>
      </c>
    </row>
    <row r="103" spans="1:19" x14ac:dyDescent="0.2">
      <c r="A103" s="12" t="s">
        <v>2847</v>
      </c>
      <c r="B103" s="12" t="s">
        <v>54</v>
      </c>
      <c r="C103" s="12" t="s">
        <v>2849</v>
      </c>
      <c r="D103" s="2" t="s">
        <v>42</v>
      </c>
      <c r="E103" s="2" t="str">
        <f t="shared" si="12"/>
        <v>1</v>
      </c>
      <c r="F103" s="2" t="s">
        <v>43</v>
      </c>
      <c r="G103" s="2" t="s">
        <v>1490</v>
      </c>
      <c r="H103" s="2">
        <f t="shared" si="13"/>
        <v>16</v>
      </c>
      <c r="I103" s="3" t="str">
        <f t="shared" si="14"/>
        <v>-</v>
      </c>
      <c r="J103" s="2" t="str">
        <f>IF(H103&lt;11,C103,IF(I103&lt;&gt;"-",C103,J101))</f>
        <v>CREDITOS A RECEBER - OUTROS</v>
      </c>
      <c r="K103" s="2" t="s">
        <v>200</v>
      </c>
      <c r="S103" s="6" t="b">
        <f>C103='Plano de Contas sem ponto'!C103</f>
        <v>1</v>
      </c>
    </row>
    <row r="104" spans="1:19" x14ac:dyDescent="0.2">
      <c r="A104" s="12" t="s">
        <v>2843</v>
      </c>
      <c r="B104" s="12" t="s">
        <v>54</v>
      </c>
      <c r="C104" s="12" t="s">
        <v>2844</v>
      </c>
      <c r="D104" s="2" t="s">
        <v>42</v>
      </c>
      <c r="E104" s="2" t="str">
        <f t="shared" si="12"/>
        <v>1</v>
      </c>
      <c r="F104" s="2" t="s">
        <v>43</v>
      </c>
      <c r="G104" s="2" t="s">
        <v>1490</v>
      </c>
      <c r="H104" s="2">
        <f t="shared" si="13"/>
        <v>16</v>
      </c>
      <c r="I104" s="3" t="str">
        <f t="shared" si="14"/>
        <v>-</v>
      </c>
      <c r="J104" s="2" t="str">
        <f>IF(H104&lt;11,C104,IF(I104&lt;&gt;"-",C104,J101))</f>
        <v>CREDITOS A RECEBER - OUTROS</v>
      </c>
      <c r="K104" s="2" t="s">
        <v>200</v>
      </c>
      <c r="S104" s="6" t="b">
        <f>C104='Plano de Contas sem ponto'!C104</f>
        <v>1</v>
      </c>
    </row>
    <row r="105" spans="1:19" x14ac:dyDescent="0.2">
      <c r="A105" s="1" t="s">
        <v>237</v>
      </c>
      <c r="B105" s="1" t="s">
        <v>40</v>
      </c>
      <c r="C105" s="1" t="s">
        <v>238</v>
      </c>
      <c r="D105" s="2" t="s">
        <v>42</v>
      </c>
      <c r="E105" s="2" t="str">
        <f t="shared" si="12"/>
        <v>1</v>
      </c>
      <c r="F105" s="2" t="s">
        <v>43</v>
      </c>
      <c r="G105" s="2" t="s">
        <v>1490</v>
      </c>
      <c r="H105" s="2">
        <f t="shared" si="13"/>
        <v>11</v>
      </c>
      <c r="I105" s="3" t="str">
        <f t="shared" si="14"/>
        <v>1.1.3.01.02</v>
      </c>
      <c r="J105" s="2" t="str">
        <f t="shared" ref="J105:J133" si="15">IF(H105&lt;11,C105,IF(I105&lt;&gt;"-",C105,J104))</f>
        <v>RATEIOS A RECUPERAR</v>
      </c>
      <c r="K105" s="2" t="s">
        <v>200</v>
      </c>
      <c r="S105" s="6" t="b">
        <f>C105='Plano de Contas sem ponto'!C105</f>
        <v>1</v>
      </c>
    </row>
    <row r="106" spans="1:19" x14ac:dyDescent="0.2">
      <c r="A106" s="2" t="s">
        <v>239</v>
      </c>
      <c r="B106" s="2" t="s">
        <v>54</v>
      </c>
      <c r="C106" s="2" t="s">
        <v>238</v>
      </c>
      <c r="D106" s="2" t="s">
        <v>42</v>
      </c>
      <c r="E106" s="2" t="str">
        <f t="shared" si="12"/>
        <v>1</v>
      </c>
      <c r="F106" s="2" t="s">
        <v>43</v>
      </c>
      <c r="G106" s="2" t="s">
        <v>1490</v>
      </c>
      <c r="H106" s="2">
        <f t="shared" si="13"/>
        <v>16</v>
      </c>
      <c r="I106" s="3" t="str">
        <f t="shared" si="14"/>
        <v>-</v>
      </c>
      <c r="J106" s="2" t="str">
        <f t="shared" si="15"/>
        <v>RATEIOS A RECUPERAR</v>
      </c>
      <c r="K106" s="2" t="s">
        <v>200</v>
      </c>
      <c r="S106" s="6" t="b">
        <f>C106='Plano de Contas sem ponto'!C106</f>
        <v>1</v>
      </c>
    </row>
    <row r="107" spans="1:19" x14ac:dyDescent="0.2">
      <c r="A107" s="1" t="s">
        <v>240</v>
      </c>
      <c r="B107" s="1" t="s">
        <v>40</v>
      </c>
      <c r="C107" s="1" t="s">
        <v>241</v>
      </c>
      <c r="D107" s="2" t="s">
        <v>42</v>
      </c>
      <c r="E107" s="2" t="str">
        <f t="shared" si="12"/>
        <v>1</v>
      </c>
      <c r="F107" s="2" t="s">
        <v>43</v>
      </c>
      <c r="G107" s="2" t="s">
        <v>1490</v>
      </c>
      <c r="H107" s="2">
        <f t="shared" si="13"/>
        <v>11</v>
      </c>
      <c r="I107" s="3" t="str">
        <f t="shared" si="14"/>
        <v>1.1.3.01.03</v>
      </c>
      <c r="J107" s="2" t="str">
        <f t="shared" si="15"/>
        <v>ADIANTAMENTOS A TERCEIROS</v>
      </c>
      <c r="K107" s="2" t="s">
        <v>200</v>
      </c>
      <c r="S107" s="6" t="b">
        <f>C107='Plano de Contas sem ponto'!C107</f>
        <v>1</v>
      </c>
    </row>
    <row r="108" spans="1:19" x14ac:dyDescent="0.2">
      <c r="A108" s="2" t="s">
        <v>242</v>
      </c>
      <c r="B108" s="2" t="s">
        <v>54</v>
      </c>
      <c r="C108" s="2" t="s">
        <v>241</v>
      </c>
      <c r="D108" s="2" t="s">
        <v>42</v>
      </c>
      <c r="E108" s="2" t="str">
        <f t="shared" si="12"/>
        <v>1</v>
      </c>
      <c r="F108" s="2" t="s">
        <v>43</v>
      </c>
      <c r="G108" s="2" t="s">
        <v>1490</v>
      </c>
      <c r="H108" s="2">
        <f t="shared" si="13"/>
        <v>16</v>
      </c>
      <c r="I108" s="3" t="str">
        <f t="shared" si="14"/>
        <v>-</v>
      </c>
      <c r="J108" s="2" t="str">
        <f t="shared" si="15"/>
        <v>ADIANTAMENTOS A TERCEIROS</v>
      </c>
      <c r="K108" s="2" t="s">
        <v>200</v>
      </c>
      <c r="S108" s="6" t="b">
        <f>C108='Plano de Contas sem ponto'!C108</f>
        <v>1</v>
      </c>
    </row>
    <row r="109" spans="1:19" x14ac:dyDescent="0.2">
      <c r="A109" s="1" t="s">
        <v>243</v>
      </c>
      <c r="B109" s="1" t="s">
        <v>40</v>
      </c>
      <c r="C109" s="1" t="s">
        <v>244</v>
      </c>
      <c r="D109" s="2" t="s">
        <v>42</v>
      </c>
      <c r="E109" s="2" t="str">
        <f t="shared" si="12"/>
        <v>1</v>
      </c>
      <c r="F109" s="2" t="s">
        <v>43</v>
      </c>
      <c r="G109" s="2" t="s">
        <v>1490</v>
      </c>
      <c r="H109" s="2">
        <f t="shared" si="13"/>
        <v>11</v>
      </c>
      <c r="I109" s="3" t="str">
        <f t="shared" si="14"/>
        <v>1.1.3.01.04</v>
      </c>
      <c r="J109" s="2" t="str">
        <f t="shared" si="15"/>
        <v>VALORES A RECUPERAR</v>
      </c>
      <c r="K109" s="2" t="s">
        <v>200</v>
      </c>
      <c r="S109" s="6" t="b">
        <f>C109='Plano de Contas sem ponto'!C109</f>
        <v>1</v>
      </c>
    </row>
    <row r="110" spans="1:19" x14ac:dyDescent="0.2">
      <c r="A110" s="2" t="s">
        <v>245</v>
      </c>
      <c r="B110" s="2" t="s">
        <v>54</v>
      </c>
      <c r="C110" s="2" t="s">
        <v>244</v>
      </c>
      <c r="D110" s="2" t="s">
        <v>42</v>
      </c>
      <c r="E110" s="2" t="str">
        <f t="shared" si="12"/>
        <v>1</v>
      </c>
      <c r="F110" s="2" t="s">
        <v>43</v>
      </c>
      <c r="G110" s="2" t="s">
        <v>1490</v>
      </c>
      <c r="H110" s="2">
        <f t="shared" si="13"/>
        <v>16</v>
      </c>
      <c r="I110" s="3" t="str">
        <f t="shared" si="14"/>
        <v>-</v>
      </c>
      <c r="J110" s="2" t="str">
        <f t="shared" si="15"/>
        <v>VALORES A RECUPERAR</v>
      </c>
      <c r="K110" s="2" t="s">
        <v>200</v>
      </c>
      <c r="S110" s="6" t="b">
        <f>C110='Plano de Contas sem ponto'!C110</f>
        <v>1</v>
      </c>
    </row>
    <row r="111" spans="1:19" x14ac:dyDescent="0.2">
      <c r="A111" s="2" t="s">
        <v>246</v>
      </c>
      <c r="B111" s="2" t="s">
        <v>54</v>
      </c>
      <c r="C111" s="2" t="s">
        <v>247</v>
      </c>
      <c r="D111" s="2" t="s">
        <v>42</v>
      </c>
      <c r="E111" s="2" t="str">
        <f t="shared" si="12"/>
        <v>1</v>
      </c>
      <c r="F111" s="2" t="s">
        <v>43</v>
      </c>
      <c r="G111" s="2" t="s">
        <v>1490</v>
      </c>
      <c r="H111" s="2">
        <f t="shared" si="13"/>
        <v>16</v>
      </c>
      <c r="I111" s="3" t="str">
        <f t="shared" si="14"/>
        <v>-</v>
      </c>
      <c r="J111" s="2" t="str">
        <f t="shared" si="15"/>
        <v>VALORES A RECUPERAR</v>
      </c>
      <c r="K111" s="2" t="s">
        <v>200</v>
      </c>
      <c r="S111" s="6" t="b">
        <f>C111='Plano de Contas sem ponto'!C111</f>
        <v>1</v>
      </c>
    </row>
    <row r="112" spans="1:19" x14ac:dyDescent="0.2">
      <c r="A112" s="1" t="s">
        <v>248</v>
      </c>
      <c r="B112" s="1" t="s">
        <v>40</v>
      </c>
      <c r="C112" s="1" t="s">
        <v>249</v>
      </c>
      <c r="D112" s="2" t="s">
        <v>42</v>
      </c>
      <c r="E112" s="2" t="str">
        <f t="shared" si="12"/>
        <v>1</v>
      </c>
      <c r="F112" s="2" t="s">
        <v>43</v>
      </c>
      <c r="G112" s="2" t="s">
        <v>1490</v>
      </c>
      <c r="H112" s="2">
        <f t="shared" si="13"/>
        <v>11</v>
      </c>
      <c r="I112" s="3" t="str">
        <f t="shared" si="14"/>
        <v>1.1.3.01.05</v>
      </c>
      <c r="J112" s="2" t="str">
        <f t="shared" si="15"/>
        <v>ADIANTAMENTOS A FUNCIONARIOS</v>
      </c>
      <c r="K112" s="2" t="s">
        <v>200</v>
      </c>
      <c r="S112" s="6" t="b">
        <f>C112='Plano de Contas sem ponto'!C112</f>
        <v>1</v>
      </c>
    </row>
    <row r="113" spans="1:19" x14ac:dyDescent="0.2">
      <c r="A113" s="2" t="s">
        <v>250</v>
      </c>
      <c r="B113" s="2" t="s">
        <v>54</v>
      </c>
      <c r="C113" s="2" t="s">
        <v>251</v>
      </c>
      <c r="D113" s="2" t="s">
        <v>42</v>
      </c>
      <c r="E113" s="2" t="str">
        <f t="shared" si="12"/>
        <v>1</v>
      </c>
      <c r="F113" s="2" t="s">
        <v>43</v>
      </c>
      <c r="G113" s="2" t="s">
        <v>1490</v>
      </c>
      <c r="H113" s="2">
        <f t="shared" si="13"/>
        <v>16</v>
      </c>
      <c r="I113" s="3" t="str">
        <f t="shared" si="14"/>
        <v>-</v>
      </c>
      <c r="J113" s="2" t="str">
        <f t="shared" si="15"/>
        <v>ADIANTAMENTOS A FUNCIONARIOS</v>
      </c>
      <c r="K113" s="2" t="s">
        <v>200</v>
      </c>
      <c r="S113" s="6" t="b">
        <f>C113='Plano de Contas sem ponto'!C113</f>
        <v>1</v>
      </c>
    </row>
    <row r="114" spans="1:19" x14ac:dyDescent="0.2">
      <c r="A114" s="2" t="s">
        <v>252</v>
      </c>
      <c r="B114" s="2" t="s">
        <v>54</v>
      </c>
      <c r="C114" s="2" t="s">
        <v>253</v>
      </c>
      <c r="D114" s="2" t="s">
        <v>42</v>
      </c>
      <c r="E114" s="2" t="str">
        <f t="shared" si="12"/>
        <v>1</v>
      </c>
      <c r="F114" s="2" t="s">
        <v>43</v>
      </c>
      <c r="G114" s="2" t="s">
        <v>1490</v>
      </c>
      <c r="H114" s="2">
        <f t="shared" si="13"/>
        <v>16</v>
      </c>
      <c r="I114" s="3" t="str">
        <f t="shared" si="14"/>
        <v>-</v>
      </c>
      <c r="J114" s="2" t="str">
        <f t="shared" si="15"/>
        <v>ADIANTAMENTOS A FUNCIONARIOS</v>
      </c>
      <c r="K114" s="2" t="s">
        <v>200</v>
      </c>
      <c r="S114" s="6" t="b">
        <f>C114='Plano de Contas sem ponto'!C114</f>
        <v>1</v>
      </c>
    </row>
    <row r="115" spans="1:19" x14ac:dyDescent="0.2">
      <c r="A115" s="2" t="s">
        <v>254</v>
      </c>
      <c r="B115" s="2" t="s">
        <v>54</v>
      </c>
      <c r="C115" s="2" t="s">
        <v>255</v>
      </c>
      <c r="D115" s="2" t="s">
        <v>42</v>
      </c>
      <c r="E115" s="2" t="str">
        <f t="shared" si="12"/>
        <v>1</v>
      </c>
      <c r="F115" s="2" t="s">
        <v>43</v>
      </c>
      <c r="G115" s="2" t="s">
        <v>1490</v>
      </c>
      <c r="H115" s="2">
        <f t="shared" si="13"/>
        <v>16</v>
      </c>
      <c r="I115" s="3" t="str">
        <f t="shared" si="14"/>
        <v>-</v>
      </c>
      <c r="J115" s="2" t="str">
        <f t="shared" si="15"/>
        <v>ADIANTAMENTOS A FUNCIONARIOS</v>
      </c>
      <c r="K115" s="2" t="s">
        <v>200</v>
      </c>
      <c r="S115" s="6" t="b">
        <f>C115='Plano de Contas sem ponto'!C115</f>
        <v>1</v>
      </c>
    </row>
    <row r="116" spans="1:19" x14ac:dyDescent="0.2">
      <c r="A116" s="2" t="s">
        <v>256</v>
      </c>
      <c r="B116" s="2" t="s">
        <v>54</v>
      </c>
      <c r="C116" s="2" t="s">
        <v>257</v>
      </c>
      <c r="D116" s="2" t="s">
        <v>42</v>
      </c>
      <c r="E116" s="2" t="str">
        <f t="shared" si="12"/>
        <v>1</v>
      </c>
      <c r="F116" s="2" t="s">
        <v>43</v>
      </c>
      <c r="G116" s="2" t="s">
        <v>1490</v>
      </c>
      <c r="H116" s="2">
        <f t="shared" si="13"/>
        <v>16</v>
      </c>
      <c r="I116" s="3" t="str">
        <f t="shared" si="14"/>
        <v>-</v>
      </c>
      <c r="J116" s="2" t="str">
        <f t="shared" si="15"/>
        <v>ADIANTAMENTOS A FUNCIONARIOS</v>
      </c>
      <c r="K116" s="2" t="s">
        <v>200</v>
      </c>
      <c r="S116" s="6" t="b">
        <f>C116='Plano de Contas sem ponto'!C116</f>
        <v>1</v>
      </c>
    </row>
    <row r="117" spans="1:19" x14ac:dyDescent="0.2">
      <c r="A117" s="2" t="s">
        <v>258</v>
      </c>
      <c r="B117" s="2" t="s">
        <v>54</v>
      </c>
      <c r="C117" s="2" t="s">
        <v>259</v>
      </c>
      <c r="D117" s="2" t="s">
        <v>42</v>
      </c>
      <c r="E117" s="2" t="str">
        <f t="shared" si="12"/>
        <v>1</v>
      </c>
      <c r="F117" s="2" t="s">
        <v>43</v>
      </c>
      <c r="G117" s="2" t="s">
        <v>1490</v>
      </c>
      <c r="H117" s="2">
        <f t="shared" si="13"/>
        <v>16</v>
      </c>
      <c r="I117" s="3" t="str">
        <f t="shared" si="14"/>
        <v>-</v>
      </c>
      <c r="J117" s="2" t="str">
        <f t="shared" si="15"/>
        <v>ADIANTAMENTOS A FUNCIONARIOS</v>
      </c>
      <c r="K117" s="2" t="s">
        <v>200</v>
      </c>
      <c r="S117" s="6" t="b">
        <f>C117='Plano de Contas sem ponto'!C117</f>
        <v>1</v>
      </c>
    </row>
    <row r="118" spans="1:19" x14ac:dyDescent="0.2">
      <c r="A118" s="2" t="s">
        <v>260</v>
      </c>
      <c r="B118" s="2" t="s">
        <v>54</v>
      </c>
      <c r="C118" s="2" t="s">
        <v>261</v>
      </c>
      <c r="D118" s="2" t="s">
        <v>42</v>
      </c>
      <c r="E118" s="2" t="str">
        <f t="shared" si="12"/>
        <v>1</v>
      </c>
      <c r="F118" s="2" t="s">
        <v>43</v>
      </c>
      <c r="G118" s="2" t="s">
        <v>1490</v>
      </c>
      <c r="H118" s="2">
        <f t="shared" si="13"/>
        <v>16</v>
      </c>
      <c r="I118" s="3" t="str">
        <f t="shared" si="14"/>
        <v>-</v>
      </c>
      <c r="J118" s="2" t="str">
        <f t="shared" si="15"/>
        <v>ADIANTAMENTOS A FUNCIONARIOS</v>
      </c>
      <c r="K118" s="2" t="s">
        <v>200</v>
      </c>
      <c r="S118" s="6" t="b">
        <f>C118='Plano de Contas sem ponto'!C118</f>
        <v>1</v>
      </c>
    </row>
    <row r="119" spans="1:19" x14ac:dyDescent="0.2">
      <c r="A119" s="2" t="s">
        <v>262</v>
      </c>
      <c r="B119" s="2" t="s">
        <v>54</v>
      </c>
      <c r="C119" s="2" t="s">
        <v>263</v>
      </c>
      <c r="D119" s="2" t="s">
        <v>42</v>
      </c>
      <c r="E119" s="2" t="str">
        <f t="shared" si="12"/>
        <v>1</v>
      </c>
      <c r="F119" s="2" t="s">
        <v>43</v>
      </c>
      <c r="G119" s="2" t="s">
        <v>1490</v>
      </c>
      <c r="H119" s="2">
        <f t="shared" si="13"/>
        <v>16</v>
      </c>
      <c r="I119" s="3" t="str">
        <f t="shared" si="14"/>
        <v>-</v>
      </c>
      <c r="J119" s="2" t="str">
        <f t="shared" si="15"/>
        <v>ADIANTAMENTOS A FUNCIONARIOS</v>
      </c>
      <c r="K119" s="2" t="s">
        <v>200</v>
      </c>
      <c r="S119" s="6" t="b">
        <f>C119='Plano de Contas sem ponto'!C119</f>
        <v>1</v>
      </c>
    </row>
    <row r="120" spans="1:19" x14ac:dyDescent="0.2">
      <c r="A120" s="1" t="s">
        <v>264</v>
      </c>
      <c r="B120" s="1" t="s">
        <v>40</v>
      </c>
      <c r="C120" s="1" t="s">
        <v>265</v>
      </c>
      <c r="D120" s="2" t="s">
        <v>42</v>
      </c>
      <c r="E120" s="2" t="str">
        <f t="shared" si="12"/>
        <v>1</v>
      </c>
      <c r="F120" s="2" t="s">
        <v>43</v>
      </c>
      <c r="G120" s="2" t="s">
        <v>1490</v>
      </c>
      <c r="H120" s="2">
        <f t="shared" si="13"/>
        <v>11</v>
      </c>
      <c r="I120" s="3" t="str">
        <f t="shared" si="14"/>
        <v>1.1.3.01.06</v>
      </c>
      <c r="J120" s="2" t="str">
        <f t="shared" si="15"/>
        <v>TRIBUTOS A COMPENSAR</v>
      </c>
      <c r="K120" s="2" t="s">
        <v>200</v>
      </c>
      <c r="S120" s="6" t="b">
        <f>C120='Plano de Contas sem ponto'!C120</f>
        <v>1</v>
      </c>
    </row>
    <row r="121" spans="1:19" x14ac:dyDescent="0.2">
      <c r="A121" s="2" t="s">
        <v>266</v>
      </c>
      <c r="B121" s="2" t="s">
        <v>54</v>
      </c>
      <c r="C121" s="2" t="s">
        <v>267</v>
      </c>
      <c r="D121" s="2" t="s">
        <v>42</v>
      </c>
      <c r="E121" s="2" t="str">
        <f t="shared" si="12"/>
        <v>1</v>
      </c>
      <c r="F121" s="2" t="s">
        <v>43</v>
      </c>
      <c r="G121" s="2" t="s">
        <v>1490</v>
      </c>
      <c r="H121" s="2">
        <f t="shared" si="13"/>
        <v>16</v>
      </c>
      <c r="I121" s="3" t="str">
        <f t="shared" si="14"/>
        <v>-</v>
      </c>
      <c r="J121" s="2" t="str">
        <f t="shared" si="15"/>
        <v>TRIBUTOS A COMPENSAR</v>
      </c>
      <c r="K121" s="2" t="s">
        <v>200</v>
      </c>
      <c r="S121" s="6" t="b">
        <f>C121='Plano de Contas sem ponto'!C121</f>
        <v>1</v>
      </c>
    </row>
    <row r="122" spans="1:19" x14ac:dyDescent="0.2">
      <c r="A122" s="2" t="s">
        <v>268</v>
      </c>
      <c r="B122" s="2" t="s">
        <v>54</v>
      </c>
      <c r="C122" s="2" t="s">
        <v>269</v>
      </c>
      <c r="D122" s="2" t="s">
        <v>42</v>
      </c>
      <c r="E122" s="2" t="str">
        <f t="shared" si="12"/>
        <v>1</v>
      </c>
      <c r="F122" s="2" t="s">
        <v>43</v>
      </c>
      <c r="G122" s="2" t="s">
        <v>1490</v>
      </c>
      <c r="H122" s="2">
        <f t="shared" si="13"/>
        <v>16</v>
      </c>
      <c r="I122" s="3" t="str">
        <f t="shared" si="14"/>
        <v>-</v>
      </c>
      <c r="J122" s="2" t="str">
        <f t="shared" si="15"/>
        <v>TRIBUTOS A COMPENSAR</v>
      </c>
      <c r="K122" s="2" t="s">
        <v>200</v>
      </c>
      <c r="S122" s="6" t="b">
        <f>C122='Plano de Contas sem ponto'!C122</f>
        <v>1</v>
      </c>
    </row>
    <row r="123" spans="1:19" x14ac:dyDescent="0.2">
      <c r="A123" s="2" t="s">
        <v>270</v>
      </c>
      <c r="B123" s="2" t="s">
        <v>54</v>
      </c>
      <c r="C123" s="2" t="s">
        <v>271</v>
      </c>
      <c r="D123" s="2" t="s">
        <v>42</v>
      </c>
      <c r="E123" s="2" t="str">
        <f t="shared" si="12"/>
        <v>1</v>
      </c>
      <c r="F123" s="2" t="s">
        <v>43</v>
      </c>
      <c r="G123" s="2" t="s">
        <v>1490</v>
      </c>
      <c r="H123" s="2">
        <f t="shared" si="13"/>
        <v>16</v>
      </c>
      <c r="I123" s="3" t="str">
        <f t="shared" si="14"/>
        <v>-</v>
      </c>
      <c r="J123" s="2" t="str">
        <f t="shared" si="15"/>
        <v>TRIBUTOS A COMPENSAR</v>
      </c>
      <c r="K123" s="2" t="s">
        <v>200</v>
      </c>
      <c r="S123" s="6" t="b">
        <f>C123='Plano de Contas sem ponto'!C123</f>
        <v>1</v>
      </c>
    </row>
    <row r="124" spans="1:19" x14ac:dyDescent="0.2">
      <c r="A124" s="2" t="s">
        <v>272</v>
      </c>
      <c r="B124" s="2" t="s">
        <v>54</v>
      </c>
      <c r="C124" s="2" t="s">
        <v>273</v>
      </c>
      <c r="D124" s="2" t="s">
        <v>42</v>
      </c>
      <c r="E124" s="2" t="str">
        <f t="shared" si="12"/>
        <v>1</v>
      </c>
      <c r="F124" s="2" t="s">
        <v>43</v>
      </c>
      <c r="G124" s="2" t="s">
        <v>1490</v>
      </c>
      <c r="H124" s="2">
        <f t="shared" si="13"/>
        <v>16</v>
      </c>
      <c r="I124" s="3" t="str">
        <f t="shared" si="14"/>
        <v>-</v>
      </c>
      <c r="J124" s="2" t="str">
        <f t="shared" si="15"/>
        <v>TRIBUTOS A COMPENSAR</v>
      </c>
      <c r="K124" s="2" t="s">
        <v>200</v>
      </c>
      <c r="S124" s="6" t="b">
        <f>C124='Plano de Contas sem ponto'!C124</f>
        <v>1</v>
      </c>
    </row>
    <row r="125" spans="1:19" x14ac:dyDescent="0.2">
      <c r="A125" s="2" t="s">
        <v>274</v>
      </c>
      <c r="B125" s="2" t="s">
        <v>54</v>
      </c>
      <c r="C125" s="2" t="s">
        <v>275</v>
      </c>
      <c r="D125" s="2" t="s">
        <v>42</v>
      </c>
      <c r="E125" s="2" t="str">
        <f t="shared" si="12"/>
        <v>1</v>
      </c>
      <c r="F125" s="2" t="s">
        <v>43</v>
      </c>
      <c r="G125" s="2" t="s">
        <v>1490</v>
      </c>
      <c r="H125" s="2">
        <f t="shared" si="13"/>
        <v>16</v>
      </c>
      <c r="I125" s="3" t="str">
        <f t="shared" si="14"/>
        <v>-</v>
      </c>
      <c r="J125" s="2" t="str">
        <f t="shared" si="15"/>
        <v>TRIBUTOS A COMPENSAR</v>
      </c>
      <c r="K125" s="2" t="s">
        <v>200</v>
      </c>
      <c r="S125" s="6" t="b">
        <f>C125='Plano de Contas sem ponto'!C125</f>
        <v>1</v>
      </c>
    </row>
    <row r="126" spans="1:19" x14ac:dyDescent="0.2">
      <c r="A126" s="2" t="s">
        <v>276</v>
      </c>
      <c r="B126" s="2" t="s">
        <v>54</v>
      </c>
      <c r="C126" s="2" t="s">
        <v>277</v>
      </c>
      <c r="D126" s="2" t="s">
        <v>42</v>
      </c>
      <c r="E126" s="2" t="str">
        <f t="shared" si="12"/>
        <v>1</v>
      </c>
      <c r="F126" s="2" t="s">
        <v>43</v>
      </c>
      <c r="G126" s="2" t="s">
        <v>1490</v>
      </c>
      <c r="H126" s="2">
        <f t="shared" si="13"/>
        <v>16</v>
      </c>
      <c r="I126" s="3" t="str">
        <f t="shared" si="14"/>
        <v>-</v>
      </c>
      <c r="J126" s="2" t="str">
        <f t="shared" si="15"/>
        <v>TRIBUTOS A COMPENSAR</v>
      </c>
      <c r="K126" s="2" t="s">
        <v>200</v>
      </c>
      <c r="S126" s="6" t="b">
        <f>C126='Plano de Contas sem ponto'!C126</f>
        <v>1</v>
      </c>
    </row>
    <row r="127" spans="1:19" x14ac:dyDescent="0.2">
      <c r="A127" s="1" t="s">
        <v>278</v>
      </c>
      <c r="B127" s="1" t="s">
        <v>40</v>
      </c>
      <c r="C127" s="1" t="s">
        <v>279</v>
      </c>
      <c r="D127" s="2" t="s">
        <v>42</v>
      </c>
      <c r="E127" s="2" t="str">
        <f t="shared" si="12"/>
        <v>1</v>
      </c>
      <c r="F127" s="2" t="s">
        <v>43</v>
      </c>
      <c r="G127" s="2" t="s">
        <v>1490</v>
      </c>
      <c r="H127" s="2">
        <f t="shared" si="13"/>
        <v>11</v>
      </c>
      <c r="I127" s="3" t="str">
        <f t="shared" si="14"/>
        <v>1.1.3.01.07</v>
      </c>
      <c r="J127" s="2" t="str">
        <f t="shared" si="15"/>
        <v>DEPOSITOS JUDICIAIS</v>
      </c>
      <c r="K127" s="2" t="s">
        <v>200</v>
      </c>
      <c r="S127" s="6" t="b">
        <f>C127='Plano de Contas sem ponto'!C127</f>
        <v>1</v>
      </c>
    </row>
    <row r="128" spans="1:19" x14ac:dyDescent="0.2">
      <c r="A128" s="2" t="s">
        <v>280</v>
      </c>
      <c r="B128" s="2" t="s">
        <v>54</v>
      </c>
      <c r="C128" s="2" t="s">
        <v>281</v>
      </c>
      <c r="D128" s="2" t="s">
        <v>42</v>
      </c>
      <c r="E128" s="2" t="str">
        <f t="shared" si="12"/>
        <v>1</v>
      </c>
      <c r="F128" s="2" t="s">
        <v>43</v>
      </c>
      <c r="G128" s="2" t="s">
        <v>1490</v>
      </c>
      <c r="H128" s="2">
        <f t="shared" si="13"/>
        <v>16</v>
      </c>
      <c r="I128" s="3" t="str">
        <f t="shared" si="14"/>
        <v>-</v>
      </c>
      <c r="J128" s="2" t="str">
        <f t="shared" si="15"/>
        <v>DEPOSITOS JUDICIAIS</v>
      </c>
      <c r="K128" s="2" t="s">
        <v>200</v>
      </c>
      <c r="S128" s="6" t="b">
        <f>C128='Plano de Contas sem ponto'!C128</f>
        <v>1</v>
      </c>
    </row>
    <row r="129" spans="1:19" x14ac:dyDescent="0.2">
      <c r="A129" s="2" t="s">
        <v>282</v>
      </c>
      <c r="B129" s="2" t="s">
        <v>54</v>
      </c>
      <c r="C129" s="2" t="s">
        <v>283</v>
      </c>
      <c r="D129" s="2" t="s">
        <v>42</v>
      </c>
      <c r="E129" s="2" t="str">
        <f t="shared" si="12"/>
        <v>1</v>
      </c>
      <c r="F129" s="2" t="s">
        <v>43</v>
      </c>
      <c r="G129" s="2" t="s">
        <v>1490</v>
      </c>
      <c r="H129" s="2">
        <f t="shared" si="13"/>
        <v>16</v>
      </c>
      <c r="I129" s="3" t="str">
        <f t="shared" si="14"/>
        <v>-</v>
      </c>
      <c r="J129" s="2" t="str">
        <f t="shared" si="15"/>
        <v>DEPOSITOS JUDICIAIS</v>
      </c>
      <c r="K129" s="2" t="s">
        <v>200</v>
      </c>
      <c r="S129" s="6" t="b">
        <f>C129='Plano de Contas sem ponto'!C129</f>
        <v>1</v>
      </c>
    </row>
    <row r="130" spans="1:19" x14ac:dyDescent="0.2">
      <c r="A130" s="1" t="s">
        <v>284</v>
      </c>
      <c r="B130" s="1" t="s">
        <v>40</v>
      </c>
      <c r="C130" s="1" t="s">
        <v>285</v>
      </c>
      <c r="D130" s="2" t="s">
        <v>42</v>
      </c>
      <c r="E130" s="2" t="str">
        <f t="shared" si="12"/>
        <v>1</v>
      </c>
      <c r="F130" s="2" t="s">
        <v>43</v>
      </c>
      <c r="G130" s="2" t="s">
        <v>1490</v>
      </c>
      <c r="H130" s="2">
        <f t="shared" si="13"/>
        <v>11</v>
      </c>
      <c r="I130" s="3" t="str">
        <f t="shared" ref="I130:I133" si="16">IF(H130=11,A130,"-")</f>
        <v>1.1.3.01.08</v>
      </c>
      <c r="J130" s="2" t="str">
        <f t="shared" si="15"/>
        <v xml:space="preserve">ANTECIPACAO DE ENCARGOS S/ 13 SALARIO </v>
      </c>
      <c r="K130" s="2" t="s">
        <v>200</v>
      </c>
      <c r="S130" s="6" t="b">
        <f>C130='Plano de Contas sem ponto'!C130</f>
        <v>1</v>
      </c>
    </row>
    <row r="131" spans="1:19" x14ac:dyDescent="0.2">
      <c r="A131" s="2" t="s">
        <v>286</v>
      </c>
      <c r="B131" s="2" t="s">
        <v>54</v>
      </c>
      <c r="C131" s="2" t="s">
        <v>287</v>
      </c>
      <c r="D131" s="2" t="s">
        <v>42</v>
      </c>
      <c r="E131" s="2" t="str">
        <f t="shared" si="12"/>
        <v>1</v>
      </c>
      <c r="F131" s="2" t="s">
        <v>43</v>
      </c>
      <c r="G131" s="2" t="s">
        <v>1490</v>
      </c>
      <c r="H131" s="2">
        <f t="shared" si="13"/>
        <v>16</v>
      </c>
      <c r="I131" s="3" t="str">
        <f t="shared" si="16"/>
        <v>-</v>
      </c>
      <c r="J131" s="2" t="str">
        <f t="shared" si="15"/>
        <v xml:space="preserve">ANTECIPACAO DE ENCARGOS S/ 13 SALARIO </v>
      </c>
      <c r="K131" s="2" t="s">
        <v>200</v>
      </c>
      <c r="S131" s="6" t="b">
        <f>C131='Plano de Contas sem ponto'!C131</f>
        <v>1</v>
      </c>
    </row>
    <row r="132" spans="1:19" x14ac:dyDescent="0.2">
      <c r="A132" s="2" t="s">
        <v>288</v>
      </c>
      <c r="B132" s="2" t="s">
        <v>54</v>
      </c>
      <c r="C132" s="2" t="s">
        <v>289</v>
      </c>
      <c r="D132" s="2" t="s">
        <v>42</v>
      </c>
      <c r="E132" s="2" t="str">
        <f t="shared" si="12"/>
        <v>1</v>
      </c>
      <c r="F132" s="2" t="s">
        <v>43</v>
      </c>
      <c r="G132" s="2" t="s">
        <v>1490</v>
      </c>
      <c r="H132" s="2">
        <f t="shared" si="13"/>
        <v>16</v>
      </c>
      <c r="I132" s="3" t="str">
        <f t="shared" si="16"/>
        <v>-</v>
      </c>
      <c r="J132" s="2" t="str">
        <f t="shared" si="15"/>
        <v xml:space="preserve">ANTECIPACAO DE ENCARGOS S/ 13 SALARIO </v>
      </c>
      <c r="K132" s="2" t="s">
        <v>200</v>
      </c>
      <c r="S132" s="6" t="b">
        <f>C132='Plano de Contas sem ponto'!C132</f>
        <v>1</v>
      </c>
    </row>
    <row r="133" spans="1:19" x14ac:dyDescent="0.2">
      <c r="A133" s="2" t="s">
        <v>290</v>
      </c>
      <c r="B133" s="2" t="s">
        <v>54</v>
      </c>
      <c r="C133" s="2" t="s">
        <v>291</v>
      </c>
      <c r="D133" s="2" t="s">
        <v>42</v>
      </c>
      <c r="E133" s="2" t="str">
        <f t="shared" si="12"/>
        <v>1</v>
      </c>
      <c r="F133" s="2" t="s">
        <v>43</v>
      </c>
      <c r="G133" s="2" t="s">
        <v>1490</v>
      </c>
      <c r="H133" s="2">
        <f t="shared" si="13"/>
        <v>16</v>
      </c>
      <c r="I133" s="3" t="str">
        <f t="shared" si="16"/>
        <v>-</v>
      </c>
      <c r="J133" s="2" t="str">
        <f t="shared" si="15"/>
        <v xml:space="preserve">ANTECIPACAO DE ENCARGOS S/ 13 SALARIO </v>
      </c>
      <c r="K133" s="2" t="s">
        <v>200</v>
      </c>
      <c r="S133" s="6" t="b">
        <f>C133='Plano de Contas sem ponto'!C133</f>
        <v>1</v>
      </c>
    </row>
    <row r="134" spans="1:19" x14ac:dyDescent="0.2">
      <c r="A134" s="15" t="s">
        <v>2852</v>
      </c>
      <c r="B134" s="15" t="s">
        <v>40</v>
      </c>
      <c r="C134" s="15" t="s">
        <v>2855</v>
      </c>
      <c r="D134" s="2" t="s">
        <v>42</v>
      </c>
      <c r="E134" s="2" t="str">
        <f t="shared" ref="E134:E138" si="17">LEFT(A134,1)</f>
        <v>1</v>
      </c>
      <c r="F134" s="2" t="s">
        <v>43</v>
      </c>
      <c r="G134" s="2" t="s">
        <v>1490</v>
      </c>
      <c r="H134" s="2">
        <f t="shared" ref="H134:H138" si="18">LEN(A134)</f>
        <v>11</v>
      </c>
      <c r="I134" s="3" t="str">
        <f t="shared" ref="I134:I138" si="19">IF(H134=11,A134,"-")</f>
        <v>1.1.3.01.09</v>
      </c>
      <c r="J134" s="2" t="str">
        <f t="shared" ref="J134:J138" si="20">IF(H134&lt;11,C134,IF(I134&lt;&gt;"-",C134,J133))</f>
        <v>ANTECIPACAO DE IMPOSTOS S/ INSCRICAO DE EVENTOS</v>
      </c>
      <c r="K134" s="2" t="s">
        <v>200</v>
      </c>
      <c r="S134" s="6" t="b">
        <f>C134='Plano de Contas sem ponto'!C134</f>
        <v>1</v>
      </c>
    </row>
    <row r="135" spans="1:19" x14ac:dyDescent="0.2">
      <c r="A135" s="12" t="s">
        <v>2853</v>
      </c>
      <c r="B135" s="12" t="s">
        <v>54</v>
      </c>
      <c r="C135" s="12" t="s">
        <v>2856</v>
      </c>
      <c r="D135" s="2" t="s">
        <v>42</v>
      </c>
      <c r="E135" s="2" t="str">
        <f t="shared" si="17"/>
        <v>1</v>
      </c>
      <c r="F135" s="2" t="s">
        <v>43</v>
      </c>
      <c r="G135" s="2" t="s">
        <v>1490</v>
      </c>
      <c r="H135" s="2">
        <f t="shared" si="18"/>
        <v>16</v>
      </c>
      <c r="I135" s="3" t="str">
        <f t="shared" si="19"/>
        <v>-</v>
      </c>
      <c r="J135" s="2" t="str">
        <f t="shared" si="20"/>
        <v>ANTECIPACAO DE IMPOSTOS S/ INSCRICAO DE EVENTOS</v>
      </c>
      <c r="K135" s="2" t="s">
        <v>200</v>
      </c>
      <c r="S135" s="6" t="b">
        <f>C135='Plano de Contas sem ponto'!C135</f>
        <v>1</v>
      </c>
    </row>
    <row r="136" spans="1:19" x14ac:dyDescent="0.2">
      <c r="A136" s="12" t="s">
        <v>2854</v>
      </c>
      <c r="B136" s="12" t="s">
        <v>54</v>
      </c>
      <c r="C136" s="12" t="s">
        <v>2857</v>
      </c>
      <c r="D136" s="2" t="s">
        <v>42</v>
      </c>
      <c r="E136" s="2" t="str">
        <f t="shared" si="17"/>
        <v>1</v>
      </c>
      <c r="F136" s="2" t="s">
        <v>43</v>
      </c>
      <c r="G136" s="2" t="s">
        <v>1490</v>
      </c>
      <c r="H136" s="2">
        <f t="shared" si="18"/>
        <v>16</v>
      </c>
      <c r="I136" s="3" t="str">
        <f t="shared" si="19"/>
        <v>-</v>
      </c>
      <c r="J136" s="2" t="str">
        <f t="shared" si="20"/>
        <v>ANTECIPACAO DE IMPOSTOS S/ INSCRICAO DE EVENTOS</v>
      </c>
      <c r="K136" s="2" t="s">
        <v>200</v>
      </c>
      <c r="S136" s="6" t="b">
        <f>C136='Plano de Contas sem ponto'!C136</f>
        <v>1</v>
      </c>
    </row>
    <row r="137" spans="1:19" x14ac:dyDescent="0.2">
      <c r="A137" s="12" t="s">
        <v>2864</v>
      </c>
      <c r="B137" s="12" t="s">
        <v>54</v>
      </c>
      <c r="C137" s="12" t="s">
        <v>2865</v>
      </c>
      <c r="D137" s="2" t="s">
        <v>42</v>
      </c>
      <c r="E137" s="2" t="str">
        <f t="shared" si="17"/>
        <v>1</v>
      </c>
      <c r="F137" s="2" t="s">
        <v>43</v>
      </c>
      <c r="G137" s="2" t="s">
        <v>1490</v>
      </c>
      <c r="H137" s="2">
        <f t="shared" si="18"/>
        <v>16</v>
      </c>
      <c r="I137" s="3" t="str">
        <f t="shared" si="19"/>
        <v>-</v>
      </c>
      <c r="J137" s="2" t="str">
        <f t="shared" si="20"/>
        <v>ANTECIPACAO DE IMPOSTOS S/ INSCRICAO DE EVENTOS</v>
      </c>
      <c r="K137" s="2" t="s">
        <v>200</v>
      </c>
      <c r="S137" s="6" t="b">
        <v>0</v>
      </c>
    </row>
    <row r="138" spans="1:19" x14ac:dyDescent="0.2">
      <c r="A138" s="12" t="s">
        <v>2866</v>
      </c>
      <c r="B138" s="12" t="s">
        <v>54</v>
      </c>
      <c r="C138" s="12" t="s">
        <v>2867</v>
      </c>
      <c r="D138" s="2" t="s">
        <v>42</v>
      </c>
      <c r="E138" s="2" t="str">
        <f t="shared" si="17"/>
        <v>1</v>
      </c>
      <c r="F138" s="2" t="s">
        <v>43</v>
      </c>
      <c r="G138" s="2" t="s">
        <v>1490</v>
      </c>
      <c r="H138" s="2">
        <f t="shared" si="18"/>
        <v>16</v>
      </c>
      <c r="I138" s="3" t="str">
        <f t="shared" si="19"/>
        <v>-</v>
      </c>
      <c r="J138" s="2" t="str">
        <f t="shared" si="20"/>
        <v>ANTECIPACAO DE IMPOSTOS S/ INSCRICAO DE EVENTOS</v>
      </c>
      <c r="K138" s="2" t="s">
        <v>200</v>
      </c>
      <c r="S138" s="6" t="b">
        <v>0</v>
      </c>
    </row>
    <row r="139" spans="1:19" x14ac:dyDescent="0.2">
      <c r="A139" s="1" t="s">
        <v>292</v>
      </c>
      <c r="B139" s="1" t="s">
        <v>40</v>
      </c>
      <c r="C139" s="1" t="s">
        <v>293</v>
      </c>
      <c r="D139" s="2" t="s">
        <v>42</v>
      </c>
      <c r="E139" s="2" t="str">
        <f>LEFT(A139,1)</f>
        <v>1</v>
      </c>
      <c r="F139" s="2" t="s">
        <v>43</v>
      </c>
      <c r="G139" s="2" t="s">
        <v>1490</v>
      </c>
      <c r="H139" s="2">
        <f>LEN(A139)</f>
        <v>5</v>
      </c>
      <c r="I139" s="3" t="str">
        <f t="shared" ref="I139:I202" si="21">IF(H139=11,A139,"-")</f>
        <v>-</v>
      </c>
      <c r="J139" s="2" t="str">
        <f>IF(H139&lt;11,C139,IF(I139&lt;&gt;"-",C139,J133))</f>
        <v>PARTES RELACIONADAS</v>
      </c>
      <c r="K139" s="2" t="s">
        <v>294</v>
      </c>
      <c r="L139" s="2" t="s">
        <v>294</v>
      </c>
      <c r="S139" s="6" t="b">
        <f>C139='Plano de Contas sem ponto'!C139</f>
        <v>1</v>
      </c>
    </row>
    <row r="140" spans="1:19" x14ac:dyDescent="0.2">
      <c r="A140" s="1" t="s">
        <v>295</v>
      </c>
      <c r="B140" s="1" t="s">
        <v>40</v>
      </c>
      <c r="C140" s="1" t="s">
        <v>293</v>
      </c>
      <c r="D140" s="2" t="s">
        <v>42</v>
      </c>
      <c r="E140" s="2" t="str">
        <f t="shared" ref="E140:E203" si="22">LEFT(A140,1)</f>
        <v>1</v>
      </c>
      <c r="F140" s="2" t="s">
        <v>43</v>
      </c>
      <c r="G140" s="2" t="s">
        <v>1490</v>
      </c>
      <c r="H140" s="2">
        <f t="shared" ref="H140:H203" si="23">LEN(A140)</f>
        <v>8</v>
      </c>
      <c r="I140" s="3" t="str">
        <f t="shared" si="21"/>
        <v>-</v>
      </c>
      <c r="J140" s="2" t="str">
        <f t="shared" ref="J140:J202" si="24">IF(H140&lt;11,C140,IF(I140&lt;&gt;"-",C140,J139))</f>
        <v>PARTES RELACIONADAS</v>
      </c>
      <c r="K140" s="2" t="s">
        <v>294</v>
      </c>
      <c r="L140" s="2" t="s">
        <v>294</v>
      </c>
      <c r="S140" s="6" t="b">
        <f>C140='Plano de Contas sem ponto'!C140</f>
        <v>1</v>
      </c>
    </row>
    <row r="141" spans="1:19" x14ac:dyDescent="0.2">
      <c r="A141" s="1" t="s">
        <v>296</v>
      </c>
      <c r="B141" s="1" t="s">
        <v>40</v>
      </c>
      <c r="C141" s="1" t="s">
        <v>293</v>
      </c>
      <c r="D141" s="2" t="s">
        <v>42</v>
      </c>
      <c r="E141" s="2" t="str">
        <f t="shared" si="22"/>
        <v>1</v>
      </c>
      <c r="F141" s="2" t="s">
        <v>43</v>
      </c>
      <c r="G141" s="2" t="s">
        <v>1490</v>
      </c>
      <c r="H141" s="2">
        <f t="shared" si="23"/>
        <v>11</v>
      </c>
      <c r="I141" s="3" t="str">
        <f t="shared" si="21"/>
        <v>1.1.4.01.01</v>
      </c>
      <c r="J141" s="2" t="str">
        <f t="shared" si="24"/>
        <v>PARTES RELACIONADAS</v>
      </c>
      <c r="K141" s="2" t="s">
        <v>294</v>
      </c>
      <c r="L141" s="2" t="s">
        <v>294</v>
      </c>
      <c r="S141" s="6" t="b">
        <f>C141='Plano de Contas sem ponto'!C141</f>
        <v>1</v>
      </c>
    </row>
    <row r="142" spans="1:19" x14ac:dyDescent="0.2">
      <c r="A142" s="2" t="s">
        <v>297</v>
      </c>
      <c r="B142" s="2" t="s">
        <v>54</v>
      </c>
      <c r="C142" s="2" t="s">
        <v>293</v>
      </c>
      <c r="D142" s="2" t="s">
        <v>42</v>
      </c>
      <c r="E142" s="2" t="str">
        <f t="shared" si="22"/>
        <v>1</v>
      </c>
      <c r="F142" s="2" t="s">
        <v>43</v>
      </c>
      <c r="G142" s="2" t="s">
        <v>1490</v>
      </c>
      <c r="H142" s="2">
        <f t="shared" si="23"/>
        <v>16</v>
      </c>
      <c r="I142" s="3" t="str">
        <f t="shared" si="21"/>
        <v>-</v>
      </c>
      <c r="J142" s="2" t="str">
        <f t="shared" si="24"/>
        <v>PARTES RELACIONADAS</v>
      </c>
      <c r="K142" s="2" t="s">
        <v>294</v>
      </c>
      <c r="L142" s="2" t="s">
        <v>294</v>
      </c>
      <c r="S142" s="6" t="b">
        <f>C142='Plano de Contas sem ponto'!C142</f>
        <v>1</v>
      </c>
    </row>
    <row r="143" spans="1:19" x14ac:dyDescent="0.2">
      <c r="A143" s="1" t="s">
        <v>298</v>
      </c>
      <c r="B143" s="1" t="s">
        <v>40</v>
      </c>
      <c r="C143" s="1" t="s">
        <v>299</v>
      </c>
      <c r="D143" s="2" t="s">
        <v>42</v>
      </c>
      <c r="E143" s="2" t="str">
        <f t="shared" si="22"/>
        <v>1</v>
      </c>
      <c r="F143" s="2" t="s">
        <v>43</v>
      </c>
      <c r="G143" s="2" t="s">
        <v>1490</v>
      </c>
      <c r="H143" s="2">
        <f t="shared" si="23"/>
        <v>5</v>
      </c>
      <c r="I143" s="3" t="str">
        <f t="shared" si="21"/>
        <v>-</v>
      </c>
      <c r="J143" s="2" t="str">
        <f t="shared" si="24"/>
        <v>ALMOXARIFADO</v>
      </c>
      <c r="K143" s="2" t="s">
        <v>200</v>
      </c>
      <c r="S143" s="6" t="b">
        <f>C143='Plano de Contas sem ponto'!C143</f>
        <v>1</v>
      </c>
    </row>
    <row r="144" spans="1:19" x14ac:dyDescent="0.2">
      <c r="A144" s="1" t="s">
        <v>300</v>
      </c>
      <c r="B144" s="1" t="s">
        <v>40</v>
      </c>
      <c r="C144" s="1" t="s">
        <v>299</v>
      </c>
      <c r="D144" s="2" t="s">
        <v>42</v>
      </c>
      <c r="E144" s="2" t="str">
        <f t="shared" si="22"/>
        <v>1</v>
      </c>
      <c r="F144" s="2" t="s">
        <v>43</v>
      </c>
      <c r="G144" s="2" t="s">
        <v>1490</v>
      </c>
      <c r="H144" s="2">
        <f t="shared" si="23"/>
        <v>8</v>
      </c>
      <c r="I144" s="3" t="str">
        <f t="shared" si="21"/>
        <v>-</v>
      </c>
      <c r="J144" s="2" t="str">
        <f t="shared" si="24"/>
        <v>ALMOXARIFADO</v>
      </c>
      <c r="K144" s="2" t="s">
        <v>200</v>
      </c>
      <c r="S144" s="6" t="b">
        <f>C144='Plano de Contas sem ponto'!C144</f>
        <v>1</v>
      </c>
    </row>
    <row r="145" spans="1:19" x14ac:dyDescent="0.2">
      <c r="A145" s="1" t="s">
        <v>301</v>
      </c>
      <c r="B145" s="1" t="s">
        <v>40</v>
      </c>
      <c r="C145" s="1" t="s">
        <v>302</v>
      </c>
      <c r="D145" s="2" t="s">
        <v>42</v>
      </c>
      <c r="E145" s="2" t="str">
        <f t="shared" si="22"/>
        <v>1</v>
      </c>
      <c r="F145" s="2" t="s">
        <v>43</v>
      </c>
      <c r="G145" s="2" t="s">
        <v>1490</v>
      </c>
      <c r="H145" s="2">
        <f t="shared" si="23"/>
        <v>11</v>
      </c>
      <c r="I145" s="3" t="str">
        <f t="shared" si="21"/>
        <v>1.1.5.01.01</v>
      </c>
      <c r="J145" s="2" t="str">
        <f t="shared" si="24"/>
        <v>MATERIAIS DIVERSOS</v>
      </c>
      <c r="K145" s="2" t="s">
        <v>200</v>
      </c>
      <c r="S145" s="6" t="b">
        <f>C145='Plano de Contas sem ponto'!C145</f>
        <v>1</v>
      </c>
    </row>
    <row r="146" spans="1:19" x14ac:dyDescent="0.2">
      <c r="A146" s="2" t="s">
        <v>303</v>
      </c>
      <c r="B146" s="2" t="s">
        <v>54</v>
      </c>
      <c r="C146" s="2" t="s">
        <v>304</v>
      </c>
      <c r="D146" s="2" t="s">
        <v>42</v>
      </c>
      <c r="E146" s="2" t="str">
        <f t="shared" si="22"/>
        <v>1</v>
      </c>
      <c r="F146" s="2" t="s">
        <v>43</v>
      </c>
      <c r="G146" s="2" t="s">
        <v>1490</v>
      </c>
      <c r="H146" s="2">
        <f t="shared" si="23"/>
        <v>16</v>
      </c>
      <c r="I146" s="3" t="str">
        <f t="shared" si="21"/>
        <v>-</v>
      </c>
      <c r="J146" s="2" t="str">
        <f t="shared" si="24"/>
        <v>MATERIAIS DIVERSOS</v>
      </c>
      <c r="K146" s="2" t="s">
        <v>200</v>
      </c>
      <c r="S146" s="6" t="b">
        <f>C146='Plano de Contas sem ponto'!C146</f>
        <v>1</v>
      </c>
    </row>
    <row r="147" spans="1:19" x14ac:dyDescent="0.2">
      <c r="A147" s="2" t="s">
        <v>305</v>
      </c>
      <c r="B147" s="2" t="s">
        <v>54</v>
      </c>
      <c r="C147" s="2" t="s">
        <v>306</v>
      </c>
      <c r="D147" s="2" t="s">
        <v>42</v>
      </c>
      <c r="E147" s="2" t="str">
        <f t="shared" si="22"/>
        <v>1</v>
      </c>
      <c r="F147" s="2" t="s">
        <v>43</v>
      </c>
      <c r="G147" s="2" t="s">
        <v>1490</v>
      </c>
      <c r="H147" s="2">
        <f t="shared" si="23"/>
        <v>16</v>
      </c>
      <c r="I147" s="3" t="str">
        <f t="shared" si="21"/>
        <v>-</v>
      </c>
      <c r="J147" s="2" t="str">
        <f t="shared" si="24"/>
        <v>MATERIAIS DIVERSOS</v>
      </c>
      <c r="K147" s="2" t="s">
        <v>200</v>
      </c>
      <c r="S147" s="6" t="b">
        <f>C147='Plano de Contas sem ponto'!C147</f>
        <v>1</v>
      </c>
    </row>
    <row r="148" spans="1:19" x14ac:dyDescent="0.2">
      <c r="A148" s="2" t="s">
        <v>307</v>
      </c>
      <c r="B148" s="2" t="s">
        <v>54</v>
      </c>
      <c r="C148" s="2" t="s">
        <v>308</v>
      </c>
      <c r="D148" s="2" t="s">
        <v>42</v>
      </c>
      <c r="E148" s="2" t="str">
        <f t="shared" si="22"/>
        <v>1</v>
      </c>
      <c r="F148" s="2" t="s">
        <v>43</v>
      </c>
      <c r="G148" s="2" t="s">
        <v>1490</v>
      </c>
      <c r="H148" s="2">
        <f t="shared" si="23"/>
        <v>16</v>
      </c>
      <c r="I148" s="3" t="str">
        <f t="shared" si="21"/>
        <v>-</v>
      </c>
      <c r="J148" s="2" t="str">
        <f t="shared" si="24"/>
        <v>MATERIAIS DIVERSOS</v>
      </c>
      <c r="K148" s="2" t="s">
        <v>200</v>
      </c>
      <c r="S148" s="6" t="b">
        <f>C148='Plano de Contas sem ponto'!C148</f>
        <v>1</v>
      </c>
    </row>
    <row r="149" spans="1:19" x14ac:dyDescent="0.2">
      <c r="A149" s="2" t="s">
        <v>309</v>
      </c>
      <c r="B149" s="2" t="s">
        <v>54</v>
      </c>
      <c r="C149" s="2" t="s">
        <v>310</v>
      </c>
      <c r="D149" s="2" t="s">
        <v>42</v>
      </c>
      <c r="E149" s="2" t="str">
        <f t="shared" si="22"/>
        <v>1</v>
      </c>
      <c r="F149" s="2" t="s">
        <v>43</v>
      </c>
      <c r="G149" s="2" t="s">
        <v>1490</v>
      </c>
      <c r="H149" s="2">
        <f t="shared" si="23"/>
        <v>16</v>
      </c>
      <c r="I149" s="3" t="str">
        <f t="shared" si="21"/>
        <v>-</v>
      </c>
      <c r="J149" s="2" t="str">
        <f t="shared" si="24"/>
        <v>MATERIAIS DIVERSOS</v>
      </c>
      <c r="K149" s="2" t="s">
        <v>200</v>
      </c>
      <c r="S149" s="6" t="b">
        <f>C149='Plano de Contas sem ponto'!C149</f>
        <v>1</v>
      </c>
    </row>
    <row r="150" spans="1:19" x14ac:dyDescent="0.2">
      <c r="A150" s="2" t="s">
        <v>311</v>
      </c>
      <c r="B150" s="2" t="s">
        <v>54</v>
      </c>
      <c r="C150" s="2" t="s">
        <v>312</v>
      </c>
      <c r="D150" s="2" t="s">
        <v>42</v>
      </c>
      <c r="E150" s="2" t="str">
        <f t="shared" si="22"/>
        <v>1</v>
      </c>
      <c r="F150" s="2" t="s">
        <v>43</v>
      </c>
      <c r="G150" s="2" t="s">
        <v>1490</v>
      </c>
      <c r="H150" s="2">
        <f t="shared" si="23"/>
        <v>16</v>
      </c>
      <c r="I150" s="3" t="str">
        <f t="shared" si="21"/>
        <v>-</v>
      </c>
      <c r="J150" s="2" t="str">
        <f t="shared" si="24"/>
        <v>MATERIAIS DIVERSOS</v>
      </c>
      <c r="K150" s="2" t="s">
        <v>200</v>
      </c>
      <c r="S150" s="6" t="b">
        <f>C150='Plano de Contas sem ponto'!C150</f>
        <v>1</v>
      </c>
    </row>
    <row r="151" spans="1:19" x14ac:dyDescent="0.2">
      <c r="A151" s="2" t="s">
        <v>313</v>
      </c>
      <c r="B151" s="2" t="s">
        <v>54</v>
      </c>
      <c r="C151" s="2" t="s">
        <v>314</v>
      </c>
      <c r="D151" s="2" t="s">
        <v>42</v>
      </c>
      <c r="E151" s="2" t="str">
        <f t="shared" si="22"/>
        <v>1</v>
      </c>
      <c r="F151" s="2" t="s">
        <v>43</v>
      </c>
      <c r="G151" s="2" t="s">
        <v>1490</v>
      </c>
      <c r="H151" s="2">
        <f t="shared" si="23"/>
        <v>16</v>
      </c>
      <c r="I151" s="3" t="str">
        <f t="shared" si="21"/>
        <v>-</v>
      </c>
      <c r="J151" s="2" t="str">
        <f t="shared" si="24"/>
        <v>MATERIAIS DIVERSOS</v>
      </c>
      <c r="K151" s="2" t="s">
        <v>200</v>
      </c>
      <c r="S151" s="6" t="b">
        <f>C151='Plano de Contas sem ponto'!C151</f>
        <v>1</v>
      </c>
    </row>
    <row r="152" spans="1:19" x14ac:dyDescent="0.2">
      <c r="A152" s="1" t="s">
        <v>315</v>
      </c>
      <c r="B152" s="1" t="s">
        <v>40</v>
      </c>
      <c r="C152" s="1" t="s">
        <v>316</v>
      </c>
      <c r="D152" s="2" t="s">
        <v>42</v>
      </c>
      <c r="E152" s="2" t="str">
        <f t="shared" si="22"/>
        <v>1</v>
      </c>
      <c r="F152" s="2" t="s">
        <v>43</v>
      </c>
      <c r="G152" s="2" t="s">
        <v>1490</v>
      </c>
      <c r="H152" s="2">
        <f t="shared" si="23"/>
        <v>5</v>
      </c>
      <c r="I152" s="3" t="str">
        <f t="shared" si="21"/>
        <v>-</v>
      </c>
      <c r="J152" s="2" t="str">
        <f t="shared" si="24"/>
        <v>DESPESAS ANTECIPADAS</v>
      </c>
      <c r="K152" s="2" t="s">
        <v>200</v>
      </c>
      <c r="S152" s="6" t="b">
        <f>C152='Plano de Contas sem ponto'!C152</f>
        <v>1</v>
      </c>
    </row>
    <row r="153" spans="1:19" x14ac:dyDescent="0.2">
      <c r="A153" s="1" t="s">
        <v>317</v>
      </c>
      <c r="B153" s="1" t="s">
        <v>40</v>
      </c>
      <c r="C153" s="1" t="s">
        <v>316</v>
      </c>
      <c r="D153" s="2" t="s">
        <v>42</v>
      </c>
      <c r="E153" s="2" t="str">
        <f t="shared" si="22"/>
        <v>1</v>
      </c>
      <c r="F153" s="2" t="s">
        <v>43</v>
      </c>
      <c r="G153" s="2" t="s">
        <v>1490</v>
      </c>
      <c r="H153" s="2">
        <f t="shared" si="23"/>
        <v>8</v>
      </c>
      <c r="I153" s="3" t="str">
        <f t="shared" si="21"/>
        <v>-</v>
      </c>
      <c r="J153" s="2" t="str">
        <f t="shared" si="24"/>
        <v>DESPESAS ANTECIPADAS</v>
      </c>
      <c r="K153" s="2" t="s">
        <v>200</v>
      </c>
      <c r="S153" s="6" t="b">
        <f>C153='Plano de Contas sem ponto'!C153</f>
        <v>1</v>
      </c>
    </row>
    <row r="154" spans="1:19" x14ac:dyDescent="0.2">
      <c r="A154" s="1" t="s">
        <v>318</v>
      </c>
      <c r="B154" s="1" t="s">
        <v>40</v>
      </c>
      <c r="C154" s="1" t="s">
        <v>319</v>
      </c>
      <c r="D154" s="2" t="s">
        <v>42</v>
      </c>
      <c r="E154" s="2" t="str">
        <f t="shared" si="22"/>
        <v>1</v>
      </c>
      <c r="F154" s="2" t="s">
        <v>43</v>
      </c>
      <c r="G154" s="2" t="s">
        <v>1490</v>
      </c>
      <c r="H154" s="2">
        <f t="shared" si="23"/>
        <v>11</v>
      </c>
      <c r="I154" s="3" t="str">
        <f t="shared" si="21"/>
        <v>1.1.6.01.01</v>
      </c>
      <c r="J154" s="2" t="str">
        <f t="shared" si="24"/>
        <v>DESPESAS ADMINISTRATIVAS ANTECIPADAS</v>
      </c>
      <c r="K154" s="2" t="s">
        <v>200</v>
      </c>
      <c r="S154" s="6" t="b">
        <f>C154='Plano de Contas sem ponto'!C154</f>
        <v>1</v>
      </c>
    </row>
    <row r="155" spans="1:19" x14ac:dyDescent="0.2">
      <c r="A155" s="2" t="s">
        <v>320</v>
      </c>
      <c r="B155" s="2" t="s">
        <v>54</v>
      </c>
      <c r="C155" s="2" t="s">
        <v>321</v>
      </c>
      <c r="D155" s="2" t="s">
        <v>42</v>
      </c>
      <c r="E155" s="2" t="str">
        <f t="shared" si="22"/>
        <v>1</v>
      </c>
      <c r="F155" s="2" t="s">
        <v>43</v>
      </c>
      <c r="G155" s="2" t="s">
        <v>1490</v>
      </c>
      <c r="H155" s="2">
        <f t="shared" si="23"/>
        <v>16</v>
      </c>
      <c r="I155" s="3" t="str">
        <f t="shared" si="21"/>
        <v>-</v>
      </c>
      <c r="J155" s="2" t="str">
        <f t="shared" si="24"/>
        <v>DESPESAS ADMINISTRATIVAS ANTECIPADAS</v>
      </c>
      <c r="K155" s="2" t="s">
        <v>200</v>
      </c>
      <c r="S155" s="6" t="b">
        <f>C155='Plano de Contas sem ponto'!C155</f>
        <v>1</v>
      </c>
    </row>
    <row r="156" spans="1:19" x14ac:dyDescent="0.2">
      <c r="A156" s="2" t="s">
        <v>322</v>
      </c>
      <c r="B156" s="2" t="s">
        <v>54</v>
      </c>
      <c r="C156" s="2" t="s">
        <v>323</v>
      </c>
      <c r="D156" s="2" t="s">
        <v>42</v>
      </c>
      <c r="E156" s="2" t="str">
        <f t="shared" si="22"/>
        <v>1</v>
      </c>
      <c r="F156" s="2" t="s">
        <v>43</v>
      </c>
      <c r="G156" s="2" t="s">
        <v>1490</v>
      </c>
      <c r="H156" s="2">
        <f t="shared" si="23"/>
        <v>16</v>
      </c>
      <c r="I156" s="3" t="str">
        <f t="shared" si="21"/>
        <v>-</v>
      </c>
      <c r="J156" s="2" t="str">
        <f t="shared" si="24"/>
        <v>DESPESAS ADMINISTRATIVAS ANTECIPADAS</v>
      </c>
      <c r="K156" s="2" t="s">
        <v>200</v>
      </c>
      <c r="S156" s="6" t="b">
        <f>C156='Plano de Contas sem ponto'!C156</f>
        <v>1</v>
      </c>
    </row>
    <row r="157" spans="1:19" x14ac:dyDescent="0.2">
      <c r="A157" s="2" t="s">
        <v>324</v>
      </c>
      <c r="B157" s="2" t="s">
        <v>54</v>
      </c>
      <c r="C157" s="2" t="s">
        <v>325</v>
      </c>
      <c r="D157" s="2" t="s">
        <v>42</v>
      </c>
      <c r="E157" s="2" t="str">
        <f t="shared" si="22"/>
        <v>1</v>
      </c>
      <c r="F157" s="2" t="s">
        <v>43</v>
      </c>
      <c r="G157" s="2" t="s">
        <v>1490</v>
      </c>
      <c r="H157" s="2">
        <f t="shared" si="23"/>
        <v>16</v>
      </c>
      <c r="I157" s="3" t="str">
        <f t="shared" si="21"/>
        <v>-</v>
      </c>
      <c r="J157" s="2" t="str">
        <f t="shared" si="24"/>
        <v>DESPESAS ADMINISTRATIVAS ANTECIPADAS</v>
      </c>
      <c r="K157" s="2" t="s">
        <v>200</v>
      </c>
      <c r="S157" s="6" t="b">
        <f>C157='Plano de Contas sem ponto'!C157</f>
        <v>1</v>
      </c>
    </row>
    <row r="158" spans="1:19" x14ac:dyDescent="0.2">
      <c r="A158" s="2" t="s">
        <v>326</v>
      </c>
      <c r="B158" s="2" t="s">
        <v>54</v>
      </c>
      <c r="C158" s="2" t="s">
        <v>319</v>
      </c>
      <c r="D158" s="2" t="s">
        <v>42</v>
      </c>
      <c r="E158" s="2" t="str">
        <f t="shared" si="22"/>
        <v>1</v>
      </c>
      <c r="F158" s="2" t="s">
        <v>43</v>
      </c>
      <c r="G158" s="2" t="s">
        <v>1490</v>
      </c>
      <c r="H158" s="2">
        <f t="shared" si="23"/>
        <v>16</v>
      </c>
      <c r="I158" s="3" t="str">
        <f t="shared" si="21"/>
        <v>-</v>
      </c>
      <c r="J158" s="2" t="str">
        <f t="shared" si="24"/>
        <v>DESPESAS ADMINISTRATIVAS ANTECIPADAS</v>
      </c>
      <c r="K158" s="2" t="s">
        <v>200</v>
      </c>
      <c r="S158" s="6" t="b">
        <f>C158='Plano de Contas sem ponto'!C158</f>
        <v>1</v>
      </c>
    </row>
    <row r="159" spans="1:19" x14ac:dyDescent="0.2">
      <c r="A159" s="1" t="s">
        <v>327</v>
      </c>
      <c r="B159" s="1" t="s">
        <v>40</v>
      </c>
      <c r="C159" s="1" t="s">
        <v>328</v>
      </c>
      <c r="D159" s="2" t="s">
        <v>42</v>
      </c>
      <c r="E159" s="2" t="str">
        <f t="shared" si="22"/>
        <v>1</v>
      </c>
      <c r="F159" s="2" t="s">
        <v>43</v>
      </c>
      <c r="G159" s="2" t="s">
        <v>1490</v>
      </c>
      <c r="H159" s="2">
        <f t="shared" si="23"/>
        <v>5</v>
      </c>
      <c r="I159" s="3" t="str">
        <f t="shared" si="21"/>
        <v>-</v>
      </c>
      <c r="J159" s="2" t="str">
        <f t="shared" si="24"/>
        <v>DESPESAS DO EXERCICIO SEGUINTE</v>
      </c>
      <c r="K159" s="2" t="s">
        <v>200</v>
      </c>
      <c r="S159" s="6" t="b">
        <f>C159='Plano de Contas sem ponto'!C159</f>
        <v>1</v>
      </c>
    </row>
    <row r="160" spans="1:19" x14ac:dyDescent="0.2">
      <c r="A160" s="1" t="s">
        <v>329</v>
      </c>
      <c r="B160" s="1" t="s">
        <v>40</v>
      </c>
      <c r="C160" s="1" t="s">
        <v>330</v>
      </c>
      <c r="D160" s="2" t="s">
        <v>42</v>
      </c>
      <c r="E160" s="2" t="str">
        <f t="shared" si="22"/>
        <v>1</v>
      </c>
      <c r="F160" s="2" t="s">
        <v>43</v>
      </c>
      <c r="G160" s="2" t="s">
        <v>1490</v>
      </c>
      <c r="H160" s="2">
        <f t="shared" si="23"/>
        <v>8</v>
      </c>
      <c r="I160" s="3" t="str">
        <f t="shared" si="21"/>
        <v>-</v>
      </c>
      <c r="J160" s="2" t="str">
        <f t="shared" si="24"/>
        <v>VALORES A APROPRIAR</v>
      </c>
      <c r="K160" s="2" t="s">
        <v>200</v>
      </c>
      <c r="S160" s="6" t="b">
        <f>C160='Plano de Contas sem ponto'!C160</f>
        <v>1</v>
      </c>
    </row>
    <row r="161" spans="1:19" x14ac:dyDescent="0.2">
      <c r="A161" s="1" t="s">
        <v>331</v>
      </c>
      <c r="B161" s="1" t="s">
        <v>40</v>
      </c>
      <c r="C161" s="1" t="s">
        <v>330</v>
      </c>
      <c r="D161" s="2" t="s">
        <v>42</v>
      </c>
      <c r="E161" s="2" t="str">
        <f t="shared" si="22"/>
        <v>1</v>
      </c>
      <c r="F161" s="2" t="s">
        <v>43</v>
      </c>
      <c r="G161" s="2" t="s">
        <v>1490</v>
      </c>
      <c r="H161" s="2">
        <f t="shared" si="23"/>
        <v>11</v>
      </c>
      <c r="I161" s="3" t="str">
        <f t="shared" si="21"/>
        <v>1.1.7.01.01</v>
      </c>
      <c r="J161" s="2" t="str">
        <f t="shared" si="24"/>
        <v>VALORES A APROPRIAR</v>
      </c>
      <c r="K161" s="2" t="s">
        <v>200</v>
      </c>
      <c r="S161" s="6" t="b">
        <f>C161='Plano de Contas sem ponto'!C161</f>
        <v>1</v>
      </c>
    </row>
    <row r="162" spans="1:19" x14ac:dyDescent="0.2">
      <c r="A162" s="2" t="s">
        <v>332</v>
      </c>
      <c r="B162" s="2" t="s">
        <v>54</v>
      </c>
      <c r="C162" s="2" t="s">
        <v>333</v>
      </c>
      <c r="D162" s="2" t="s">
        <v>42</v>
      </c>
      <c r="E162" s="2" t="str">
        <f t="shared" si="22"/>
        <v>1</v>
      </c>
      <c r="F162" s="2" t="s">
        <v>43</v>
      </c>
      <c r="G162" s="2" t="s">
        <v>1490</v>
      </c>
      <c r="H162" s="2">
        <f t="shared" si="23"/>
        <v>16</v>
      </c>
      <c r="I162" s="3" t="str">
        <f t="shared" si="21"/>
        <v>-</v>
      </c>
      <c r="J162" s="2" t="str">
        <f t="shared" si="24"/>
        <v>VALORES A APROPRIAR</v>
      </c>
      <c r="K162" s="2" t="s">
        <v>200</v>
      </c>
      <c r="S162" s="6" t="b">
        <f>C162='Plano de Contas sem ponto'!C162</f>
        <v>1</v>
      </c>
    </row>
    <row r="163" spans="1:19" x14ac:dyDescent="0.2">
      <c r="A163" s="1" t="s">
        <v>334</v>
      </c>
      <c r="B163" s="1" t="s">
        <v>40</v>
      </c>
      <c r="C163" s="1" t="s">
        <v>335</v>
      </c>
      <c r="D163" s="2" t="s">
        <v>42</v>
      </c>
      <c r="E163" s="2" t="str">
        <f t="shared" si="22"/>
        <v>1</v>
      </c>
      <c r="F163" s="2" t="s">
        <v>43</v>
      </c>
      <c r="G163" s="2" t="s">
        <v>1491</v>
      </c>
      <c r="H163" s="2">
        <f t="shared" si="23"/>
        <v>3</v>
      </c>
      <c r="I163" s="3" t="str">
        <f t="shared" si="21"/>
        <v>-</v>
      </c>
      <c r="J163" s="2" t="str">
        <f t="shared" si="24"/>
        <v>ATIVO NAO CIRCULANTE</v>
      </c>
      <c r="K163" s="2" t="s">
        <v>200</v>
      </c>
      <c r="S163" s="6" t="b">
        <f>C163='Plano de Contas sem ponto'!C163</f>
        <v>1</v>
      </c>
    </row>
    <row r="164" spans="1:19" x14ac:dyDescent="0.2">
      <c r="A164" s="1" t="s">
        <v>336</v>
      </c>
      <c r="B164" s="1" t="s">
        <v>40</v>
      </c>
      <c r="C164" s="1" t="s">
        <v>337</v>
      </c>
      <c r="D164" s="2" t="s">
        <v>42</v>
      </c>
      <c r="E164" s="2" t="str">
        <f t="shared" si="22"/>
        <v>1</v>
      </c>
      <c r="F164" s="2" t="s">
        <v>43</v>
      </c>
      <c r="G164" s="2" t="s">
        <v>1491</v>
      </c>
      <c r="H164" s="2">
        <f t="shared" si="23"/>
        <v>5</v>
      </c>
      <c r="I164" s="3" t="str">
        <f t="shared" si="21"/>
        <v>-</v>
      </c>
      <c r="J164" s="2" t="str">
        <f t="shared" si="24"/>
        <v>ATIVO REALIZAVEL A LONGO PRAZO</v>
      </c>
      <c r="K164" s="2" t="s">
        <v>200</v>
      </c>
      <c r="S164" s="6" t="b">
        <f>C164='Plano de Contas sem ponto'!C164</f>
        <v>1</v>
      </c>
    </row>
    <row r="165" spans="1:19" x14ac:dyDescent="0.2">
      <c r="A165" s="1" t="s">
        <v>338</v>
      </c>
      <c r="B165" s="1" t="s">
        <v>40</v>
      </c>
      <c r="C165" s="1" t="s">
        <v>339</v>
      </c>
      <c r="D165" s="2" t="s">
        <v>42</v>
      </c>
      <c r="E165" s="2" t="str">
        <f t="shared" si="22"/>
        <v>1</v>
      </c>
      <c r="F165" s="2" t="s">
        <v>43</v>
      </c>
      <c r="G165" s="2" t="s">
        <v>1491</v>
      </c>
      <c r="H165" s="2">
        <f t="shared" si="23"/>
        <v>8</v>
      </c>
      <c r="I165" s="3" t="str">
        <f t="shared" si="21"/>
        <v>-</v>
      </c>
      <c r="J165" s="2" t="str">
        <f t="shared" si="24"/>
        <v>CREDITOS E VALORES</v>
      </c>
      <c r="K165" s="2" t="s">
        <v>200</v>
      </c>
      <c r="S165" s="6" t="b">
        <f>C165='Plano de Contas sem ponto'!C165</f>
        <v>1</v>
      </c>
    </row>
    <row r="166" spans="1:19" x14ac:dyDescent="0.2">
      <c r="A166" s="1" t="s">
        <v>340</v>
      </c>
      <c r="B166" s="1" t="s">
        <v>40</v>
      </c>
      <c r="C166" s="1" t="s">
        <v>341</v>
      </c>
      <c r="D166" s="2" t="s">
        <v>42</v>
      </c>
      <c r="E166" s="2" t="str">
        <f t="shared" si="22"/>
        <v>1</v>
      </c>
      <c r="F166" s="2" t="s">
        <v>43</v>
      </c>
      <c r="G166" s="2" t="s">
        <v>1491</v>
      </c>
      <c r="H166" s="2">
        <f t="shared" si="23"/>
        <v>11</v>
      </c>
      <c r="I166" s="3" t="str">
        <f t="shared" si="21"/>
        <v>1.2.1.01.01</v>
      </c>
      <c r="J166" s="2" t="str">
        <f t="shared" si="24"/>
        <v>DIREITOS CREDITORIOS</v>
      </c>
      <c r="K166" s="6" t="s">
        <v>1604</v>
      </c>
      <c r="L166" s="6" t="s">
        <v>1604</v>
      </c>
      <c r="S166" s="6" t="b">
        <f>C166='Plano de Contas sem ponto'!C166</f>
        <v>1</v>
      </c>
    </row>
    <row r="167" spans="1:19" x14ac:dyDescent="0.2">
      <c r="A167" s="2" t="s">
        <v>342</v>
      </c>
      <c r="B167" s="2" t="s">
        <v>54</v>
      </c>
      <c r="C167" s="2" t="s">
        <v>343</v>
      </c>
      <c r="D167" s="2" t="s">
        <v>42</v>
      </c>
      <c r="E167" s="2" t="str">
        <f t="shared" si="22"/>
        <v>1</v>
      </c>
      <c r="F167" s="2" t="s">
        <v>43</v>
      </c>
      <c r="G167" s="2" t="s">
        <v>1491</v>
      </c>
      <c r="H167" s="2">
        <f t="shared" si="23"/>
        <v>16</v>
      </c>
      <c r="I167" s="3" t="str">
        <f t="shared" si="21"/>
        <v>-</v>
      </c>
      <c r="J167" s="2" t="str">
        <f t="shared" si="24"/>
        <v>DIREITOS CREDITORIOS</v>
      </c>
      <c r="K167" s="6" t="s">
        <v>1604</v>
      </c>
      <c r="L167" s="6" t="s">
        <v>1604</v>
      </c>
      <c r="S167" s="6" t="b">
        <f>C167='Plano de Contas sem ponto'!C167</f>
        <v>1</v>
      </c>
    </row>
    <row r="168" spans="1:19" x14ac:dyDescent="0.2">
      <c r="A168" s="2" t="s">
        <v>344</v>
      </c>
      <c r="B168" s="2" t="s">
        <v>54</v>
      </c>
      <c r="C168" s="2" t="s">
        <v>345</v>
      </c>
      <c r="D168" s="2" t="s">
        <v>42</v>
      </c>
      <c r="E168" s="2" t="str">
        <f t="shared" si="22"/>
        <v>1</v>
      </c>
      <c r="F168" s="2" t="s">
        <v>43</v>
      </c>
      <c r="G168" s="2" t="s">
        <v>1491</v>
      </c>
      <c r="H168" s="2">
        <f t="shared" si="23"/>
        <v>16</v>
      </c>
      <c r="I168" s="3" t="str">
        <f t="shared" si="21"/>
        <v>-</v>
      </c>
      <c r="J168" s="2" t="str">
        <f t="shared" si="24"/>
        <v>DIREITOS CREDITORIOS</v>
      </c>
      <c r="K168" s="6" t="s">
        <v>1604</v>
      </c>
      <c r="L168" s="6" t="s">
        <v>1604</v>
      </c>
      <c r="S168" s="6" t="b">
        <f>C168='Plano de Contas sem ponto'!C168</f>
        <v>1</v>
      </c>
    </row>
    <row r="169" spans="1:19" x14ac:dyDescent="0.2">
      <c r="A169" s="2" t="s">
        <v>346</v>
      </c>
      <c r="B169" s="2" t="s">
        <v>54</v>
      </c>
      <c r="C169" s="2" t="s">
        <v>279</v>
      </c>
      <c r="D169" s="2" t="s">
        <v>42</v>
      </c>
      <c r="E169" s="2" t="str">
        <f t="shared" si="22"/>
        <v>1</v>
      </c>
      <c r="F169" s="2" t="s">
        <v>43</v>
      </c>
      <c r="G169" s="2" t="s">
        <v>1491</v>
      </c>
      <c r="H169" s="2">
        <f t="shared" si="23"/>
        <v>11</v>
      </c>
      <c r="I169" s="3" t="str">
        <f t="shared" si="21"/>
        <v>1.2.1.01.02</v>
      </c>
      <c r="J169" s="2" t="str">
        <f t="shared" si="24"/>
        <v>DEPOSITOS JUDICIAIS</v>
      </c>
      <c r="K169" s="6" t="s">
        <v>1604</v>
      </c>
      <c r="L169" s="6" t="s">
        <v>1604</v>
      </c>
      <c r="S169" s="6" t="b">
        <f>C169='Plano de Contas sem ponto'!C169</f>
        <v>1</v>
      </c>
    </row>
    <row r="170" spans="1:19" x14ac:dyDescent="0.2">
      <c r="A170" s="2" t="s">
        <v>347</v>
      </c>
      <c r="B170" s="2" t="s">
        <v>54</v>
      </c>
      <c r="C170" s="2" t="s">
        <v>281</v>
      </c>
      <c r="D170" s="2" t="s">
        <v>42</v>
      </c>
      <c r="E170" s="2" t="str">
        <f t="shared" si="22"/>
        <v>1</v>
      </c>
      <c r="F170" s="2" t="s">
        <v>43</v>
      </c>
      <c r="G170" s="2" t="s">
        <v>1491</v>
      </c>
      <c r="H170" s="2">
        <f t="shared" si="23"/>
        <v>16</v>
      </c>
      <c r="I170" s="3" t="str">
        <f t="shared" si="21"/>
        <v>-</v>
      </c>
      <c r="J170" s="2" t="str">
        <f t="shared" si="24"/>
        <v>DEPOSITOS JUDICIAIS</v>
      </c>
      <c r="K170" s="6" t="s">
        <v>1604</v>
      </c>
      <c r="L170" s="6" t="s">
        <v>1604</v>
      </c>
      <c r="S170" s="6" t="b">
        <f>C170='Plano de Contas sem ponto'!C170</f>
        <v>1</v>
      </c>
    </row>
    <row r="171" spans="1:19" x14ac:dyDescent="0.2">
      <c r="A171" s="1" t="s">
        <v>348</v>
      </c>
      <c r="B171" s="1" t="s">
        <v>40</v>
      </c>
      <c r="C171" s="1" t="s">
        <v>293</v>
      </c>
      <c r="D171" s="2" t="s">
        <v>42</v>
      </c>
      <c r="E171" s="2" t="str">
        <f t="shared" si="22"/>
        <v>1</v>
      </c>
      <c r="F171" s="2" t="s">
        <v>43</v>
      </c>
      <c r="G171" s="2" t="s">
        <v>1491</v>
      </c>
      <c r="H171" s="2">
        <f t="shared" si="23"/>
        <v>8</v>
      </c>
      <c r="I171" s="3" t="str">
        <f t="shared" si="21"/>
        <v>-</v>
      </c>
      <c r="J171" s="2" t="str">
        <f t="shared" si="24"/>
        <v>PARTES RELACIONADAS</v>
      </c>
      <c r="K171" s="2" t="s">
        <v>294</v>
      </c>
      <c r="L171" s="2" t="s">
        <v>294</v>
      </c>
      <c r="S171" s="6" t="b">
        <f>C171='Plano de Contas sem ponto'!C171</f>
        <v>1</v>
      </c>
    </row>
    <row r="172" spans="1:19" x14ac:dyDescent="0.2">
      <c r="A172" s="1" t="s">
        <v>349</v>
      </c>
      <c r="B172" s="1" t="s">
        <v>40</v>
      </c>
      <c r="C172" s="1" t="s">
        <v>293</v>
      </c>
      <c r="D172" s="2" t="s">
        <v>42</v>
      </c>
      <c r="E172" s="2" t="str">
        <f t="shared" si="22"/>
        <v>1</v>
      </c>
      <c r="F172" s="2" t="s">
        <v>43</v>
      </c>
      <c r="G172" s="2" t="s">
        <v>1491</v>
      </c>
      <c r="H172" s="2">
        <f t="shared" si="23"/>
        <v>11</v>
      </c>
      <c r="I172" s="3" t="str">
        <f t="shared" si="21"/>
        <v>1.2.1.02.01</v>
      </c>
      <c r="J172" s="2" t="str">
        <f t="shared" si="24"/>
        <v>PARTES RELACIONADAS</v>
      </c>
      <c r="K172" s="2" t="s">
        <v>294</v>
      </c>
      <c r="L172" s="2" t="s">
        <v>294</v>
      </c>
      <c r="S172" s="6" t="b">
        <f>C172='Plano de Contas sem ponto'!C172</f>
        <v>1</v>
      </c>
    </row>
    <row r="173" spans="1:19" x14ac:dyDescent="0.2">
      <c r="A173" s="2" t="s">
        <v>350</v>
      </c>
      <c r="B173" s="2" t="s">
        <v>54</v>
      </c>
      <c r="C173" s="2" t="s">
        <v>293</v>
      </c>
      <c r="D173" s="2" t="s">
        <v>42</v>
      </c>
      <c r="E173" s="2" t="str">
        <f t="shared" si="22"/>
        <v>1</v>
      </c>
      <c r="F173" s="2" t="s">
        <v>43</v>
      </c>
      <c r="G173" s="2" t="s">
        <v>1491</v>
      </c>
      <c r="H173" s="2">
        <f t="shared" si="23"/>
        <v>16</v>
      </c>
      <c r="I173" s="3" t="str">
        <f t="shared" si="21"/>
        <v>-</v>
      </c>
      <c r="J173" s="2" t="str">
        <f t="shared" si="24"/>
        <v>PARTES RELACIONADAS</v>
      </c>
      <c r="K173" s="2" t="s">
        <v>294</v>
      </c>
      <c r="L173" s="2" t="s">
        <v>294</v>
      </c>
      <c r="S173" s="6" t="b">
        <f>C173='Plano de Contas sem ponto'!C173</f>
        <v>1</v>
      </c>
    </row>
    <row r="174" spans="1:19" x14ac:dyDescent="0.2">
      <c r="A174" s="1" t="s">
        <v>351</v>
      </c>
      <c r="B174" s="1" t="s">
        <v>40</v>
      </c>
      <c r="C174" s="1" t="s">
        <v>352</v>
      </c>
      <c r="D174" s="2" t="s">
        <v>42</v>
      </c>
      <c r="E174" s="2" t="str">
        <f t="shared" si="22"/>
        <v>1</v>
      </c>
      <c r="F174" s="2" t="s">
        <v>43</v>
      </c>
      <c r="G174" s="2" t="s">
        <v>1491</v>
      </c>
      <c r="H174" s="2">
        <f t="shared" si="23"/>
        <v>8</v>
      </c>
      <c r="I174" s="3" t="str">
        <f t="shared" si="21"/>
        <v>-</v>
      </c>
      <c r="J174" s="2" t="str">
        <f t="shared" si="24"/>
        <v>EMPRESTIMOS A FUNCIONÁRIOS</v>
      </c>
      <c r="K174" s="2" t="s">
        <v>200</v>
      </c>
      <c r="S174" s="6" t="b">
        <f>C174='Plano de Contas sem ponto'!C174</f>
        <v>1</v>
      </c>
    </row>
    <row r="175" spans="1:19" x14ac:dyDescent="0.2">
      <c r="A175" s="1" t="s">
        <v>353</v>
      </c>
      <c r="B175" s="1" t="s">
        <v>40</v>
      </c>
      <c r="C175" s="1" t="s">
        <v>352</v>
      </c>
      <c r="D175" s="2" t="s">
        <v>42</v>
      </c>
      <c r="E175" s="2" t="str">
        <f t="shared" si="22"/>
        <v>1</v>
      </c>
      <c r="F175" s="2" t="s">
        <v>43</v>
      </c>
      <c r="G175" s="2" t="s">
        <v>1491</v>
      </c>
      <c r="H175" s="2">
        <f t="shared" si="23"/>
        <v>11</v>
      </c>
      <c r="I175" s="3" t="str">
        <f t="shared" si="21"/>
        <v>1.2.1.03.01</v>
      </c>
      <c r="J175" s="2" t="str">
        <f t="shared" si="24"/>
        <v>EMPRESTIMOS A FUNCIONÁRIOS</v>
      </c>
      <c r="K175" s="2" t="s">
        <v>200</v>
      </c>
      <c r="S175" s="6" t="b">
        <f>C175='Plano de Contas sem ponto'!C175</f>
        <v>1</v>
      </c>
    </row>
    <row r="176" spans="1:19" x14ac:dyDescent="0.2">
      <c r="A176" s="2" t="s">
        <v>354</v>
      </c>
      <c r="B176" s="2" t="s">
        <v>54</v>
      </c>
      <c r="C176" s="2" t="s">
        <v>352</v>
      </c>
      <c r="D176" s="2" t="s">
        <v>42</v>
      </c>
      <c r="E176" s="2" t="str">
        <f t="shared" si="22"/>
        <v>1</v>
      </c>
      <c r="F176" s="2" t="s">
        <v>43</v>
      </c>
      <c r="G176" s="2" t="s">
        <v>1491</v>
      </c>
      <c r="H176" s="2">
        <f t="shared" si="23"/>
        <v>16</v>
      </c>
      <c r="I176" s="3" t="str">
        <f t="shared" si="21"/>
        <v>-</v>
      </c>
      <c r="J176" s="2" t="str">
        <f t="shared" si="24"/>
        <v>EMPRESTIMOS A FUNCIONÁRIOS</v>
      </c>
      <c r="K176" s="2" t="s">
        <v>200</v>
      </c>
      <c r="S176" s="6" t="b">
        <f>C176='Plano de Contas sem ponto'!C176</f>
        <v>1</v>
      </c>
    </row>
    <row r="177" spans="1:19" x14ac:dyDescent="0.2">
      <c r="A177" s="1" t="s">
        <v>355</v>
      </c>
      <c r="B177" s="1" t="s">
        <v>40</v>
      </c>
      <c r="C177" s="1" t="s">
        <v>165</v>
      </c>
      <c r="D177" s="2" t="s">
        <v>42</v>
      </c>
      <c r="E177" s="2" t="str">
        <f t="shared" si="22"/>
        <v>1</v>
      </c>
      <c r="F177" s="2" t="s">
        <v>43</v>
      </c>
      <c r="G177" s="2" t="s">
        <v>1491</v>
      </c>
      <c r="H177" s="2">
        <f t="shared" si="23"/>
        <v>5</v>
      </c>
      <c r="I177" s="3" t="str">
        <f t="shared" si="21"/>
        <v>-</v>
      </c>
      <c r="J177" s="2" t="str">
        <f t="shared" si="24"/>
        <v>INVESTIMENTOS</v>
      </c>
      <c r="K177" s="2" t="s">
        <v>356</v>
      </c>
      <c r="S177" s="6" t="b">
        <f>C177='Plano de Contas sem ponto'!C177</f>
        <v>1</v>
      </c>
    </row>
    <row r="178" spans="1:19" x14ac:dyDescent="0.2">
      <c r="A178" s="1" t="s">
        <v>357</v>
      </c>
      <c r="B178" s="1" t="s">
        <v>40</v>
      </c>
      <c r="C178" s="1" t="s">
        <v>358</v>
      </c>
      <c r="D178" s="2" t="s">
        <v>42</v>
      </c>
      <c r="E178" s="2" t="str">
        <f t="shared" si="22"/>
        <v>1</v>
      </c>
      <c r="F178" s="2" t="s">
        <v>43</v>
      </c>
      <c r="G178" s="2" t="s">
        <v>1491</v>
      </c>
      <c r="H178" s="2">
        <f t="shared" si="23"/>
        <v>8</v>
      </c>
      <c r="I178" s="3" t="str">
        <f t="shared" si="21"/>
        <v>-</v>
      </c>
      <c r="J178" s="2" t="str">
        <f t="shared" si="24"/>
        <v>PARTICIPACOES EM SOCIEDADES</v>
      </c>
      <c r="K178" s="2" t="s">
        <v>356</v>
      </c>
      <c r="L178" s="6" t="s">
        <v>1613</v>
      </c>
      <c r="S178" s="6" t="b">
        <f>C178='Plano de Contas sem ponto'!C178</f>
        <v>1</v>
      </c>
    </row>
    <row r="179" spans="1:19" x14ac:dyDescent="0.2">
      <c r="A179" s="1" t="s">
        <v>359</v>
      </c>
      <c r="B179" s="1" t="s">
        <v>40</v>
      </c>
      <c r="C179" s="1" t="s">
        <v>358</v>
      </c>
      <c r="D179" s="2" t="s">
        <v>42</v>
      </c>
      <c r="E179" s="2" t="str">
        <f t="shared" si="22"/>
        <v>1</v>
      </c>
      <c r="F179" s="2" t="s">
        <v>43</v>
      </c>
      <c r="G179" s="2" t="s">
        <v>1491</v>
      </c>
      <c r="H179" s="2">
        <f t="shared" si="23"/>
        <v>11</v>
      </c>
      <c r="I179" s="3" t="str">
        <f t="shared" si="21"/>
        <v>1.2.2.01.01</v>
      </c>
      <c r="J179" s="2" t="str">
        <f t="shared" si="24"/>
        <v>PARTICIPACOES EM SOCIEDADES</v>
      </c>
      <c r="K179" s="2" t="s">
        <v>356</v>
      </c>
      <c r="L179" s="6" t="s">
        <v>1613</v>
      </c>
      <c r="S179" s="6" t="b">
        <f>C179='Plano de Contas sem ponto'!C179</f>
        <v>1</v>
      </c>
    </row>
    <row r="180" spans="1:19" x14ac:dyDescent="0.2">
      <c r="A180" s="2" t="s">
        <v>360</v>
      </c>
      <c r="B180" s="2" t="s">
        <v>54</v>
      </c>
      <c r="C180" s="2" t="s">
        <v>361</v>
      </c>
      <c r="D180" s="2" t="s">
        <v>42</v>
      </c>
      <c r="E180" s="2" t="str">
        <f t="shared" si="22"/>
        <v>1</v>
      </c>
      <c r="F180" s="2" t="s">
        <v>43</v>
      </c>
      <c r="G180" s="2" t="s">
        <v>1491</v>
      </c>
      <c r="H180" s="2">
        <f t="shared" si="23"/>
        <v>16</v>
      </c>
      <c r="I180" s="3" t="str">
        <f t="shared" si="21"/>
        <v>-</v>
      </c>
      <c r="J180" s="2" t="str">
        <f t="shared" si="24"/>
        <v>PARTICIPACOES EM SOCIEDADES</v>
      </c>
      <c r="K180" s="2" t="s">
        <v>356</v>
      </c>
      <c r="L180" s="6" t="s">
        <v>1613</v>
      </c>
      <c r="S180" s="6" t="b">
        <f>C180='Plano de Contas sem ponto'!C180</f>
        <v>1</v>
      </c>
    </row>
    <row r="181" spans="1:19" x14ac:dyDescent="0.2">
      <c r="A181" s="2" t="s">
        <v>362</v>
      </c>
      <c r="B181" s="2" t="s">
        <v>54</v>
      </c>
      <c r="C181" s="2" t="s">
        <v>363</v>
      </c>
      <c r="D181" s="2" t="s">
        <v>42</v>
      </c>
      <c r="E181" s="2" t="str">
        <f t="shared" si="22"/>
        <v>1</v>
      </c>
      <c r="F181" s="2" t="s">
        <v>43</v>
      </c>
      <c r="G181" s="2" t="s">
        <v>1491</v>
      </c>
      <c r="H181" s="2">
        <f t="shared" si="23"/>
        <v>16</v>
      </c>
      <c r="I181" s="3" t="str">
        <f t="shared" si="21"/>
        <v>-</v>
      </c>
      <c r="J181" s="2" t="str">
        <f t="shared" si="24"/>
        <v>PARTICIPACOES EM SOCIEDADES</v>
      </c>
      <c r="K181" s="2" t="s">
        <v>356</v>
      </c>
      <c r="L181" s="6" t="s">
        <v>1613</v>
      </c>
      <c r="S181" s="6" t="b">
        <f>C181='Plano de Contas sem ponto'!C181</f>
        <v>1</v>
      </c>
    </row>
    <row r="182" spans="1:19" x14ac:dyDescent="0.2">
      <c r="A182" s="2" t="s">
        <v>364</v>
      </c>
      <c r="B182" s="2" t="s">
        <v>54</v>
      </c>
      <c r="C182" s="2" t="s">
        <v>365</v>
      </c>
      <c r="D182" s="2" t="s">
        <v>42</v>
      </c>
      <c r="E182" s="2" t="str">
        <f t="shared" si="22"/>
        <v>1</v>
      </c>
      <c r="F182" s="2" t="s">
        <v>43</v>
      </c>
      <c r="G182" s="2" t="s">
        <v>1491</v>
      </c>
      <c r="H182" s="2">
        <f t="shared" si="23"/>
        <v>16</v>
      </c>
      <c r="I182" s="3" t="str">
        <f t="shared" si="21"/>
        <v>-</v>
      </c>
      <c r="J182" s="2" t="str">
        <f t="shared" si="24"/>
        <v>PARTICIPACOES EM SOCIEDADES</v>
      </c>
      <c r="K182" s="2" t="s">
        <v>356</v>
      </c>
      <c r="L182" s="6" t="s">
        <v>1613</v>
      </c>
      <c r="S182" s="6" t="b">
        <f>C182='Plano de Contas sem ponto'!C182</f>
        <v>1</v>
      </c>
    </row>
    <row r="183" spans="1:19" x14ac:dyDescent="0.2">
      <c r="A183" s="2" t="s">
        <v>366</v>
      </c>
      <c r="B183" s="2" t="s">
        <v>54</v>
      </c>
      <c r="C183" s="2" t="s">
        <v>216</v>
      </c>
      <c r="D183" s="2" t="s">
        <v>42</v>
      </c>
      <c r="E183" s="2" t="str">
        <f t="shared" si="22"/>
        <v>1</v>
      </c>
      <c r="F183" s="2" t="s">
        <v>43</v>
      </c>
      <c r="G183" s="2" t="s">
        <v>1491</v>
      </c>
      <c r="H183" s="2">
        <f t="shared" si="23"/>
        <v>16</v>
      </c>
      <c r="I183" s="3" t="str">
        <f t="shared" si="21"/>
        <v>-</v>
      </c>
      <c r="J183" s="2" t="str">
        <f t="shared" si="24"/>
        <v>PARTICIPACOES EM SOCIEDADES</v>
      </c>
      <c r="K183" s="2" t="s">
        <v>356</v>
      </c>
      <c r="L183" s="6" t="s">
        <v>1613</v>
      </c>
      <c r="S183" s="6" t="b">
        <f>C183='Plano de Contas sem ponto'!C183</f>
        <v>1</v>
      </c>
    </row>
    <row r="184" spans="1:19" x14ac:dyDescent="0.2">
      <c r="A184" s="2" t="s">
        <v>367</v>
      </c>
      <c r="B184" s="2" t="s">
        <v>54</v>
      </c>
      <c r="C184" s="2" t="s">
        <v>368</v>
      </c>
      <c r="D184" s="2" t="s">
        <v>42</v>
      </c>
      <c r="E184" s="2" t="str">
        <f t="shared" si="22"/>
        <v>1</v>
      </c>
      <c r="F184" s="2" t="s">
        <v>43</v>
      </c>
      <c r="G184" s="2" t="s">
        <v>1491</v>
      </c>
      <c r="H184" s="2">
        <f t="shared" si="23"/>
        <v>16</v>
      </c>
      <c r="I184" s="3" t="str">
        <f t="shared" si="21"/>
        <v>-</v>
      </c>
      <c r="J184" s="2" t="str">
        <f t="shared" si="24"/>
        <v>PARTICIPACOES EM SOCIEDADES</v>
      </c>
      <c r="K184" s="2" t="s">
        <v>356</v>
      </c>
      <c r="L184" s="6" t="s">
        <v>1613</v>
      </c>
      <c r="S184" s="6" t="b">
        <f>C184='Plano de Contas sem ponto'!C184</f>
        <v>1</v>
      </c>
    </row>
    <row r="185" spans="1:19" x14ac:dyDescent="0.2">
      <c r="A185" s="2" t="s">
        <v>369</v>
      </c>
      <c r="B185" s="2" t="s">
        <v>54</v>
      </c>
      <c r="C185" s="2" t="s">
        <v>370</v>
      </c>
      <c r="D185" s="2" t="s">
        <v>42</v>
      </c>
      <c r="E185" s="2" t="str">
        <f t="shared" si="22"/>
        <v>1</v>
      </c>
      <c r="F185" s="2" t="s">
        <v>43</v>
      </c>
      <c r="G185" s="2" t="s">
        <v>1491</v>
      </c>
      <c r="H185" s="2">
        <f t="shared" si="23"/>
        <v>16</v>
      </c>
      <c r="I185" s="3" t="str">
        <f t="shared" si="21"/>
        <v>-</v>
      </c>
      <c r="J185" s="2" t="str">
        <f t="shared" si="24"/>
        <v>PARTICIPACOES EM SOCIEDADES</v>
      </c>
      <c r="K185" s="2" t="s">
        <v>356</v>
      </c>
      <c r="L185" s="6" t="s">
        <v>1613</v>
      </c>
      <c r="S185" s="6" t="b">
        <f>C185='Plano de Contas sem ponto'!C185</f>
        <v>1</v>
      </c>
    </row>
    <row r="186" spans="1:19" x14ac:dyDescent="0.2">
      <c r="A186" s="1" t="s">
        <v>371</v>
      </c>
      <c r="B186" s="1" t="s">
        <v>40</v>
      </c>
      <c r="C186" s="1" t="s">
        <v>372</v>
      </c>
      <c r="D186" s="2" t="s">
        <v>42</v>
      </c>
      <c r="E186" s="2" t="str">
        <f t="shared" si="22"/>
        <v>1</v>
      </c>
      <c r="F186" s="2" t="s">
        <v>43</v>
      </c>
      <c r="G186" s="2" t="s">
        <v>1491</v>
      </c>
      <c r="H186" s="2">
        <f t="shared" si="23"/>
        <v>8</v>
      </c>
      <c r="I186" s="3" t="str">
        <f t="shared" si="21"/>
        <v>-</v>
      </c>
      <c r="J186" s="2" t="str">
        <f t="shared" si="24"/>
        <v>OBRAS DE ARTE</v>
      </c>
      <c r="K186" s="2" t="s">
        <v>356</v>
      </c>
      <c r="L186" s="6" t="s">
        <v>1612</v>
      </c>
      <c r="S186" s="6" t="b">
        <f>C186='Plano de Contas sem ponto'!C186</f>
        <v>1</v>
      </c>
    </row>
    <row r="187" spans="1:19" x14ac:dyDescent="0.2">
      <c r="A187" s="1" t="s">
        <v>373</v>
      </c>
      <c r="B187" s="1" t="s">
        <v>40</v>
      </c>
      <c r="C187" s="1" t="s">
        <v>372</v>
      </c>
      <c r="D187" s="2" t="s">
        <v>42</v>
      </c>
      <c r="E187" s="2" t="str">
        <f t="shared" si="22"/>
        <v>1</v>
      </c>
      <c r="F187" s="2" t="s">
        <v>43</v>
      </c>
      <c r="G187" s="2" t="s">
        <v>1491</v>
      </c>
      <c r="H187" s="2">
        <f t="shared" si="23"/>
        <v>11</v>
      </c>
      <c r="I187" s="3" t="str">
        <f t="shared" si="21"/>
        <v>1.2.2.02.01</v>
      </c>
      <c r="J187" s="2" t="str">
        <f t="shared" si="24"/>
        <v>OBRAS DE ARTE</v>
      </c>
      <c r="K187" s="2" t="s">
        <v>356</v>
      </c>
      <c r="L187" s="6" t="s">
        <v>1612</v>
      </c>
      <c r="S187" s="6" t="b">
        <f>C187='Plano de Contas sem ponto'!C187</f>
        <v>1</v>
      </c>
    </row>
    <row r="188" spans="1:19" x14ac:dyDescent="0.2">
      <c r="A188" s="2" t="s">
        <v>374</v>
      </c>
      <c r="B188" s="2" t="s">
        <v>54</v>
      </c>
      <c r="C188" s="2" t="s">
        <v>375</v>
      </c>
      <c r="D188" s="2" t="s">
        <v>42</v>
      </c>
      <c r="E188" s="2" t="str">
        <f t="shared" si="22"/>
        <v>1</v>
      </c>
      <c r="F188" s="2" t="s">
        <v>43</v>
      </c>
      <c r="G188" s="2" t="s">
        <v>1491</v>
      </c>
      <c r="H188" s="2">
        <f t="shared" si="23"/>
        <v>16</v>
      </c>
      <c r="I188" s="3" t="str">
        <f t="shared" si="21"/>
        <v>-</v>
      </c>
      <c r="J188" s="2" t="str">
        <f t="shared" si="24"/>
        <v>OBRAS DE ARTE</v>
      </c>
      <c r="K188" s="2" t="s">
        <v>356</v>
      </c>
      <c r="L188" s="6" t="s">
        <v>1612</v>
      </c>
      <c r="S188" s="6" t="b">
        <f>C188='Plano de Contas sem ponto'!C188</f>
        <v>1</v>
      </c>
    </row>
    <row r="189" spans="1:19" x14ac:dyDescent="0.2">
      <c r="A189" s="2" t="s">
        <v>376</v>
      </c>
      <c r="B189" s="2" t="s">
        <v>54</v>
      </c>
      <c r="C189" s="2" t="s">
        <v>377</v>
      </c>
      <c r="D189" s="2" t="s">
        <v>42</v>
      </c>
      <c r="E189" s="2" t="str">
        <f t="shared" si="22"/>
        <v>1</v>
      </c>
      <c r="F189" s="2" t="s">
        <v>43</v>
      </c>
      <c r="G189" s="2" t="s">
        <v>1491</v>
      </c>
      <c r="H189" s="2">
        <f t="shared" si="23"/>
        <v>16</v>
      </c>
      <c r="I189" s="3" t="str">
        <f t="shared" si="21"/>
        <v>-</v>
      </c>
      <c r="J189" s="2" t="str">
        <f t="shared" si="24"/>
        <v>OBRAS DE ARTE</v>
      </c>
      <c r="K189" s="2" t="s">
        <v>356</v>
      </c>
      <c r="L189" s="6" t="s">
        <v>1612</v>
      </c>
      <c r="S189" s="6" t="b">
        <f>C189='Plano de Contas sem ponto'!C189</f>
        <v>1</v>
      </c>
    </row>
    <row r="190" spans="1:19" x14ac:dyDescent="0.2">
      <c r="A190" s="2" t="s">
        <v>378</v>
      </c>
      <c r="B190" s="2" t="s">
        <v>54</v>
      </c>
      <c r="C190" s="2" t="s">
        <v>379</v>
      </c>
      <c r="D190" s="2" t="s">
        <v>42</v>
      </c>
      <c r="E190" s="2" t="str">
        <f t="shared" si="22"/>
        <v>1</v>
      </c>
      <c r="F190" s="2" t="s">
        <v>43</v>
      </c>
      <c r="G190" s="2" t="s">
        <v>1491</v>
      </c>
      <c r="H190" s="2">
        <f t="shared" si="23"/>
        <v>16</v>
      </c>
      <c r="I190" s="3" t="str">
        <f t="shared" si="21"/>
        <v>-</v>
      </c>
      <c r="J190" s="2" t="str">
        <f t="shared" si="24"/>
        <v>OBRAS DE ARTE</v>
      </c>
      <c r="K190" s="2" t="s">
        <v>356</v>
      </c>
      <c r="L190" s="6" t="s">
        <v>1612</v>
      </c>
      <c r="S190" s="6" t="b">
        <f>C190='Plano de Contas sem ponto'!C190</f>
        <v>1</v>
      </c>
    </row>
    <row r="191" spans="1:19" x14ac:dyDescent="0.2">
      <c r="A191" s="1" t="s">
        <v>380</v>
      </c>
      <c r="B191" s="1" t="s">
        <v>40</v>
      </c>
      <c r="C191" s="1" t="s">
        <v>381</v>
      </c>
      <c r="D191" s="2" t="s">
        <v>42</v>
      </c>
      <c r="E191" s="2" t="str">
        <f t="shared" si="22"/>
        <v>1</v>
      </c>
      <c r="F191" s="2" t="s">
        <v>43</v>
      </c>
      <c r="G191" s="2" t="s">
        <v>1491</v>
      </c>
      <c r="H191" s="2">
        <f t="shared" si="23"/>
        <v>5</v>
      </c>
      <c r="I191" s="3" t="str">
        <f t="shared" si="21"/>
        <v>-</v>
      </c>
      <c r="J191" s="2" t="str">
        <f t="shared" si="24"/>
        <v>IMOBILIZADO</v>
      </c>
      <c r="K191" s="2" t="s">
        <v>382</v>
      </c>
      <c r="S191" s="6" t="b">
        <f>C191='Plano de Contas sem ponto'!C191</f>
        <v>1</v>
      </c>
    </row>
    <row r="192" spans="1:19" x14ac:dyDescent="0.2">
      <c r="A192" s="1" t="s">
        <v>383</v>
      </c>
      <c r="B192" s="1" t="s">
        <v>40</v>
      </c>
      <c r="C192" s="1" t="s">
        <v>384</v>
      </c>
      <c r="D192" s="2" t="s">
        <v>42</v>
      </c>
      <c r="E192" s="2" t="str">
        <f t="shared" si="22"/>
        <v>1</v>
      </c>
      <c r="F192" s="2" t="s">
        <v>43</v>
      </c>
      <c r="G192" s="2" t="s">
        <v>1491</v>
      </c>
      <c r="H192" s="2">
        <f t="shared" si="23"/>
        <v>8</v>
      </c>
      <c r="I192" s="3" t="str">
        <f t="shared" si="21"/>
        <v>-</v>
      </c>
      <c r="J192" s="2" t="str">
        <f t="shared" si="24"/>
        <v>BENS EM OPERACAO</v>
      </c>
      <c r="K192" s="2" t="s">
        <v>382</v>
      </c>
      <c r="S192" s="6" t="b">
        <f>C192='Plano de Contas sem ponto'!C192</f>
        <v>1</v>
      </c>
    </row>
    <row r="193" spans="1:19" x14ac:dyDescent="0.2">
      <c r="A193" s="1" t="s">
        <v>385</v>
      </c>
      <c r="B193" s="1" t="s">
        <v>40</v>
      </c>
      <c r="C193" s="1" t="s">
        <v>384</v>
      </c>
      <c r="D193" s="2" t="s">
        <v>42</v>
      </c>
      <c r="E193" s="2" t="str">
        <f t="shared" si="22"/>
        <v>1</v>
      </c>
      <c r="F193" s="2" t="s">
        <v>43</v>
      </c>
      <c r="G193" s="2" t="s">
        <v>1491</v>
      </c>
      <c r="H193" s="2">
        <f t="shared" si="23"/>
        <v>11</v>
      </c>
      <c r="I193" s="3" t="str">
        <f t="shared" si="21"/>
        <v>1.2.3.01.01</v>
      </c>
      <c r="J193" s="2" t="str">
        <f t="shared" si="24"/>
        <v>BENS EM OPERACAO</v>
      </c>
      <c r="K193" s="2" t="s">
        <v>382</v>
      </c>
      <c r="S193" s="6" t="b">
        <f>C193='Plano de Contas sem ponto'!C193</f>
        <v>1</v>
      </c>
    </row>
    <row r="194" spans="1:19" x14ac:dyDescent="0.2">
      <c r="A194" s="2" t="s">
        <v>386</v>
      </c>
      <c r="B194" s="2" t="s">
        <v>54</v>
      </c>
      <c r="C194" s="2" t="s">
        <v>387</v>
      </c>
      <c r="D194" s="2" t="s">
        <v>42</v>
      </c>
      <c r="E194" s="2" t="str">
        <f t="shared" si="22"/>
        <v>1</v>
      </c>
      <c r="F194" s="2" t="s">
        <v>43</v>
      </c>
      <c r="G194" s="2" t="s">
        <v>1491</v>
      </c>
      <c r="H194" s="2">
        <f t="shared" si="23"/>
        <v>16</v>
      </c>
      <c r="I194" s="3" t="str">
        <f t="shared" si="21"/>
        <v>-</v>
      </c>
      <c r="J194" s="2" t="str">
        <f t="shared" si="24"/>
        <v>BENS EM OPERACAO</v>
      </c>
      <c r="K194" s="2" t="s">
        <v>382</v>
      </c>
      <c r="L194" s="2" t="s">
        <v>1504</v>
      </c>
      <c r="S194" s="6" t="b">
        <f>C194='Plano de Contas sem ponto'!C194</f>
        <v>1</v>
      </c>
    </row>
    <row r="195" spans="1:19" x14ac:dyDescent="0.2">
      <c r="A195" s="2" t="s">
        <v>388</v>
      </c>
      <c r="B195" s="2" t="s">
        <v>54</v>
      </c>
      <c r="C195" s="2" t="s">
        <v>389</v>
      </c>
      <c r="D195" s="2" t="s">
        <v>42</v>
      </c>
      <c r="E195" s="2" t="str">
        <f t="shared" si="22"/>
        <v>1</v>
      </c>
      <c r="F195" s="2" t="s">
        <v>43</v>
      </c>
      <c r="G195" s="2" t="s">
        <v>1491</v>
      </c>
      <c r="H195" s="2">
        <f t="shared" si="23"/>
        <v>16</v>
      </c>
      <c r="I195" s="3" t="str">
        <f t="shared" si="21"/>
        <v>-</v>
      </c>
      <c r="J195" s="2" t="str">
        <f t="shared" si="24"/>
        <v>BENS EM OPERACAO</v>
      </c>
      <c r="K195" s="2" t="s">
        <v>382</v>
      </c>
      <c r="L195" s="2" t="s">
        <v>1505</v>
      </c>
      <c r="S195" s="6" t="b">
        <f>C195='Plano de Contas sem ponto'!C195</f>
        <v>1</v>
      </c>
    </row>
    <row r="196" spans="1:19" x14ac:dyDescent="0.2">
      <c r="A196" s="2" t="s">
        <v>390</v>
      </c>
      <c r="B196" s="2" t="s">
        <v>54</v>
      </c>
      <c r="C196" s="2" t="s">
        <v>391</v>
      </c>
      <c r="D196" s="2" t="s">
        <v>42</v>
      </c>
      <c r="E196" s="2" t="str">
        <f t="shared" si="22"/>
        <v>1</v>
      </c>
      <c r="F196" s="2" t="s">
        <v>43</v>
      </c>
      <c r="G196" s="2" t="s">
        <v>1491</v>
      </c>
      <c r="H196" s="2">
        <f t="shared" si="23"/>
        <v>16</v>
      </c>
      <c r="I196" s="3" t="str">
        <f t="shared" si="21"/>
        <v>-</v>
      </c>
      <c r="J196" s="2" t="str">
        <f t="shared" si="24"/>
        <v>BENS EM OPERACAO</v>
      </c>
      <c r="K196" s="2" t="s">
        <v>382</v>
      </c>
      <c r="L196" s="2" t="s">
        <v>1506</v>
      </c>
      <c r="S196" s="6" t="b">
        <f>C196='Plano de Contas sem ponto'!C196</f>
        <v>1</v>
      </c>
    </row>
    <row r="197" spans="1:19" x14ac:dyDescent="0.2">
      <c r="A197" s="2" t="s">
        <v>392</v>
      </c>
      <c r="B197" s="2" t="s">
        <v>54</v>
      </c>
      <c r="C197" s="2" t="s">
        <v>393</v>
      </c>
      <c r="D197" s="2" t="s">
        <v>42</v>
      </c>
      <c r="E197" s="2" t="str">
        <f t="shared" si="22"/>
        <v>1</v>
      </c>
      <c r="F197" s="2" t="s">
        <v>43</v>
      </c>
      <c r="G197" s="2" t="s">
        <v>1491</v>
      </c>
      <c r="H197" s="2">
        <f t="shared" si="23"/>
        <v>16</v>
      </c>
      <c r="I197" s="3" t="str">
        <f t="shared" si="21"/>
        <v>-</v>
      </c>
      <c r="J197" s="2" t="str">
        <f t="shared" si="24"/>
        <v>BENS EM OPERACAO</v>
      </c>
      <c r="K197" s="2" t="s">
        <v>382</v>
      </c>
      <c r="L197" s="2" t="s">
        <v>1507</v>
      </c>
      <c r="S197" s="6" t="b">
        <f>C197='Plano de Contas sem ponto'!C197</f>
        <v>1</v>
      </c>
    </row>
    <row r="198" spans="1:19" x14ac:dyDescent="0.2">
      <c r="A198" s="2" t="s">
        <v>394</v>
      </c>
      <c r="B198" s="2" t="s">
        <v>54</v>
      </c>
      <c r="C198" s="2" t="s">
        <v>395</v>
      </c>
      <c r="D198" s="2" t="s">
        <v>42</v>
      </c>
      <c r="E198" s="2" t="str">
        <f t="shared" si="22"/>
        <v>1</v>
      </c>
      <c r="F198" s="2" t="s">
        <v>43</v>
      </c>
      <c r="G198" s="2" t="s">
        <v>1491</v>
      </c>
      <c r="H198" s="2">
        <f t="shared" si="23"/>
        <v>16</v>
      </c>
      <c r="I198" s="3" t="str">
        <f t="shared" si="21"/>
        <v>-</v>
      </c>
      <c r="J198" s="2" t="str">
        <f t="shared" si="24"/>
        <v>BENS EM OPERACAO</v>
      </c>
      <c r="K198" s="2" t="s">
        <v>382</v>
      </c>
      <c r="L198" s="2" t="s">
        <v>1508</v>
      </c>
      <c r="S198" s="6" t="b">
        <f>C198='Plano de Contas sem ponto'!C198</f>
        <v>1</v>
      </c>
    </row>
    <row r="199" spans="1:19" x14ac:dyDescent="0.2">
      <c r="A199" s="2" t="s">
        <v>396</v>
      </c>
      <c r="B199" s="2" t="s">
        <v>54</v>
      </c>
      <c r="C199" s="2" t="s">
        <v>397</v>
      </c>
      <c r="D199" s="2" t="s">
        <v>42</v>
      </c>
      <c r="E199" s="2" t="str">
        <f t="shared" si="22"/>
        <v>1</v>
      </c>
      <c r="F199" s="2" t="s">
        <v>43</v>
      </c>
      <c r="G199" s="2" t="s">
        <v>1491</v>
      </c>
      <c r="H199" s="2">
        <f t="shared" si="23"/>
        <v>16</v>
      </c>
      <c r="I199" s="3" t="str">
        <f t="shared" si="21"/>
        <v>-</v>
      </c>
      <c r="J199" s="2" t="str">
        <f t="shared" si="24"/>
        <v>BENS EM OPERACAO</v>
      </c>
      <c r="K199" s="2" t="s">
        <v>382</v>
      </c>
      <c r="L199" s="2" t="s">
        <v>1509</v>
      </c>
      <c r="S199" s="6" t="b">
        <f>C199='Plano de Contas sem ponto'!C199</f>
        <v>1</v>
      </c>
    </row>
    <row r="200" spans="1:19" x14ac:dyDescent="0.2">
      <c r="A200" s="2" t="s">
        <v>398</v>
      </c>
      <c r="B200" s="2" t="s">
        <v>54</v>
      </c>
      <c r="C200" s="2" t="s">
        <v>399</v>
      </c>
      <c r="D200" s="2" t="s">
        <v>42</v>
      </c>
      <c r="E200" s="2" t="str">
        <f t="shared" si="22"/>
        <v>1</v>
      </c>
      <c r="F200" s="2" t="s">
        <v>43</v>
      </c>
      <c r="G200" s="2" t="s">
        <v>1491</v>
      </c>
      <c r="H200" s="2">
        <f t="shared" si="23"/>
        <v>16</v>
      </c>
      <c r="I200" s="3" t="str">
        <f t="shared" si="21"/>
        <v>-</v>
      </c>
      <c r="J200" s="2" t="str">
        <f t="shared" si="24"/>
        <v>BENS EM OPERACAO</v>
      </c>
      <c r="K200" s="2" t="s">
        <v>382</v>
      </c>
      <c r="L200" s="2" t="s">
        <v>200</v>
      </c>
      <c r="S200" s="6" t="b">
        <f>C200='Plano de Contas sem ponto'!C200</f>
        <v>1</v>
      </c>
    </row>
    <row r="201" spans="1:19" x14ac:dyDescent="0.2">
      <c r="A201" s="2" t="s">
        <v>400</v>
      </c>
      <c r="B201" s="2" t="s">
        <v>54</v>
      </c>
      <c r="C201" s="2" t="s">
        <v>401</v>
      </c>
      <c r="D201" s="2" t="s">
        <v>42</v>
      </c>
      <c r="E201" s="2" t="str">
        <f t="shared" si="22"/>
        <v>1</v>
      </c>
      <c r="F201" s="2" t="s">
        <v>43</v>
      </c>
      <c r="G201" s="2" t="s">
        <v>1491</v>
      </c>
      <c r="H201" s="2">
        <f t="shared" si="23"/>
        <v>16</v>
      </c>
      <c r="I201" s="3" t="str">
        <f t="shared" si="21"/>
        <v>-</v>
      </c>
      <c r="J201" s="2" t="str">
        <f t="shared" si="24"/>
        <v>BENS EM OPERACAO</v>
      </c>
      <c r="K201" s="2" t="s">
        <v>437</v>
      </c>
      <c r="L201" s="2" t="s">
        <v>1514</v>
      </c>
      <c r="S201" s="6" t="b">
        <f>C201='Plano de Contas sem ponto'!C201</f>
        <v>1</v>
      </c>
    </row>
    <row r="202" spans="1:19" x14ac:dyDescent="0.2">
      <c r="A202" s="2" t="s">
        <v>402</v>
      </c>
      <c r="B202" s="2" t="s">
        <v>54</v>
      </c>
      <c r="C202" s="2" t="s">
        <v>403</v>
      </c>
      <c r="D202" s="2" t="s">
        <v>42</v>
      </c>
      <c r="E202" s="2" t="str">
        <f t="shared" si="22"/>
        <v>1</v>
      </c>
      <c r="F202" s="2" t="s">
        <v>43</v>
      </c>
      <c r="G202" s="2" t="s">
        <v>1491</v>
      </c>
      <c r="H202" s="2">
        <f t="shared" si="23"/>
        <v>16</v>
      </c>
      <c r="I202" s="3" t="str">
        <f t="shared" si="21"/>
        <v>-</v>
      </c>
      <c r="J202" s="2" t="str">
        <f t="shared" si="24"/>
        <v>BENS EM OPERACAO</v>
      </c>
      <c r="K202" s="2" t="s">
        <v>382</v>
      </c>
      <c r="L202" s="2" t="s">
        <v>1511</v>
      </c>
      <c r="S202" s="6" t="b">
        <f>C202='Plano de Contas sem ponto'!C202</f>
        <v>1</v>
      </c>
    </row>
    <row r="203" spans="1:19" x14ac:dyDescent="0.2">
      <c r="A203" s="2" t="s">
        <v>404</v>
      </c>
      <c r="B203" s="2" t="s">
        <v>54</v>
      </c>
      <c r="C203" s="2" t="s">
        <v>405</v>
      </c>
      <c r="D203" s="2" t="s">
        <v>42</v>
      </c>
      <c r="E203" s="2" t="str">
        <f t="shared" si="22"/>
        <v>1</v>
      </c>
      <c r="F203" s="2" t="s">
        <v>43</v>
      </c>
      <c r="G203" s="2" t="s">
        <v>1491</v>
      </c>
      <c r="H203" s="2">
        <f t="shared" si="23"/>
        <v>16</v>
      </c>
      <c r="I203" s="3" t="str">
        <f t="shared" ref="I203:I266" si="25">IF(H203=11,A203,"-")</f>
        <v>-</v>
      </c>
      <c r="J203" s="2" t="str">
        <f t="shared" ref="J203:J266" si="26">IF(H203&lt;11,C203,IF(I203&lt;&gt;"-",C203,J202))</f>
        <v>BENS EM OPERACAO</v>
      </c>
      <c r="K203" s="2" t="s">
        <v>382</v>
      </c>
      <c r="L203" s="10" t="s">
        <v>1515</v>
      </c>
      <c r="S203" s="6" t="b">
        <f>C203='Plano de Contas sem ponto'!C203</f>
        <v>1</v>
      </c>
    </row>
    <row r="204" spans="1:19" x14ac:dyDescent="0.2">
      <c r="A204" s="2" t="s">
        <v>406</v>
      </c>
      <c r="B204" s="2" t="s">
        <v>54</v>
      </c>
      <c r="C204" s="2" t="s">
        <v>407</v>
      </c>
      <c r="D204" s="2" t="s">
        <v>42</v>
      </c>
      <c r="E204" s="2" t="str">
        <f t="shared" ref="E204:E267" si="27">LEFT(A204,1)</f>
        <v>1</v>
      </c>
      <c r="F204" s="2" t="s">
        <v>43</v>
      </c>
      <c r="G204" s="2" t="s">
        <v>1491</v>
      </c>
      <c r="H204" s="2">
        <f t="shared" ref="H204:H267" si="28">LEN(A204)</f>
        <v>16</v>
      </c>
      <c r="I204" s="3" t="str">
        <f t="shared" si="25"/>
        <v>-</v>
      </c>
      <c r="J204" s="2" t="str">
        <f t="shared" si="26"/>
        <v>BENS EM OPERACAO</v>
      </c>
      <c r="K204" s="2" t="s">
        <v>382</v>
      </c>
      <c r="L204" s="2"/>
      <c r="S204" s="6" t="b">
        <f>C204='Plano de Contas sem ponto'!C204</f>
        <v>1</v>
      </c>
    </row>
    <row r="205" spans="1:19" x14ac:dyDescent="0.2">
      <c r="A205" s="1" t="s">
        <v>408</v>
      </c>
      <c r="B205" s="1" t="s">
        <v>40</v>
      </c>
      <c r="C205" s="1" t="s">
        <v>407</v>
      </c>
      <c r="D205" s="2" t="s">
        <v>42</v>
      </c>
      <c r="E205" s="2" t="str">
        <f t="shared" si="27"/>
        <v>1</v>
      </c>
      <c r="F205" s="2" t="s">
        <v>43</v>
      </c>
      <c r="G205" s="2" t="s">
        <v>1491</v>
      </c>
      <c r="H205" s="2">
        <f t="shared" si="28"/>
        <v>11</v>
      </c>
      <c r="I205" s="3" t="str">
        <f t="shared" si="25"/>
        <v>1.2.3.01.02</v>
      </c>
      <c r="J205" s="2" t="str">
        <f t="shared" si="26"/>
        <v>OBRAS EM ANDAMENTO</v>
      </c>
      <c r="K205" s="2" t="s">
        <v>382</v>
      </c>
      <c r="L205" s="2"/>
      <c r="S205" s="6" t="b">
        <f>C205='Plano de Contas sem ponto'!C205</f>
        <v>1</v>
      </c>
    </row>
    <row r="206" spans="1:19" x14ac:dyDescent="0.2">
      <c r="A206" s="2" t="s">
        <v>409</v>
      </c>
      <c r="B206" s="2" t="s">
        <v>54</v>
      </c>
      <c r="C206" s="2" t="s">
        <v>410</v>
      </c>
      <c r="D206" s="2" t="s">
        <v>42</v>
      </c>
      <c r="E206" s="2" t="str">
        <f t="shared" si="27"/>
        <v>1</v>
      </c>
      <c r="F206" s="2" t="s">
        <v>43</v>
      </c>
      <c r="G206" s="2" t="s">
        <v>1491</v>
      </c>
      <c r="H206" s="2">
        <f t="shared" si="28"/>
        <v>16</v>
      </c>
      <c r="I206" s="3" t="str">
        <f t="shared" si="25"/>
        <v>-</v>
      </c>
      <c r="J206" s="2" t="str">
        <f t="shared" si="26"/>
        <v>OBRAS EM ANDAMENTO</v>
      </c>
      <c r="K206" s="2" t="s">
        <v>382</v>
      </c>
      <c r="L206" s="2" t="s">
        <v>1510</v>
      </c>
      <c r="S206" s="6" t="b">
        <f>C206='Plano de Contas sem ponto'!C206</f>
        <v>1</v>
      </c>
    </row>
    <row r="207" spans="1:19" x14ac:dyDescent="0.2">
      <c r="A207" s="2" t="s">
        <v>411</v>
      </c>
      <c r="B207" s="2" t="s">
        <v>54</v>
      </c>
      <c r="C207" s="2" t="s">
        <v>412</v>
      </c>
      <c r="D207" s="2" t="s">
        <v>42</v>
      </c>
      <c r="E207" s="2" t="str">
        <f t="shared" si="27"/>
        <v>1</v>
      </c>
      <c r="F207" s="2" t="s">
        <v>43</v>
      </c>
      <c r="G207" s="2" t="s">
        <v>1491</v>
      </c>
      <c r="H207" s="2">
        <f t="shared" si="28"/>
        <v>16</v>
      </c>
      <c r="I207" s="3" t="str">
        <f t="shared" si="25"/>
        <v>-</v>
      </c>
      <c r="J207" s="2" t="str">
        <f t="shared" si="26"/>
        <v>OBRAS EM ANDAMENTO</v>
      </c>
      <c r="K207" s="2" t="s">
        <v>382</v>
      </c>
      <c r="L207" s="2" t="s">
        <v>1510</v>
      </c>
      <c r="S207" s="6" t="b">
        <f>C207='Plano de Contas sem ponto'!C207</f>
        <v>1</v>
      </c>
    </row>
    <row r="208" spans="1:19" x14ac:dyDescent="0.2">
      <c r="A208" s="2" t="s">
        <v>413</v>
      </c>
      <c r="B208" s="2" t="s">
        <v>54</v>
      </c>
      <c r="C208" s="2" t="s">
        <v>414</v>
      </c>
      <c r="D208" s="2" t="s">
        <v>42</v>
      </c>
      <c r="E208" s="2" t="str">
        <f t="shared" si="27"/>
        <v>1</v>
      </c>
      <c r="F208" s="2" t="s">
        <v>43</v>
      </c>
      <c r="G208" s="2" t="s">
        <v>1491</v>
      </c>
      <c r="H208" s="2">
        <f t="shared" si="28"/>
        <v>16</v>
      </c>
      <c r="I208" s="3" t="str">
        <f t="shared" si="25"/>
        <v>-</v>
      </c>
      <c r="J208" s="2" t="str">
        <f t="shared" si="26"/>
        <v>OBRAS EM ANDAMENTO</v>
      </c>
      <c r="K208" s="2" t="s">
        <v>382</v>
      </c>
      <c r="L208" s="2" t="s">
        <v>1510</v>
      </c>
      <c r="S208" s="6" t="b">
        <f>C208='Plano de Contas sem ponto'!C208</f>
        <v>1</v>
      </c>
    </row>
    <row r="209" spans="1:19" x14ac:dyDescent="0.2">
      <c r="A209" s="2" t="s">
        <v>415</v>
      </c>
      <c r="B209" s="2" t="s">
        <v>54</v>
      </c>
      <c r="C209" s="2" t="s">
        <v>416</v>
      </c>
      <c r="D209" s="2" t="s">
        <v>42</v>
      </c>
      <c r="E209" s="2" t="str">
        <f t="shared" si="27"/>
        <v>1</v>
      </c>
      <c r="F209" s="2" t="s">
        <v>43</v>
      </c>
      <c r="G209" s="2" t="s">
        <v>1491</v>
      </c>
      <c r="H209" s="2">
        <f t="shared" si="28"/>
        <v>16</v>
      </c>
      <c r="I209" s="3" t="str">
        <f t="shared" si="25"/>
        <v>-</v>
      </c>
      <c r="J209" s="2" t="str">
        <f t="shared" si="26"/>
        <v>OBRAS EM ANDAMENTO</v>
      </c>
      <c r="K209" s="2" t="s">
        <v>382</v>
      </c>
      <c r="L209" s="2" t="s">
        <v>1510</v>
      </c>
      <c r="S209" s="6" t="b">
        <f>C209='Plano de Contas sem ponto'!C209</f>
        <v>1</v>
      </c>
    </row>
    <row r="210" spans="1:19" x14ac:dyDescent="0.2">
      <c r="A210" s="1" t="s">
        <v>417</v>
      </c>
      <c r="B210" s="1" t="s">
        <v>40</v>
      </c>
      <c r="C210" s="1" t="s">
        <v>418</v>
      </c>
      <c r="D210" s="2" t="s">
        <v>196</v>
      </c>
      <c r="E210" s="2" t="str">
        <f t="shared" si="27"/>
        <v>1</v>
      </c>
      <c r="F210" s="2" t="s">
        <v>43</v>
      </c>
      <c r="G210" s="2" t="s">
        <v>1491</v>
      </c>
      <c r="H210" s="2">
        <f t="shared" si="28"/>
        <v>8</v>
      </c>
      <c r="I210" s="3" t="str">
        <f t="shared" si="25"/>
        <v>-</v>
      </c>
      <c r="J210" s="2" t="str">
        <f t="shared" si="26"/>
        <v>DEPRECIACAO/AMORTIZACAO ACUMULADA</v>
      </c>
      <c r="K210" s="2" t="s">
        <v>382</v>
      </c>
      <c r="L210" s="2"/>
      <c r="S210" s="6" t="b">
        <f>C210='Plano de Contas sem ponto'!C210</f>
        <v>1</v>
      </c>
    </row>
    <row r="211" spans="1:19" x14ac:dyDescent="0.2">
      <c r="A211" s="1" t="s">
        <v>419</v>
      </c>
      <c r="B211" s="1" t="s">
        <v>40</v>
      </c>
      <c r="C211" s="1" t="s">
        <v>418</v>
      </c>
      <c r="D211" s="2" t="s">
        <v>196</v>
      </c>
      <c r="E211" s="2" t="str">
        <f t="shared" si="27"/>
        <v>1</v>
      </c>
      <c r="F211" s="2" t="s">
        <v>43</v>
      </c>
      <c r="G211" s="2" t="s">
        <v>1491</v>
      </c>
      <c r="H211" s="2">
        <f t="shared" si="28"/>
        <v>11</v>
      </c>
      <c r="I211" s="3" t="str">
        <f t="shared" si="25"/>
        <v>1.2.3.02.01</v>
      </c>
      <c r="J211" s="2" t="str">
        <f t="shared" si="26"/>
        <v>DEPRECIACAO/AMORTIZACAO ACUMULADA</v>
      </c>
      <c r="K211" s="2" t="s">
        <v>382</v>
      </c>
      <c r="L211" s="2"/>
      <c r="S211" s="6" t="b">
        <f>C211='Plano de Contas sem ponto'!C211</f>
        <v>1</v>
      </c>
    </row>
    <row r="212" spans="1:19" x14ac:dyDescent="0.2">
      <c r="A212" s="2" t="s">
        <v>420</v>
      </c>
      <c r="B212" s="2" t="s">
        <v>54</v>
      </c>
      <c r="C212" s="2" t="s">
        <v>421</v>
      </c>
      <c r="D212" s="2" t="s">
        <v>196</v>
      </c>
      <c r="E212" s="2" t="str">
        <f t="shared" si="27"/>
        <v>1</v>
      </c>
      <c r="F212" s="2" t="s">
        <v>43</v>
      </c>
      <c r="G212" s="2" t="s">
        <v>1491</v>
      </c>
      <c r="H212" s="2">
        <f t="shared" si="28"/>
        <v>16</v>
      </c>
      <c r="I212" s="3" t="str">
        <f t="shared" si="25"/>
        <v>-</v>
      </c>
      <c r="J212" s="2" t="str">
        <f t="shared" si="26"/>
        <v>DEPRECIACAO/AMORTIZACAO ACUMULADA</v>
      </c>
      <c r="K212" s="2" t="s">
        <v>382</v>
      </c>
      <c r="L212" s="2" t="s">
        <v>1512</v>
      </c>
      <c r="S212" s="6" t="b">
        <f>C212='Plano de Contas sem ponto'!C212</f>
        <v>1</v>
      </c>
    </row>
    <row r="213" spans="1:19" x14ac:dyDescent="0.2">
      <c r="A213" s="2" t="s">
        <v>422</v>
      </c>
      <c r="B213" s="2" t="s">
        <v>54</v>
      </c>
      <c r="C213" s="2" t="s">
        <v>423</v>
      </c>
      <c r="D213" s="2" t="s">
        <v>196</v>
      </c>
      <c r="E213" s="2" t="str">
        <f t="shared" si="27"/>
        <v>1</v>
      </c>
      <c r="F213" s="2" t="s">
        <v>43</v>
      </c>
      <c r="G213" s="2" t="s">
        <v>1491</v>
      </c>
      <c r="H213" s="2">
        <f t="shared" si="28"/>
        <v>16</v>
      </c>
      <c r="I213" s="3" t="str">
        <f t="shared" si="25"/>
        <v>-</v>
      </c>
      <c r="J213" s="2" t="str">
        <f t="shared" si="26"/>
        <v>DEPRECIACAO/AMORTIZACAO ACUMULADA</v>
      </c>
      <c r="K213" s="2" t="s">
        <v>382</v>
      </c>
      <c r="L213" s="2" t="s">
        <v>1512</v>
      </c>
      <c r="S213" s="6" t="b">
        <f>C213='Plano de Contas sem ponto'!C213</f>
        <v>1</v>
      </c>
    </row>
    <row r="214" spans="1:19" x14ac:dyDescent="0.2">
      <c r="A214" s="2" t="s">
        <v>424</v>
      </c>
      <c r="B214" s="2" t="s">
        <v>54</v>
      </c>
      <c r="C214" s="2" t="s">
        <v>393</v>
      </c>
      <c r="D214" s="2" t="s">
        <v>196</v>
      </c>
      <c r="E214" s="2" t="str">
        <f t="shared" si="27"/>
        <v>1</v>
      </c>
      <c r="F214" s="2" t="s">
        <v>43</v>
      </c>
      <c r="G214" s="2" t="s">
        <v>1491</v>
      </c>
      <c r="H214" s="2">
        <f t="shared" si="28"/>
        <v>16</v>
      </c>
      <c r="I214" s="3" t="str">
        <f t="shared" si="25"/>
        <v>-</v>
      </c>
      <c r="J214" s="2" t="str">
        <f t="shared" si="26"/>
        <v>DEPRECIACAO/AMORTIZACAO ACUMULADA</v>
      </c>
      <c r="K214" s="2" t="s">
        <v>382</v>
      </c>
      <c r="L214" s="2" t="s">
        <v>1512</v>
      </c>
      <c r="S214" s="6" t="b">
        <f>C214='Plano de Contas sem ponto'!C214</f>
        <v>1</v>
      </c>
    </row>
    <row r="215" spans="1:19" x14ac:dyDescent="0.2">
      <c r="A215" s="2" t="s">
        <v>425</v>
      </c>
      <c r="B215" s="2" t="s">
        <v>54</v>
      </c>
      <c r="C215" s="2" t="s">
        <v>395</v>
      </c>
      <c r="D215" s="2" t="s">
        <v>196</v>
      </c>
      <c r="E215" s="2" t="str">
        <f t="shared" si="27"/>
        <v>1</v>
      </c>
      <c r="F215" s="2" t="s">
        <v>43</v>
      </c>
      <c r="G215" s="2" t="s">
        <v>1491</v>
      </c>
      <c r="H215" s="2">
        <f t="shared" si="28"/>
        <v>16</v>
      </c>
      <c r="I215" s="3" t="str">
        <f t="shared" si="25"/>
        <v>-</v>
      </c>
      <c r="J215" s="2" t="str">
        <f t="shared" si="26"/>
        <v>DEPRECIACAO/AMORTIZACAO ACUMULADA</v>
      </c>
      <c r="K215" s="2" t="s">
        <v>382</v>
      </c>
      <c r="L215" s="2" t="s">
        <v>1512</v>
      </c>
      <c r="S215" s="6" t="b">
        <f>C215='Plano de Contas sem ponto'!C215</f>
        <v>1</v>
      </c>
    </row>
    <row r="216" spans="1:19" x14ac:dyDescent="0.2">
      <c r="A216" s="2" t="s">
        <v>426</v>
      </c>
      <c r="B216" s="2" t="s">
        <v>54</v>
      </c>
      <c r="C216" s="2" t="s">
        <v>397</v>
      </c>
      <c r="D216" s="2" t="s">
        <v>196</v>
      </c>
      <c r="E216" s="2" t="str">
        <f t="shared" si="27"/>
        <v>1</v>
      </c>
      <c r="F216" s="2" t="s">
        <v>43</v>
      </c>
      <c r="G216" s="2" t="s">
        <v>1491</v>
      </c>
      <c r="H216" s="2">
        <f t="shared" si="28"/>
        <v>16</v>
      </c>
      <c r="I216" s="3" t="str">
        <f t="shared" si="25"/>
        <v>-</v>
      </c>
      <c r="J216" s="2" t="str">
        <f t="shared" si="26"/>
        <v>DEPRECIACAO/AMORTIZACAO ACUMULADA</v>
      </c>
      <c r="K216" s="2" t="s">
        <v>382</v>
      </c>
      <c r="L216" s="2" t="s">
        <v>1512</v>
      </c>
      <c r="S216" s="6" t="b">
        <f>C216='Plano de Contas sem ponto'!C216</f>
        <v>1</v>
      </c>
    </row>
    <row r="217" spans="1:19" x14ac:dyDescent="0.2">
      <c r="A217" s="2" t="s">
        <v>427</v>
      </c>
      <c r="B217" s="2" t="s">
        <v>54</v>
      </c>
      <c r="C217" s="2" t="s">
        <v>401</v>
      </c>
      <c r="D217" s="2" t="s">
        <v>196</v>
      </c>
      <c r="E217" s="2" t="str">
        <f t="shared" si="27"/>
        <v>1</v>
      </c>
      <c r="F217" s="2" t="s">
        <v>43</v>
      </c>
      <c r="G217" s="2" t="s">
        <v>1491</v>
      </c>
      <c r="H217" s="2">
        <f t="shared" si="28"/>
        <v>16</v>
      </c>
      <c r="I217" s="3" t="str">
        <f t="shared" si="25"/>
        <v>-</v>
      </c>
      <c r="J217" s="2" t="str">
        <f t="shared" si="26"/>
        <v>DEPRECIACAO/AMORTIZACAO ACUMULADA</v>
      </c>
      <c r="K217" s="2" t="s">
        <v>437</v>
      </c>
      <c r="L217" s="2" t="s">
        <v>1513</v>
      </c>
      <c r="S217" s="6" t="b">
        <f>C217='Plano de Contas sem ponto'!C217</f>
        <v>1</v>
      </c>
    </row>
    <row r="218" spans="1:19" x14ac:dyDescent="0.2">
      <c r="A218" s="2" t="s">
        <v>428</v>
      </c>
      <c r="B218" s="2" t="s">
        <v>54</v>
      </c>
      <c r="C218" s="2" t="s">
        <v>403</v>
      </c>
      <c r="D218" s="2" t="s">
        <v>196</v>
      </c>
      <c r="E218" s="2" t="str">
        <f t="shared" si="27"/>
        <v>1</v>
      </c>
      <c r="F218" s="2" t="s">
        <v>43</v>
      </c>
      <c r="G218" s="2" t="s">
        <v>1491</v>
      </c>
      <c r="H218" s="2">
        <f t="shared" si="28"/>
        <v>16</v>
      </c>
      <c r="I218" s="3" t="str">
        <f t="shared" si="25"/>
        <v>-</v>
      </c>
      <c r="J218" s="2" t="str">
        <f t="shared" si="26"/>
        <v>DEPRECIACAO/AMORTIZACAO ACUMULADA</v>
      </c>
      <c r="K218" s="2" t="s">
        <v>382</v>
      </c>
      <c r="L218" s="2" t="s">
        <v>1512</v>
      </c>
      <c r="S218" s="6" t="b">
        <f>C218='Plano de Contas sem ponto'!C218</f>
        <v>1</v>
      </c>
    </row>
    <row r="219" spans="1:19" x14ac:dyDescent="0.2">
      <c r="A219" s="2" t="s">
        <v>429</v>
      </c>
      <c r="B219" s="2" t="s">
        <v>54</v>
      </c>
      <c r="C219" s="2" t="s">
        <v>405</v>
      </c>
      <c r="D219" s="2" t="s">
        <v>196</v>
      </c>
      <c r="E219" s="2" t="str">
        <f t="shared" si="27"/>
        <v>1</v>
      </c>
      <c r="F219" s="2" t="s">
        <v>43</v>
      </c>
      <c r="G219" s="2" t="s">
        <v>1491</v>
      </c>
      <c r="H219" s="2">
        <f t="shared" si="28"/>
        <v>16</v>
      </c>
      <c r="I219" s="3" t="str">
        <f t="shared" si="25"/>
        <v>-</v>
      </c>
      <c r="J219" s="2" t="str">
        <f t="shared" si="26"/>
        <v>DEPRECIACAO/AMORTIZACAO ACUMULADA</v>
      </c>
      <c r="K219" s="2" t="s">
        <v>382</v>
      </c>
      <c r="L219" s="2" t="s">
        <v>1512</v>
      </c>
      <c r="S219" s="6" t="b">
        <f>C219='Plano de Contas sem ponto'!C219</f>
        <v>1</v>
      </c>
    </row>
    <row r="220" spans="1:19" x14ac:dyDescent="0.2">
      <c r="A220" s="1" t="s">
        <v>430</v>
      </c>
      <c r="B220" s="1" t="s">
        <v>40</v>
      </c>
      <c r="C220" s="1" t="s">
        <v>431</v>
      </c>
      <c r="D220" s="2" t="s">
        <v>42</v>
      </c>
      <c r="E220" s="2" t="str">
        <f t="shared" si="27"/>
        <v>1</v>
      </c>
      <c r="F220" s="2" t="s">
        <v>43</v>
      </c>
      <c r="G220" s="2" t="s">
        <v>1491</v>
      </c>
      <c r="H220" s="2">
        <f t="shared" si="28"/>
        <v>8</v>
      </c>
      <c r="I220" s="3" t="str">
        <f t="shared" si="25"/>
        <v>-</v>
      </c>
      <c r="J220" s="2" t="str">
        <f t="shared" si="26"/>
        <v>DESNVOLV., IMPLANT. E ADTO P/ AQUIS.DE IMOBILIZADO</v>
      </c>
      <c r="K220" s="2" t="s">
        <v>382</v>
      </c>
      <c r="S220" s="6" t="b">
        <f>C220='Plano de Contas sem ponto'!C220</f>
        <v>1</v>
      </c>
    </row>
    <row r="221" spans="1:19" x14ac:dyDescent="0.2">
      <c r="A221" s="1" t="s">
        <v>432</v>
      </c>
      <c r="B221" s="1" t="s">
        <v>40</v>
      </c>
      <c r="C221" s="1" t="s">
        <v>431</v>
      </c>
      <c r="D221" s="2" t="s">
        <v>42</v>
      </c>
      <c r="E221" s="2" t="str">
        <f t="shared" si="27"/>
        <v>1</v>
      </c>
      <c r="F221" s="2" t="s">
        <v>43</v>
      </c>
      <c r="G221" s="2" t="s">
        <v>1491</v>
      </c>
      <c r="H221" s="2">
        <f t="shared" si="28"/>
        <v>11</v>
      </c>
      <c r="I221" s="3" t="str">
        <f t="shared" si="25"/>
        <v>1.2.3.05.01</v>
      </c>
      <c r="J221" s="2" t="str">
        <f t="shared" si="26"/>
        <v>DESNVOLV., IMPLANT. E ADTO P/ AQUIS.DE IMOBILIZADO</v>
      </c>
      <c r="K221" s="2" t="s">
        <v>382</v>
      </c>
      <c r="S221" s="6" t="b">
        <f>C221='Plano de Contas sem ponto'!C221</f>
        <v>1</v>
      </c>
    </row>
    <row r="222" spans="1:19" x14ac:dyDescent="0.2">
      <c r="A222" s="2" t="s">
        <v>433</v>
      </c>
      <c r="B222" s="2" t="s">
        <v>54</v>
      </c>
      <c r="C222" s="2" t="s">
        <v>434</v>
      </c>
      <c r="D222" s="2" t="s">
        <v>42</v>
      </c>
      <c r="E222" s="2" t="str">
        <f t="shared" si="27"/>
        <v>1</v>
      </c>
      <c r="F222" s="2" t="s">
        <v>43</v>
      </c>
      <c r="G222" s="2" t="s">
        <v>1491</v>
      </c>
      <c r="H222" s="2">
        <f t="shared" si="28"/>
        <v>16</v>
      </c>
      <c r="I222" s="3" t="str">
        <f t="shared" si="25"/>
        <v>-</v>
      </c>
      <c r="J222" s="2" t="str">
        <f t="shared" si="26"/>
        <v>DESNVOLV., IMPLANT. E ADTO P/ AQUIS.DE IMOBILIZADO</v>
      </c>
      <c r="K222" s="2" t="s">
        <v>382</v>
      </c>
      <c r="L222" s="6" t="s">
        <v>1603</v>
      </c>
      <c r="S222" s="6" t="b">
        <f>C222='Plano de Contas sem ponto'!C222</f>
        <v>1</v>
      </c>
    </row>
    <row r="223" spans="1:19" x14ac:dyDescent="0.2">
      <c r="A223" s="2" t="s">
        <v>435</v>
      </c>
      <c r="B223" s="2" t="s">
        <v>54</v>
      </c>
      <c r="C223" s="2" t="s">
        <v>436</v>
      </c>
      <c r="D223" s="2" t="s">
        <v>42</v>
      </c>
      <c r="E223" s="2" t="str">
        <f t="shared" si="27"/>
        <v>1</v>
      </c>
      <c r="F223" s="2" t="s">
        <v>43</v>
      </c>
      <c r="G223" s="2" t="s">
        <v>1491</v>
      </c>
      <c r="H223" s="2">
        <f t="shared" si="28"/>
        <v>16</v>
      </c>
      <c r="I223" s="3" t="str">
        <f t="shared" si="25"/>
        <v>-</v>
      </c>
      <c r="J223" s="2" t="str">
        <f t="shared" si="26"/>
        <v>DESNVOLV., IMPLANT. E ADTO P/ AQUIS.DE IMOBILIZADO</v>
      </c>
      <c r="K223" s="2" t="s">
        <v>382</v>
      </c>
      <c r="L223" s="6" t="s">
        <v>1603</v>
      </c>
      <c r="S223" s="6" t="b">
        <f>C223='Plano de Contas sem ponto'!C223</f>
        <v>1</v>
      </c>
    </row>
    <row r="224" spans="1:19" x14ac:dyDescent="0.2">
      <c r="A224" s="1" t="s">
        <v>438</v>
      </c>
      <c r="B224" s="1" t="s">
        <v>40</v>
      </c>
      <c r="C224" s="1" t="s">
        <v>439</v>
      </c>
      <c r="D224" s="2" t="s">
        <v>42</v>
      </c>
      <c r="E224" s="2" t="str">
        <f t="shared" si="27"/>
        <v>1</v>
      </c>
      <c r="F224" s="2" t="s">
        <v>43</v>
      </c>
      <c r="G224" s="4" t="s">
        <v>1492</v>
      </c>
      <c r="H224" s="2">
        <f t="shared" si="28"/>
        <v>3</v>
      </c>
      <c r="I224" s="3" t="str">
        <f t="shared" si="25"/>
        <v>-</v>
      </c>
      <c r="J224" s="2" t="str">
        <f t="shared" si="26"/>
        <v>ATIVO COMPENSACAO</v>
      </c>
      <c r="K224" s="2" t="s">
        <v>440</v>
      </c>
      <c r="S224" s="6" t="b">
        <f>C224='Plano de Contas sem ponto'!C224</f>
        <v>1</v>
      </c>
    </row>
    <row r="225" spans="1:19" x14ac:dyDescent="0.2">
      <c r="A225" s="1" t="s">
        <v>441</v>
      </c>
      <c r="B225" s="1" t="s">
        <v>40</v>
      </c>
      <c r="C225" s="1" t="s">
        <v>442</v>
      </c>
      <c r="D225" s="2" t="s">
        <v>42</v>
      </c>
      <c r="E225" s="2" t="str">
        <f t="shared" si="27"/>
        <v>1</v>
      </c>
      <c r="F225" s="2" t="s">
        <v>43</v>
      </c>
      <c r="G225" s="4" t="s">
        <v>1492</v>
      </c>
      <c r="H225" s="2">
        <f t="shared" si="28"/>
        <v>5</v>
      </c>
      <c r="I225" s="3" t="str">
        <f t="shared" si="25"/>
        <v>-</v>
      </c>
      <c r="J225" s="2" t="str">
        <f t="shared" si="26"/>
        <v>CONVENIO DPVAT / CRMS</v>
      </c>
      <c r="K225" s="2" t="s">
        <v>440</v>
      </c>
      <c r="S225" s="6" t="b">
        <f>C225='Plano de Contas sem ponto'!C225</f>
        <v>1</v>
      </c>
    </row>
    <row r="226" spans="1:19" x14ac:dyDescent="0.2">
      <c r="A226" s="1" t="s">
        <v>443</v>
      </c>
      <c r="B226" s="1" t="s">
        <v>40</v>
      </c>
      <c r="C226" s="1" t="s">
        <v>444</v>
      </c>
      <c r="D226" s="2" t="s">
        <v>42</v>
      </c>
      <c r="E226" s="2" t="str">
        <f t="shared" si="27"/>
        <v>1</v>
      </c>
      <c r="F226" s="2" t="s">
        <v>43</v>
      </c>
      <c r="G226" s="4" t="s">
        <v>1492</v>
      </c>
      <c r="H226" s="2">
        <f t="shared" si="28"/>
        <v>8</v>
      </c>
      <c r="I226" s="3" t="str">
        <f t="shared" si="25"/>
        <v>-</v>
      </c>
      <c r="J226" s="2" t="str">
        <f t="shared" si="26"/>
        <v>DEBITOS OPERACIONAIS</v>
      </c>
      <c r="K226" s="2" t="s">
        <v>440</v>
      </c>
      <c r="S226" s="6" t="b">
        <f>C226='Plano de Contas sem ponto'!C226</f>
        <v>1</v>
      </c>
    </row>
    <row r="227" spans="1:19" x14ac:dyDescent="0.2">
      <c r="A227" s="1" t="s">
        <v>445</v>
      </c>
      <c r="B227" s="1" t="s">
        <v>40</v>
      </c>
      <c r="C227" s="1" t="s">
        <v>444</v>
      </c>
      <c r="D227" s="2" t="s">
        <v>42</v>
      </c>
      <c r="E227" s="2" t="str">
        <f t="shared" si="27"/>
        <v>1</v>
      </c>
      <c r="F227" s="2" t="s">
        <v>43</v>
      </c>
      <c r="G227" s="4" t="s">
        <v>1492</v>
      </c>
      <c r="H227" s="2">
        <f t="shared" si="28"/>
        <v>11</v>
      </c>
      <c r="I227" s="3" t="str">
        <f t="shared" si="25"/>
        <v>1.9.1.01.01</v>
      </c>
      <c r="J227" s="2" t="str">
        <f t="shared" si="26"/>
        <v>DEBITOS OPERACIONAIS</v>
      </c>
      <c r="K227" s="2" t="s">
        <v>440</v>
      </c>
      <c r="S227" s="6" t="b">
        <f>C227='Plano de Contas sem ponto'!C227</f>
        <v>1</v>
      </c>
    </row>
    <row r="228" spans="1:19" x14ac:dyDescent="0.2">
      <c r="A228" s="2" t="s">
        <v>446</v>
      </c>
      <c r="B228" s="2" t="s">
        <v>54</v>
      </c>
      <c r="C228" s="2" t="s">
        <v>447</v>
      </c>
      <c r="D228" s="2" t="s">
        <v>42</v>
      </c>
      <c r="E228" s="2" t="str">
        <f t="shared" si="27"/>
        <v>1</v>
      </c>
      <c r="F228" s="2" t="s">
        <v>43</v>
      </c>
      <c r="G228" s="4" t="s">
        <v>1492</v>
      </c>
      <c r="H228" s="2">
        <f t="shared" si="28"/>
        <v>16</v>
      </c>
      <c r="I228" s="3" t="str">
        <f t="shared" si="25"/>
        <v>-</v>
      </c>
      <c r="J228" s="2" t="str">
        <f t="shared" si="26"/>
        <v>DEBITOS OPERACIONAIS</v>
      </c>
      <c r="K228" s="2" t="s">
        <v>440</v>
      </c>
      <c r="S228" s="6" t="b">
        <f>C228='Plano de Contas sem ponto'!C228</f>
        <v>1</v>
      </c>
    </row>
    <row r="229" spans="1:19" x14ac:dyDescent="0.2">
      <c r="A229" s="1" t="s">
        <v>448</v>
      </c>
      <c r="B229" s="1" t="s">
        <v>40</v>
      </c>
      <c r="C229" s="1" t="s">
        <v>449</v>
      </c>
      <c r="D229" s="2" t="s">
        <v>42</v>
      </c>
      <c r="E229" s="2" t="str">
        <f t="shared" si="27"/>
        <v>1</v>
      </c>
      <c r="F229" s="2" t="s">
        <v>43</v>
      </c>
      <c r="G229" s="4" t="s">
        <v>1492</v>
      </c>
      <c r="H229" s="2">
        <f t="shared" si="28"/>
        <v>5</v>
      </c>
      <c r="I229" s="3" t="str">
        <f t="shared" si="25"/>
        <v>-</v>
      </c>
      <c r="J229" s="2" t="str">
        <f t="shared" si="26"/>
        <v>APOLICE DE SEGUROS</v>
      </c>
      <c r="K229" s="2" t="s">
        <v>440</v>
      </c>
      <c r="S229" s="6" t="b">
        <f>C229='Plano de Contas sem ponto'!C229</f>
        <v>1</v>
      </c>
    </row>
    <row r="230" spans="1:19" x14ac:dyDescent="0.2">
      <c r="A230" s="1" t="s">
        <v>450</v>
      </c>
      <c r="B230" s="1" t="s">
        <v>40</v>
      </c>
      <c r="C230" s="1" t="s">
        <v>451</v>
      </c>
      <c r="D230" s="2" t="s">
        <v>42</v>
      </c>
      <c r="E230" s="2" t="str">
        <f t="shared" si="27"/>
        <v>1</v>
      </c>
      <c r="F230" s="2" t="s">
        <v>43</v>
      </c>
      <c r="G230" s="4" t="s">
        <v>1492</v>
      </c>
      <c r="H230" s="2">
        <f t="shared" si="28"/>
        <v>8</v>
      </c>
      <c r="I230" s="3" t="str">
        <f t="shared" si="25"/>
        <v>-</v>
      </c>
      <c r="J230" s="2" t="str">
        <f t="shared" si="26"/>
        <v>MODALIDADES DE SEGUROS</v>
      </c>
      <c r="K230" s="2" t="s">
        <v>440</v>
      </c>
      <c r="S230" s="6" t="b">
        <f>C230='Plano de Contas sem ponto'!C230</f>
        <v>1</v>
      </c>
    </row>
    <row r="231" spans="1:19" x14ac:dyDescent="0.2">
      <c r="A231" s="1" t="s">
        <v>452</v>
      </c>
      <c r="B231" s="1" t="s">
        <v>40</v>
      </c>
      <c r="C231" s="1" t="s">
        <v>451</v>
      </c>
      <c r="D231" s="2" t="s">
        <v>42</v>
      </c>
      <c r="E231" s="2" t="str">
        <f t="shared" si="27"/>
        <v>1</v>
      </c>
      <c r="F231" s="2" t="s">
        <v>43</v>
      </c>
      <c r="G231" s="4" t="s">
        <v>1492</v>
      </c>
      <c r="H231" s="2">
        <f t="shared" si="28"/>
        <v>11</v>
      </c>
      <c r="I231" s="3" t="str">
        <f t="shared" si="25"/>
        <v>1.9.2.01.01</v>
      </c>
      <c r="J231" s="2" t="str">
        <f t="shared" si="26"/>
        <v>MODALIDADES DE SEGUROS</v>
      </c>
      <c r="K231" s="2" t="s">
        <v>440</v>
      </c>
      <c r="S231" s="6" t="b">
        <f>C231='Plano de Contas sem ponto'!C231</f>
        <v>1</v>
      </c>
    </row>
    <row r="232" spans="1:19" x14ac:dyDescent="0.2">
      <c r="A232" s="2" t="s">
        <v>453</v>
      </c>
      <c r="B232" s="2" t="s">
        <v>54</v>
      </c>
      <c r="C232" s="2" t="s">
        <v>454</v>
      </c>
      <c r="D232" s="2" t="s">
        <v>42</v>
      </c>
      <c r="E232" s="2" t="str">
        <f t="shared" si="27"/>
        <v>1</v>
      </c>
      <c r="F232" s="2" t="s">
        <v>43</v>
      </c>
      <c r="G232" s="4" t="s">
        <v>1492</v>
      </c>
      <c r="H232" s="2">
        <f t="shared" si="28"/>
        <v>16</v>
      </c>
      <c r="I232" s="3" t="str">
        <f t="shared" si="25"/>
        <v>-</v>
      </c>
      <c r="J232" s="2" t="str">
        <f t="shared" si="26"/>
        <v>MODALIDADES DE SEGUROS</v>
      </c>
      <c r="K232" s="2" t="s">
        <v>440</v>
      </c>
      <c r="S232" s="6" t="b">
        <f>C232='Plano de Contas sem ponto'!C232</f>
        <v>1</v>
      </c>
    </row>
    <row r="233" spans="1:19" x14ac:dyDescent="0.2">
      <c r="A233" s="2" t="s">
        <v>455</v>
      </c>
      <c r="B233" s="2" t="s">
        <v>54</v>
      </c>
      <c r="C233" s="2" t="s">
        <v>456</v>
      </c>
      <c r="D233" s="2" t="s">
        <v>42</v>
      </c>
      <c r="E233" s="2" t="str">
        <f t="shared" si="27"/>
        <v>1</v>
      </c>
      <c r="F233" s="2" t="s">
        <v>43</v>
      </c>
      <c r="G233" s="4" t="s">
        <v>1492</v>
      </c>
      <c r="H233" s="2">
        <f t="shared" si="28"/>
        <v>16</v>
      </c>
      <c r="I233" s="3" t="str">
        <f t="shared" si="25"/>
        <v>-</v>
      </c>
      <c r="J233" s="2" t="str">
        <f t="shared" si="26"/>
        <v>MODALIDADES DE SEGUROS</v>
      </c>
      <c r="K233" s="2" t="s">
        <v>440</v>
      </c>
      <c r="S233" s="6" t="b">
        <f>C233='Plano de Contas sem ponto'!C233</f>
        <v>1</v>
      </c>
    </row>
    <row r="234" spans="1:19" x14ac:dyDescent="0.2">
      <c r="A234" s="2" t="s">
        <v>457</v>
      </c>
      <c r="B234" s="2" t="s">
        <v>54</v>
      </c>
      <c r="C234" s="2" t="s">
        <v>458</v>
      </c>
      <c r="D234" s="2" t="s">
        <v>42</v>
      </c>
      <c r="E234" s="2" t="str">
        <f t="shared" si="27"/>
        <v>1</v>
      </c>
      <c r="F234" s="2" t="s">
        <v>43</v>
      </c>
      <c r="G234" s="4" t="s">
        <v>1492</v>
      </c>
      <c r="H234" s="2">
        <f t="shared" si="28"/>
        <v>16</v>
      </c>
      <c r="I234" s="3" t="str">
        <f t="shared" si="25"/>
        <v>-</v>
      </c>
      <c r="J234" s="2" t="str">
        <f t="shared" si="26"/>
        <v>MODALIDADES DE SEGUROS</v>
      </c>
      <c r="K234" s="2" t="s">
        <v>440</v>
      </c>
      <c r="S234" s="6" t="b">
        <f>C234='Plano de Contas sem ponto'!C234</f>
        <v>1</v>
      </c>
    </row>
    <row r="235" spans="1:19" x14ac:dyDescent="0.2">
      <c r="A235" s="2" t="s">
        <v>459</v>
      </c>
      <c r="B235" s="2" t="s">
        <v>54</v>
      </c>
      <c r="C235" s="2" t="s">
        <v>460</v>
      </c>
      <c r="D235" s="2" t="s">
        <v>42</v>
      </c>
      <c r="E235" s="2" t="str">
        <f t="shared" si="27"/>
        <v>1</v>
      </c>
      <c r="F235" s="2" t="s">
        <v>43</v>
      </c>
      <c r="G235" s="4" t="s">
        <v>1492</v>
      </c>
      <c r="H235" s="2">
        <f t="shared" si="28"/>
        <v>16</v>
      </c>
      <c r="I235" s="3" t="str">
        <f t="shared" si="25"/>
        <v>-</v>
      </c>
      <c r="J235" s="2" t="str">
        <f t="shared" si="26"/>
        <v>MODALIDADES DE SEGUROS</v>
      </c>
      <c r="K235" s="2" t="s">
        <v>440</v>
      </c>
      <c r="S235" s="6" t="b">
        <f>C235='Plano de Contas sem ponto'!C235</f>
        <v>1</v>
      </c>
    </row>
    <row r="236" spans="1:19" x14ac:dyDescent="0.2">
      <c r="A236" s="2" t="s">
        <v>461</v>
      </c>
      <c r="B236" s="2" t="s">
        <v>54</v>
      </c>
      <c r="C236" s="2" t="s">
        <v>462</v>
      </c>
      <c r="D236" s="2" t="s">
        <v>42</v>
      </c>
      <c r="E236" s="2" t="str">
        <f t="shared" si="27"/>
        <v>1</v>
      </c>
      <c r="F236" s="2" t="s">
        <v>43</v>
      </c>
      <c r="G236" s="4" t="s">
        <v>1492</v>
      </c>
      <c r="H236" s="2">
        <f t="shared" si="28"/>
        <v>16</v>
      </c>
      <c r="I236" s="3" t="str">
        <f t="shared" si="25"/>
        <v>-</v>
      </c>
      <c r="J236" s="2" t="str">
        <f t="shared" si="26"/>
        <v>MODALIDADES DE SEGUROS</v>
      </c>
      <c r="K236" s="2" t="s">
        <v>440</v>
      </c>
      <c r="S236" s="6" t="b">
        <f>C236='Plano de Contas sem ponto'!C236</f>
        <v>1</v>
      </c>
    </row>
    <row r="237" spans="1:19" x14ac:dyDescent="0.2">
      <c r="A237" s="2" t="s">
        <v>463</v>
      </c>
      <c r="B237" s="2" t="s">
        <v>54</v>
      </c>
      <c r="C237" s="2" t="s">
        <v>464</v>
      </c>
      <c r="D237" s="2" t="s">
        <v>42</v>
      </c>
      <c r="E237" s="2" t="str">
        <f t="shared" si="27"/>
        <v>1</v>
      </c>
      <c r="F237" s="2" t="s">
        <v>43</v>
      </c>
      <c r="G237" s="4" t="s">
        <v>1492</v>
      </c>
      <c r="H237" s="2">
        <f t="shared" si="28"/>
        <v>16</v>
      </c>
      <c r="I237" s="3" t="str">
        <f t="shared" si="25"/>
        <v>-</v>
      </c>
      <c r="J237" s="2" t="str">
        <f t="shared" si="26"/>
        <v>MODALIDADES DE SEGUROS</v>
      </c>
      <c r="K237" s="2" t="s">
        <v>440</v>
      </c>
      <c r="S237" s="6" t="b">
        <f>C237='Plano de Contas sem ponto'!C237</f>
        <v>1</v>
      </c>
    </row>
    <row r="238" spans="1:19" x14ac:dyDescent="0.2">
      <c r="A238" s="2" t="s">
        <v>465</v>
      </c>
      <c r="B238" s="2" t="s">
        <v>54</v>
      </c>
      <c r="C238" s="2" t="s">
        <v>466</v>
      </c>
      <c r="D238" s="2" t="s">
        <v>42</v>
      </c>
      <c r="E238" s="2" t="str">
        <f t="shared" si="27"/>
        <v>1</v>
      </c>
      <c r="F238" s="2" t="s">
        <v>43</v>
      </c>
      <c r="G238" s="4" t="s">
        <v>1492</v>
      </c>
      <c r="H238" s="2">
        <f t="shared" si="28"/>
        <v>16</v>
      </c>
      <c r="I238" s="3" t="str">
        <f t="shared" si="25"/>
        <v>-</v>
      </c>
      <c r="J238" s="2" t="str">
        <f t="shared" si="26"/>
        <v>MODALIDADES DE SEGUROS</v>
      </c>
      <c r="K238" s="2" t="s">
        <v>440</v>
      </c>
      <c r="S238" s="6" t="b">
        <f>C238='Plano de Contas sem ponto'!C238</f>
        <v>1</v>
      </c>
    </row>
    <row r="239" spans="1:19" x14ac:dyDescent="0.2">
      <c r="A239" s="2" t="s">
        <v>467</v>
      </c>
      <c r="B239" s="2" t="s">
        <v>54</v>
      </c>
      <c r="C239" s="2" t="s">
        <v>468</v>
      </c>
      <c r="D239" s="2" t="s">
        <v>42</v>
      </c>
      <c r="E239" s="2" t="str">
        <f t="shared" si="27"/>
        <v>1</v>
      </c>
      <c r="F239" s="2" t="s">
        <v>43</v>
      </c>
      <c r="G239" s="4" t="s">
        <v>1492</v>
      </c>
      <c r="H239" s="2">
        <f t="shared" si="28"/>
        <v>16</v>
      </c>
      <c r="I239" s="3" t="str">
        <f t="shared" si="25"/>
        <v>-</v>
      </c>
      <c r="J239" s="2" t="str">
        <f t="shared" si="26"/>
        <v>MODALIDADES DE SEGUROS</v>
      </c>
      <c r="K239" s="2" t="s">
        <v>440</v>
      </c>
      <c r="S239" s="6" t="b">
        <f>C239='Plano de Contas sem ponto'!C239</f>
        <v>1</v>
      </c>
    </row>
    <row r="240" spans="1:19" x14ac:dyDescent="0.2">
      <c r="A240" s="2" t="s">
        <v>469</v>
      </c>
      <c r="B240" s="2" t="s">
        <v>54</v>
      </c>
      <c r="C240" s="2" t="s">
        <v>470</v>
      </c>
      <c r="D240" s="2" t="s">
        <v>42</v>
      </c>
      <c r="E240" s="2" t="str">
        <f t="shared" si="27"/>
        <v>1</v>
      </c>
      <c r="F240" s="2" t="s">
        <v>43</v>
      </c>
      <c r="G240" s="4" t="s">
        <v>1492</v>
      </c>
      <c r="H240" s="2">
        <f t="shared" si="28"/>
        <v>16</v>
      </c>
      <c r="I240" s="3" t="str">
        <f t="shared" si="25"/>
        <v>-</v>
      </c>
      <c r="J240" s="2" t="str">
        <f t="shared" si="26"/>
        <v>MODALIDADES DE SEGUROS</v>
      </c>
      <c r="K240" s="2" t="s">
        <v>440</v>
      </c>
      <c r="S240" s="6" t="b">
        <f>C240='Plano de Contas sem ponto'!C240</f>
        <v>1</v>
      </c>
    </row>
    <row r="241" spans="1:19" x14ac:dyDescent="0.2">
      <c r="A241" s="2" t="s">
        <v>471</v>
      </c>
      <c r="B241" s="2" t="s">
        <v>54</v>
      </c>
      <c r="C241" s="2" t="s">
        <v>472</v>
      </c>
      <c r="D241" s="2" t="s">
        <v>42</v>
      </c>
      <c r="E241" s="2" t="str">
        <f t="shared" si="27"/>
        <v>1</v>
      </c>
      <c r="F241" s="2" t="s">
        <v>43</v>
      </c>
      <c r="G241" s="4" t="s">
        <v>1492</v>
      </c>
      <c r="H241" s="2">
        <f t="shared" si="28"/>
        <v>16</v>
      </c>
      <c r="I241" s="3" t="str">
        <f t="shared" si="25"/>
        <v>-</v>
      </c>
      <c r="J241" s="2" t="str">
        <f t="shared" si="26"/>
        <v>MODALIDADES DE SEGUROS</v>
      </c>
      <c r="K241" s="2" t="s">
        <v>440</v>
      </c>
      <c r="S241" s="6" t="b">
        <f>C241='Plano de Contas sem ponto'!C241</f>
        <v>1</v>
      </c>
    </row>
    <row r="242" spans="1:19" x14ac:dyDescent="0.2">
      <c r="A242" s="2" t="s">
        <v>473</v>
      </c>
      <c r="B242" s="2" t="s">
        <v>54</v>
      </c>
      <c r="C242" s="2" t="s">
        <v>474</v>
      </c>
      <c r="D242" s="2" t="s">
        <v>42</v>
      </c>
      <c r="E242" s="2" t="str">
        <f t="shared" si="27"/>
        <v>1</v>
      </c>
      <c r="F242" s="2" t="s">
        <v>43</v>
      </c>
      <c r="G242" s="4" t="s">
        <v>1492</v>
      </c>
      <c r="H242" s="2">
        <f t="shared" si="28"/>
        <v>16</v>
      </c>
      <c r="I242" s="3" t="str">
        <f t="shared" si="25"/>
        <v>-</v>
      </c>
      <c r="J242" s="2" t="str">
        <f t="shared" si="26"/>
        <v>MODALIDADES DE SEGUROS</v>
      </c>
      <c r="K242" s="2" t="s">
        <v>440</v>
      </c>
      <c r="S242" s="6" t="b">
        <f>C242='Plano de Contas sem ponto'!C242</f>
        <v>1</v>
      </c>
    </row>
    <row r="243" spans="1:19" x14ac:dyDescent="0.2">
      <c r="A243" s="2" t="s">
        <v>475</v>
      </c>
      <c r="B243" s="2" t="s">
        <v>54</v>
      </c>
      <c r="C243" s="2" t="s">
        <v>476</v>
      </c>
      <c r="D243" s="2" t="s">
        <v>42</v>
      </c>
      <c r="E243" s="2" t="str">
        <f t="shared" si="27"/>
        <v>1</v>
      </c>
      <c r="F243" s="2" t="s">
        <v>43</v>
      </c>
      <c r="G243" s="4" t="s">
        <v>1492</v>
      </c>
      <c r="H243" s="2">
        <f t="shared" si="28"/>
        <v>16</v>
      </c>
      <c r="I243" s="3" t="str">
        <f t="shared" si="25"/>
        <v>-</v>
      </c>
      <c r="J243" s="2" t="str">
        <f t="shared" si="26"/>
        <v>MODALIDADES DE SEGUROS</v>
      </c>
      <c r="K243" s="2" t="s">
        <v>440</v>
      </c>
      <c r="S243" s="6" t="b">
        <f>C243='Plano de Contas sem ponto'!C243</f>
        <v>1</v>
      </c>
    </row>
    <row r="244" spans="1:19" x14ac:dyDescent="0.2">
      <c r="A244" s="1" t="s">
        <v>477</v>
      </c>
      <c r="B244" s="1" t="s">
        <v>40</v>
      </c>
      <c r="C244" s="1" t="s">
        <v>478</v>
      </c>
      <c r="D244" s="2" t="s">
        <v>196</v>
      </c>
      <c r="E244" s="2" t="str">
        <f t="shared" si="27"/>
        <v>2</v>
      </c>
      <c r="F244" s="2" t="s">
        <v>479</v>
      </c>
      <c r="G244" s="4" t="s">
        <v>1492</v>
      </c>
      <c r="H244" s="2">
        <f t="shared" si="28"/>
        <v>1</v>
      </c>
      <c r="I244" s="3" t="str">
        <f t="shared" si="25"/>
        <v>-</v>
      </c>
      <c r="J244" s="2" t="str">
        <f t="shared" si="26"/>
        <v>PASSIVO</v>
      </c>
      <c r="S244" s="6" t="b">
        <f>C244='Plano de Contas sem ponto'!C244</f>
        <v>1</v>
      </c>
    </row>
    <row r="245" spans="1:19" x14ac:dyDescent="0.2">
      <c r="A245" s="1" t="s">
        <v>480</v>
      </c>
      <c r="B245" s="1" t="s">
        <v>40</v>
      </c>
      <c r="C245" s="1" t="s">
        <v>481</v>
      </c>
      <c r="D245" s="2" t="s">
        <v>196</v>
      </c>
      <c r="E245" s="2" t="str">
        <f t="shared" si="27"/>
        <v>2</v>
      </c>
      <c r="F245" s="2" t="s">
        <v>479</v>
      </c>
      <c r="G245" s="2" t="s">
        <v>1490</v>
      </c>
      <c r="H245" s="2">
        <f t="shared" si="28"/>
        <v>3</v>
      </c>
      <c r="I245" s="3" t="str">
        <f t="shared" si="25"/>
        <v>-</v>
      </c>
      <c r="J245" s="2" t="str">
        <f t="shared" si="26"/>
        <v>PASSIVO CIRCULANTE</v>
      </c>
      <c r="S245" s="6" t="b">
        <f>C245='Plano de Contas sem ponto'!C245</f>
        <v>1</v>
      </c>
    </row>
    <row r="246" spans="1:19" x14ac:dyDescent="0.2">
      <c r="A246" s="1" t="s">
        <v>482</v>
      </c>
      <c r="B246" s="1" t="s">
        <v>40</v>
      </c>
      <c r="C246" s="1" t="s">
        <v>483</v>
      </c>
      <c r="D246" s="2" t="s">
        <v>196</v>
      </c>
      <c r="E246" s="2" t="str">
        <f t="shared" si="27"/>
        <v>2</v>
      </c>
      <c r="F246" s="2" t="s">
        <v>479</v>
      </c>
      <c r="G246" s="2" t="s">
        <v>1490</v>
      </c>
      <c r="H246" s="2">
        <f t="shared" si="28"/>
        <v>5</v>
      </c>
      <c r="I246" s="3" t="str">
        <f t="shared" si="25"/>
        <v>-</v>
      </c>
      <c r="J246" s="2" t="str">
        <f t="shared" si="26"/>
        <v>FORNECEDORES</v>
      </c>
      <c r="K246" s="2" t="s">
        <v>484</v>
      </c>
      <c r="S246" s="6" t="b">
        <f>C246='Plano de Contas sem ponto'!C246</f>
        <v>1</v>
      </c>
    </row>
    <row r="247" spans="1:19" x14ac:dyDescent="0.2">
      <c r="A247" s="1" t="s">
        <v>485</v>
      </c>
      <c r="B247" s="1" t="s">
        <v>40</v>
      </c>
      <c r="C247" s="1" t="s">
        <v>483</v>
      </c>
      <c r="D247" s="2" t="s">
        <v>196</v>
      </c>
      <c r="E247" s="2" t="str">
        <f t="shared" si="27"/>
        <v>2</v>
      </c>
      <c r="F247" s="2" t="s">
        <v>479</v>
      </c>
      <c r="G247" s="2" t="s">
        <v>1490</v>
      </c>
      <c r="H247" s="2">
        <f t="shared" si="28"/>
        <v>8</v>
      </c>
      <c r="I247" s="3" t="str">
        <f t="shared" si="25"/>
        <v>-</v>
      </c>
      <c r="J247" s="2" t="str">
        <f t="shared" si="26"/>
        <v>FORNECEDORES</v>
      </c>
      <c r="K247" s="2" t="s">
        <v>484</v>
      </c>
      <c r="S247" s="6" t="b">
        <f>C247='Plano de Contas sem ponto'!C247</f>
        <v>1</v>
      </c>
    </row>
    <row r="248" spans="1:19" x14ac:dyDescent="0.2">
      <c r="A248" s="1" t="s">
        <v>486</v>
      </c>
      <c r="B248" s="1" t="s">
        <v>40</v>
      </c>
      <c r="C248" s="1" t="s">
        <v>483</v>
      </c>
      <c r="D248" s="2" t="s">
        <v>196</v>
      </c>
      <c r="E248" s="2" t="str">
        <f t="shared" si="27"/>
        <v>2</v>
      </c>
      <c r="F248" s="2" t="s">
        <v>479</v>
      </c>
      <c r="G248" s="2" t="s">
        <v>1490</v>
      </c>
      <c r="H248" s="2">
        <f t="shared" si="28"/>
        <v>11</v>
      </c>
      <c r="I248" s="3" t="str">
        <f t="shared" si="25"/>
        <v>2.1.1.01.01</v>
      </c>
      <c r="J248" s="2" t="str">
        <f t="shared" si="26"/>
        <v>FORNECEDORES</v>
      </c>
      <c r="K248" s="2" t="s">
        <v>484</v>
      </c>
      <c r="S248" s="6" t="b">
        <f>C248='Plano de Contas sem ponto'!C248</f>
        <v>1</v>
      </c>
    </row>
    <row r="249" spans="1:19" x14ac:dyDescent="0.2">
      <c r="A249" s="2" t="s">
        <v>487</v>
      </c>
      <c r="B249" s="2" t="s">
        <v>54</v>
      </c>
      <c r="C249" s="2" t="s">
        <v>483</v>
      </c>
      <c r="D249" s="2" t="s">
        <v>196</v>
      </c>
      <c r="E249" s="2" t="str">
        <f t="shared" si="27"/>
        <v>2</v>
      </c>
      <c r="F249" s="2" t="s">
        <v>479</v>
      </c>
      <c r="G249" s="2" t="s">
        <v>1490</v>
      </c>
      <c r="H249" s="2">
        <f t="shared" si="28"/>
        <v>16</v>
      </c>
      <c r="I249" s="3" t="str">
        <f t="shared" si="25"/>
        <v>-</v>
      </c>
      <c r="J249" s="2" t="str">
        <f t="shared" si="26"/>
        <v>FORNECEDORES</v>
      </c>
      <c r="K249" s="2" t="s">
        <v>484</v>
      </c>
      <c r="S249" s="6" t="b">
        <f>C249='Plano de Contas sem ponto'!C249</f>
        <v>1</v>
      </c>
    </row>
    <row r="250" spans="1:19" x14ac:dyDescent="0.2">
      <c r="A250" s="1" t="s">
        <v>488</v>
      </c>
      <c r="B250" s="1" t="s">
        <v>40</v>
      </c>
      <c r="C250" s="1" t="s">
        <v>489</v>
      </c>
      <c r="D250" s="2" t="s">
        <v>196</v>
      </c>
      <c r="E250" s="2" t="str">
        <f t="shared" si="27"/>
        <v>2</v>
      </c>
      <c r="F250" s="2" t="s">
        <v>479</v>
      </c>
      <c r="G250" s="2" t="s">
        <v>1490</v>
      </c>
      <c r="H250" s="2">
        <f t="shared" si="28"/>
        <v>8</v>
      </c>
      <c r="I250" s="3" t="str">
        <f t="shared" si="25"/>
        <v>-</v>
      </c>
      <c r="J250" s="2" t="str">
        <f t="shared" si="26"/>
        <v>TRANSITORIA DE RH</v>
      </c>
      <c r="K250" s="2" t="s">
        <v>484</v>
      </c>
      <c r="S250" s="6" t="b">
        <f>C250='Plano de Contas sem ponto'!C250</f>
        <v>1</v>
      </c>
    </row>
    <row r="251" spans="1:19" x14ac:dyDescent="0.2">
      <c r="A251" s="1" t="s">
        <v>490</v>
      </c>
      <c r="B251" s="1" t="s">
        <v>40</v>
      </c>
      <c r="C251" s="1" t="s">
        <v>489</v>
      </c>
      <c r="D251" s="2" t="s">
        <v>196</v>
      </c>
      <c r="E251" s="2" t="str">
        <f t="shared" si="27"/>
        <v>2</v>
      </c>
      <c r="F251" s="2" t="s">
        <v>479</v>
      </c>
      <c r="G251" s="2" t="s">
        <v>1490</v>
      </c>
      <c r="H251" s="2">
        <f t="shared" si="28"/>
        <v>11</v>
      </c>
      <c r="I251" s="3" t="str">
        <f t="shared" si="25"/>
        <v>2.1.1.02.01</v>
      </c>
      <c r="J251" s="2" t="str">
        <f t="shared" si="26"/>
        <v>TRANSITORIA DE RH</v>
      </c>
      <c r="K251" s="2" t="s">
        <v>484</v>
      </c>
      <c r="S251" s="6" t="b">
        <f>C251='Plano de Contas sem ponto'!C251</f>
        <v>1</v>
      </c>
    </row>
    <row r="252" spans="1:19" x14ac:dyDescent="0.2">
      <c r="A252" s="2" t="s">
        <v>491</v>
      </c>
      <c r="B252" s="2" t="s">
        <v>54</v>
      </c>
      <c r="C252" s="2" t="s">
        <v>492</v>
      </c>
      <c r="D252" s="2" t="s">
        <v>196</v>
      </c>
      <c r="E252" s="2" t="str">
        <f t="shared" si="27"/>
        <v>2</v>
      </c>
      <c r="F252" s="2" t="s">
        <v>479</v>
      </c>
      <c r="G252" s="2" t="s">
        <v>1490</v>
      </c>
      <c r="H252" s="2">
        <f t="shared" si="28"/>
        <v>16</v>
      </c>
      <c r="I252" s="3" t="str">
        <f t="shared" si="25"/>
        <v>-</v>
      </c>
      <c r="J252" s="2" t="str">
        <f t="shared" si="26"/>
        <v>TRANSITORIA DE RH</v>
      </c>
      <c r="K252" s="2" t="s">
        <v>484</v>
      </c>
      <c r="S252" s="6" t="b">
        <f>C252='Plano de Contas sem ponto'!C252</f>
        <v>1</v>
      </c>
    </row>
    <row r="253" spans="1:19" x14ac:dyDescent="0.2">
      <c r="A253" s="2" t="s">
        <v>493</v>
      </c>
      <c r="B253" s="2" t="s">
        <v>54</v>
      </c>
      <c r="C253" s="2" t="s">
        <v>494</v>
      </c>
      <c r="D253" s="2" t="s">
        <v>196</v>
      </c>
      <c r="E253" s="2" t="str">
        <f t="shared" si="27"/>
        <v>2</v>
      </c>
      <c r="F253" s="2" t="s">
        <v>479</v>
      </c>
      <c r="G253" s="2" t="s">
        <v>1490</v>
      </c>
      <c r="H253" s="2">
        <f t="shared" si="28"/>
        <v>16</v>
      </c>
      <c r="I253" s="3" t="str">
        <f t="shared" si="25"/>
        <v>-</v>
      </c>
      <c r="J253" s="2" t="str">
        <f t="shared" si="26"/>
        <v>TRANSITORIA DE RH</v>
      </c>
      <c r="K253" s="2" t="s">
        <v>484</v>
      </c>
      <c r="S253" s="6" t="b">
        <f>C253='Plano de Contas sem ponto'!C253</f>
        <v>1</v>
      </c>
    </row>
    <row r="254" spans="1:19" x14ac:dyDescent="0.2">
      <c r="A254" s="2" t="s">
        <v>495</v>
      </c>
      <c r="B254" s="2" t="s">
        <v>54</v>
      </c>
      <c r="C254" s="2" t="s">
        <v>496</v>
      </c>
      <c r="D254" s="2" t="s">
        <v>196</v>
      </c>
      <c r="E254" s="2" t="str">
        <f t="shared" si="27"/>
        <v>2</v>
      </c>
      <c r="F254" s="2" t="s">
        <v>479</v>
      </c>
      <c r="G254" s="2" t="s">
        <v>1490</v>
      </c>
      <c r="H254" s="2">
        <f t="shared" si="28"/>
        <v>16</v>
      </c>
      <c r="I254" s="3" t="str">
        <f t="shared" si="25"/>
        <v>-</v>
      </c>
      <c r="J254" s="2" t="str">
        <f t="shared" si="26"/>
        <v>TRANSITORIA DE RH</v>
      </c>
      <c r="K254" s="2" t="s">
        <v>484</v>
      </c>
      <c r="S254" s="6" t="b">
        <f>C254='Plano de Contas sem ponto'!C254</f>
        <v>1</v>
      </c>
    </row>
    <row r="255" spans="1:19" x14ac:dyDescent="0.2">
      <c r="A255" s="1" t="s">
        <v>497</v>
      </c>
      <c r="B255" s="1" t="s">
        <v>40</v>
      </c>
      <c r="C255" s="1" t="s">
        <v>293</v>
      </c>
      <c r="D255" s="2" t="s">
        <v>196</v>
      </c>
      <c r="E255" s="2" t="str">
        <f t="shared" si="27"/>
        <v>2</v>
      </c>
      <c r="F255" s="2" t="s">
        <v>479</v>
      </c>
      <c r="G255" s="2" t="s">
        <v>1490</v>
      </c>
      <c r="H255" s="2">
        <f t="shared" si="28"/>
        <v>8</v>
      </c>
      <c r="I255" s="3" t="str">
        <f t="shared" si="25"/>
        <v>-</v>
      </c>
      <c r="J255" s="2" t="str">
        <f t="shared" si="26"/>
        <v>PARTES RELACIONADAS</v>
      </c>
      <c r="K255" s="2" t="s">
        <v>498</v>
      </c>
      <c r="L255" s="2"/>
      <c r="S255" s="6" t="b">
        <f>C255='Plano de Contas sem ponto'!C255</f>
        <v>1</v>
      </c>
    </row>
    <row r="256" spans="1:19" x14ac:dyDescent="0.2">
      <c r="A256" s="1" t="s">
        <v>499</v>
      </c>
      <c r="B256" s="1" t="s">
        <v>40</v>
      </c>
      <c r="C256" s="1" t="s">
        <v>293</v>
      </c>
      <c r="D256" s="2" t="s">
        <v>196</v>
      </c>
      <c r="E256" s="2" t="str">
        <f t="shared" si="27"/>
        <v>2</v>
      </c>
      <c r="F256" s="2" t="s">
        <v>479</v>
      </c>
      <c r="G256" s="2" t="s">
        <v>1490</v>
      </c>
      <c r="H256" s="2">
        <f t="shared" si="28"/>
        <v>11</v>
      </c>
      <c r="I256" s="3" t="str">
        <f t="shared" si="25"/>
        <v>2.1.1.03.01</v>
      </c>
      <c r="J256" s="2" t="str">
        <f t="shared" si="26"/>
        <v>PARTES RELACIONADAS</v>
      </c>
      <c r="K256" s="2" t="s">
        <v>498</v>
      </c>
      <c r="L256" s="2"/>
      <c r="S256" s="6" t="b">
        <f>C256='Plano de Contas sem ponto'!C256</f>
        <v>1</v>
      </c>
    </row>
    <row r="257" spans="1:19" x14ac:dyDescent="0.2">
      <c r="A257" s="2" t="s">
        <v>500</v>
      </c>
      <c r="B257" s="2" t="s">
        <v>54</v>
      </c>
      <c r="C257" s="2" t="s">
        <v>293</v>
      </c>
      <c r="D257" s="2" t="s">
        <v>196</v>
      </c>
      <c r="E257" s="2" t="str">
        <f t="shared" si="27"/>
        <v>2</v>
      </c>
      <c r="F257" s="2" t="s">
        <v>479</v>
      </c>
      <c r="G257" s="2" t="s">
        <v>1490</v>
      </c>
      <c r="H257" s="2">
        <f t="shared" si="28"/>
        <v>16</v>
      </c>
      <c r="I257" s="3" t="str">
        <f t="shared" si="25"/>
        <v>-</v>
      </c>
      <c r="J257" s="2" t="str">
        <f t="shared" si="26"/>
        <v>PARTES RELACIONADAS</v>
      </c>
      <c r="K257" s="2" t="s">
        <v>498</v>
      </c>
      <c r="L257" s="2"/>
      <c r="S257" s="6" t="b">
        <f>C257='Plano de Contas sem ponto'!C257</f>
        <v>1</v>
      </c>
    </row>
    <row r="258" spans="1:19" x14ac:dyDescent="0.2">
      <c r="A258" s="1" t="s">
        <v>501</v>
      </c>
      <c r="B258" s="1" t="s">
        <v>40</v>
      </c>
      <c r="C258" s="1" t="s">
        <v>502</v>
      </c>
      <c r="D258" s="2" t="s">
        <v>196</v>
      </c>
      <c r="E258" s="2" t="str">
        <f t="shared" si="27"/>
        <v>2</v>
      </c>
      <c r="F258" s="2" t="s">
        <v>479</v>
      </c>
      <c r="G258" s="2" t="s">
        <v>1490</v>
      </c>
      <c r="H258" s="2">
        <f t="shared" si="28"/>
        <v>5</v>
      </c>
      <c r="I258" s="3" t="str">
        <f t="shared" si="25"/>
        <v>-</v>
      </c>
      <c r="J258" s="2" t="str">
        <f t="shared" si="26"/>
        <v>OBRIGACOES FISCAIS</v>
      </c>
      <c r="K258" s="2" t="s">
        <v>503</v>
      </c>
      <c r="S258" s="6" t="b">
        <f>C258='Plano de Contas sem ponto'!C258</f>
        <v>1</v>
      </c>
    </row>
    <row r="259" spans="1:19" x14ac:dyDescent="0.2">
      <c r="A259" s="1" t="s">
        <v>504</v>
      </c>
      <c r="B259" s="1" t="s">
        <v>40</v>
      </c>
      <c r="C259" s="1" t="s">
        <v>505</v>
      </c>
      <c r="D259" s="2" t="s">
        <v>196</v>
      </c>
      <c r="E259" s="2" t="str">
        <f t="shared" si="27"/>
        <v>2</v>
      </c>
      <c r="F259" s="2" t="s">
        <v>479</v>
      </c>
      <c r="G259" s="2" t="s">
        <v>1490</v>
      </c>
      <c r="H259" s="2">
        <f t="shared" si="28"/>
        <v>8</v>
      </c>
      <c r="I259" s="3" t="str">
        <f t="shared" si="25"/>
        <v>-</v>
      </c>
      <c r="J259" s="2" t="str">
        <f t="shared" si="26"/>
        <v>IMPOSTOS</v>
      </c>
      <c r="K259" s="2" t="s">
        <v>503</v>
      </c>
      <c r="S259" s="6" t="b">
        <f>C259='Plano de Contas sem ponto'!C259</f>
        <v>1</v>
      </c>
    </row>
    <row r="260" spans="1:19" x14ac:dyDescent="0.2">
      <c r="A260" s="1" t="s">
        <v>506</v>
      </c>
      <c r="B260" s="1" t="s">
        <v>40</v>
      </c>
      <c r="C260" s="1" t="s">
        <v>507</v>
      </c>
      <c r="D260" s="2" t="s">
        <v>196</v>
      </c>
      <c r="E260" s="2" t="str">
        <f t="shared" si="27"/>
        <v>2</v>
      </c>
      <c r="F260" s="2" t="s">
        <v>479</v>
      </c>
      <c r="G260" s="2" t="s">
        <v>1490</v>
      </c>
      <c r="H260" s="2">
        <f t="shared" si="28"/>
        <v>11</v>
      </c>
      <c r="I260" s="3" t="str">
        <f t="shared" si="25"/>
        <v>2.1.2.01.01</v>
      </c>
      <c r="J260" s="2" t="str">
        <f t="shared" si="26"/>
        <v>IRRF</v>
      </c>
      <c r="K260" s="2" t="s">
        <v>503</v>
      </c>
      <c r="L260" s="10" t="s">
        <v>1563</v>
      </c>
      <c r="S260" s="6" t="b">
        <f>C260='Plano de Contas sem ponto'!C260</f>
        <v>1</v>
      </c>
    </row>
    <row r="261" spans="1:19" x14ac:dyDescent="0.2">
      <c r="A261" s="2" t="s">
        <v>508</v>
      </c>
      <c r="B261" s="2" t="s">
        <v>54</v>
      </c>
      <c r="C261" s="2" t="s">
        <v>509</v>
      </c>
      <c r="D261" s="2" t="s">
        <v>196</v>
      </c>
      <c r="E261" s="2" t="str">
        <f t="shared" si="27"/>
        <v>2</v>
      </c>
      <c r="F261" s="2" t="s">
        <v>479</v>
      </c>
      <c r="G261" s="2" t="s">
        <v>1490</v>
      </c>
      <c r="H261" s="2">
        <f t="shared" si="28"/>
        <v>16</v>
      </c>
      <c r="I261" s="3" t="str">
        <f t="shared" si="25"/>
        <v>-</v>
      </c>
      <c r="J261" s="2" t="str">
        <f t="shared" si="26"/>
        <v>IRRF</v>
      </c>
      <c r="K261" s="2" t="s">
        <v>503</v>
      </c>
      <c r="L261" s="10" t="s">
        <v>1563</v>
      </c>
      <c r="S261" s="6" t="b">
        <f>C261='Plano de Contas sem ponto'!C261</f>
        <v>1</v>
      </c>
    </row>
    <row r="262" spans="1:19" x14ac:dyDescent="0.2">
      <c r="A262" s="2" t="s">
        <v>510</v>
      </c>
      <c r="B262" s="2" t="s">
        <v>54</v>
      </c>
      <c r="C262" s="2" t="s">
        <v>511</v>
      </c>
      <c r="D262" s="2" t="s">
        <v>196</v>
      </c>
      <c r="E262" s="2" t="str">
        <f t="shared" si="27"/>
        <v>2</v>
      </c>
      <c r="F262" s="2" t="s">
        <v>479</v>
      </c>
      <c r="G262" s="2" t="s">
        <v>1490</v>
      </c>
      <c r="H262" s="2">
        <f t="shared" si="28"/>
        <v>16</v>
      </c>
      <c r="I262" s="3" t="str">
        <f t="shared" si="25"/>
        <v>-</v>
      </c>
      <c r="J262" s="2" t="str">
        <f t="shared" si="26"/>
        <v>IRRF</v>
      </c>
      <c r="K262" s="2" t="s">
        <v>503</v>
      </c>
      <c r="L262" s="10" t="s">
        <v>1563</v>
      </c>
      <c r="S262" s="6" t="b">
        <f>C262='Plano de Contas sem ponto'!C262</f>
        <v>1</v>
      </c>
    </row>
    <row r="263" spans="1:19" x14ac:dyDescent="0.2">
      <c r="A263" s="2" t="s">
        <v>512</v>
      </c>
      <c r="B263" s="2" t="s">
        <v>54</v>
      </c>
      <c r="C263" s="2" t="s">
        <v>513</v>
      </c>
      <c r="D263" s="2" t="s">
        <v>196</v>
      </c>
      <c r="E263" s="2" t="str">
        <f t="shared" si="27"/>
        <v>2</v>
      </c>
      <c r="F263" s="2" t="s">
        <v>479</v>
      </c>
      <c r="G263" s="2" t="s">
        <v>1490</v>
      </c>
      <c r="H263" s="2">
        <f t="shared" si="28"/>
        <v>16</v>
      </c>
      <c r="I263" s="3" t="str">
        <f t="shared" si="25"/>
        <v>-</v>
      </c>
      <c r="J263" s="2" t="str">
        <f t="shared" si="26"/>
        <v>IRRF</v>
      </c>
      <c r="K263" s="2" t="s">
        <v>503</v>
      </c>
      <c r="L263" s="10" t="s">
        <v>1563</v>
      </c>
      <c r="S263" s="6" t="b">
        <f>C263='Plano de Contas sem ponto'!C263</f>
        <v>1</v>
      </c>
    </row>
    <row r="264" spans="1:19" x14ac:dyDescent="0.2">
      <c r="A264" s="2" t="s">
        <v>514</v>
      </c>
      <c r="B264" s="2" t="s">
        <v>54</v>
      </c>
      <c r="C264" s="2" t="s">
        <v>515</v>
      </c>
      <c r="D264" s="2" t="s">
        <v>196</v>
      </c>
      <c r="E264" s="2" t="str">
        <f t="shared" si="27"/>
        <v>2</v>
      </c>
      <c r="F264" s="2" t="s">
        <v>479</v>
      </c>
      <c r="G264" s="2" t="s">
        <v>1490</v>
      </c>
      <c r="H264" s="2">
        <f t="shared" si="28"/>
        <v>16</v>
      </c>
      <c r="I264" s="3" t="str">
        <f t="shared" si="25"/>
        <v>-</v>
      </c>
      <c r="J264" s="2" t="str">
        <f t="shared" si="26"/>
        <v>IRRF</v>
      </c>
      <c r="K264" s="2" t="s">
        <v>503</v>
      </c>
      <c r="L264" s="10" t="s">
        <v>1563</v>
      </c>
      <c r="S264" s="6" t="b">
        <f>C264='Plano de Contas sem ponto'!C264</f>
        <v>1</v>
      </c>
    </row>
    <row r="265" spans="1:19" x14ac:dyDescent="0.2">
      <c r="A265" s="2" t="s">
        <v>516</v>
      </c>
      <c r="B265" s="2" t="s">
        <v>54</v>
      </c>
      <c r="C265" s="2" t="s">
        <v>517</v>
      </c>
      <c r="D265" s="2" t="s">
        <v>196</v>
      </c>
      <c r="E265" s="2" t="str">
        <f t="shared" si="27"/>
        <v>2</v>
      </c>
      <c r="F265" s="2" t="s">
        <v>479</v>
      </c>
      <c r="G265" s="2" t="s">
        <v>1490</v>
      </c>
      <c r="H265" s="2">
        <f t="shared" si="28"/>
        <v>16</v>
      </c>
      <c r="I265" s="3" t="str">
        <f t="shared" si="25"/>
        <v>-</v>
      </c>
      <c r="J265" s="2" t="str">
        <f t="shared" si="26"/>
        <v>IRRF</v>
      </c>
      <c r="K265" s="2" t="s">
        <v>503</v>
      </c>
      <c r="L265" s="10" t="s">
        <v>1563</v>
      </c>
      <c r="S265" s="6" t="b">
        <f>C265='Plano de Contas sem ponto'!C265</f>
        <v>1</v>
      </c>
    </row>
    <row r="266" spans="1:19" x14ac:dyDescent="0.2">
      <c r="A266" s="1" t="s">
        <v>518</v>
      </c>
      <c r="B266" s="1" t="s">
        <v>40</v>
      </c>
      <c r="C266" s="1" t="s">
        <v>519</v>
      </c>
      <c r="D266" s="2" t="s">
        <v>196</v>
      </c>
      <c r="E266" s="2" t="str">
        <f t="shared" si="27"/>
        <v>2</v>
      </c>
      <c r="F266" s="2" t="s">
        <v>479</v>
      </c>
      <c r="G266" s="2" t="s">
        <v>1490</v>
      </c>
      <c r="H266" s="2">
        <f t="shared" si="28"/>
        <v>11</v>
      </c>
      <c r="I266" s="3" t="str">
        <f t="shared" si="25"/>
        <v>2.1.2.01.02</v>
      </c>
      <c r="J266" s="2" t="str">
        <f t="shared" si="26"/>
        <v>ISS</v>
      </c>
      <c r="K266" s="2" t="s">
        <v>503</v>
      </c>
      <c r="L266" s="10" t="s">
        <v>1562</v>
      </c>
      <c r="S266" s="6" t="b">
        <f>C266='Plano de Contas sem ponto'!C266</f>
        <v>1</v>
      </c>
    </row>
    <row r="267" spans="1:19" x14ac:dyDescent="0.2">
      <c r="A267" s="2" t="s">
        <v>520</v>
      </c>
      <c r="B267" s="2" t="s">
        <v>54</v>
      </c>
      <c r="C267" s="2" t="s">
        <v>521</v>
      </c>
      <c r="D267" s="2" t="s">
        <v>196</v>
      </c>
      <c r="E267" s="2" t="str">
        <f t="shared" si="27"/>
        <v>2</v>
      </c>
      <c r="F267" s="2" t="s">
        <v>479</v>
      </c>
      <c r="G267" s="2" t="s">
        <v>1490</v>
      </c>
      <c r="H267" s="2">
        <f t="shared" si="28"/>
        <v>16</v>
      </c>
      <c r="I267" s="3" t="str">
        <f t="shared" ref="I267:I331" si="29">IF(H267=11,A267,"-")</f>
        <v>-</v>
      </c>
      <c r="J267" s="2" t="str">
        <f t="shared" ref="J267:J331" si="30">IF(H267&lt;11,C267,IF(I267&lt;&gt;"-",C267,J266))</f>
        <v>ISS</v>
      </c>
      <c r="K267" s="2" t="s">
        <v>503</v>
      </c>
      <c r="L267" s="10" t="s">
        <v>1562</v>
      </c>
      <c r="S267" s="6" t="b">
        <f>C267='Plano de Contas sem ponto'!C267</f>
        <v>1</v>
      </c>
    </row>
    <row r="268" spans="1:19" x14ac:dyDescent="0.2">
      <c r="A268" s="2" t="s">
        <v>522</v>
      </c>
      <c r="B268" s="2" t="s">
        <v>54</v>
      </c>
      <c r="C268" s="2" t="s">
        <v>523</v>
      </c>
      <c r="D268" s="2" t="s">
        <v>196</v>
      </c>
      <c r="E268" s="2" t="str">
        <f t="shared" ref="E268:E332" si="31">LEFT(A268,1)</f>
        <v>2</v>
      </c>
      <c r="F268" s="2" t="s">
        <v>479</v>
      </c>
      <c r="G268" s="2" t="s">
        <v>1490</v>
      </c>
      <c r="H268" s="2">
        <f t="shared" ref="H268:H332" si="32">LEN(A268)</f>
        <v>16</v>
      </c>
      <c r="I268" s="3" t="str">
        <f t="shared" si="29"/>
        <v>-</v>
      </c>
      <c r="J268" s="2" t="str">
        <f t="shared" si="30"/>
        <v>ISS</v>
      </c>
      <c r="K268" s="2" t="s">
        <v>503</v>
      </c>
      <c r="L268" s="10" t="s">
        <v>1562</v>
      </c>
      <c r="S268" s="6" t="b">
        <f>C268='Plano de Contas sem ponto'!C268</f>
        <v>1</v>
      </c>
    </row>
    <row r="269" spans="1:19" x14ac:dyDescent="0.2">
      <c r="A269" s="1" t="s">
        <v>524</v>
      </c>
      <c r="B269" s="1" t="s">
        <v>40</v>
      </c>
      <c r="C269" s="1" t="s">
        <v>525</v>
      </c>
      <c r="D269" s="2" t="s">
        <v>196</v>
      </c>
      <c r="E269" s="2" t="str">
        <f t="shared" si="31"/>
        <v>2</v>
      </c>
      <c r="F269" s="2" t="s">
        <v>479</v>
      </c>
      <c r="G269" s="2" t="s">
        <v>1490</v>
      </c>
      <c r="H269" s="2">
        <f t="shared" si="32"/>
        <v>8</v>
      </c>
      <c r="I269" s="3" t="str">
        <f t="shared" si="29"/>
        <v>-</v>
      </c>
      <c r="J269" s="2" t="str">
        <f t="shared" si="30"/>
        <v>CONTRIBUICOES</v>
      </c>
      <c r="K269" s="2" t="s">
        <v>503</v>
      </c>
      <c r="S269" s="6" t="b">
        <f>C269='Plano de Contas sem ponto'!C269</f>
        <v>1</v>
      </c>
    </row>
    <row r="270" spans="1:19" x14ac:dyDescent="0.2">
      <c r="A270" s="1" t="s">
        <v>526</v>
      </c>
      <c r="B270" s="1" t="s">
        <v>40</v>
      </c>
      <c r="C270" s="1" t="s">
        <v>527</v>
      </c>
      <c r="D270" s="2" t="s">
        <v>196</v>
      </c>
      <c r="E270" s="2" t="str">
        <f t="shared" si="31"/>
        <v>2</v>
      </c>
      <c r="F270" s="2" t="s">
        <v>479</v>
      </c>
      <c r="G270" s="2" t="s">
        <v>1490</v>
      </c>
      <c r="H270" s="2">
        <f t="shared" si="32"/>
        <v>11</v>
      </c>
      <c r="I270" s="3" t="str">
        <f t="shared" si="29"/>
        <v>2.1.2.02.01</v>
      </c>
      <c r="J270" s="2" t="str">
        <f t="shared" si="30"/>
        <v>COFINS</v>
      </c>
      <c r="K270" s="2" t="s">
        <v>503</v>
      </c>
      <c r="L270" s="10" t="s">
        <v>1561</v>
      </c>
      <c r="S270" s="6" t="b">
        <f>C270='Plano de Contas sem ponto'!C270</f>
        <v>1</v>
      </c>
    </row>
    <row r="271" spans="1:19" x14ac:dyDescent="0.2">
      <c r="A271" s="2" t="s">
        <v>528</v>
      </c>
      <c r="B271" s="2" t="s">
        <v>54</v>
      </c>
      <c r="C271" s="2" t="s">
        <v>529</v>
      </c>
      <c r="D271" s="2" t="s">
        <v>196</v>
      </c>
      <c r="E271" s="2" t="str">
        <f t="shared" si="31"/>
        <v>2</v>
      </c>
      <c r="F271" s="2" t="s">
        <v>479</v>
      </c>
      <c r="G271" s="2" t="s">
        <v>1490</v>
      </c>
      <c r="H271" s="2">
        <f t="shared" si="32"/>
        <v>16</v>
      </c>
      <c r="I271" s="3" t="str">
        <f t="shared" si="29"/>
        <v>-</v>
      </c>
      <c r="J271" s="2" t="str">
        <f t="shared" si="30"/>
        <v>COFINS</v>
      </c>
      <c r="K271" s="2" t="s">
        <v>503</v>
      </c>
      <c r="L271" s="10" t="s">
        <v>1561</v>
      </c>
      <c r="S271" s="6" t="b">
        <f>C271='Plano de Contas sem ponto'!C271</f>
        <v>1</v>
      </c>
    </row>
    <row r="272" spans="1:19" x14ac:dyDescent="0.2">
      <c r="A272" s="2" t="s">
        <v>530</v>
      </c>
      <c r="B272" s="2" t="s">
        <v>54</v>
      </c>
      <c r="C272" s="2" t="s">
        <v>531</v>
      </c>
      <c r="D272" s="2" t="s">
        <v>196</v>
      </c>
      <c r="E272" s="2" t="str">
        <f t="shared" si="31"/>
        <v>2</v>
      </c>
      <c r="F272" s="2" t="s">
        <v>479</v>
      </c>
      <c r="G272" s="2" t="s">
        <v>1490</v>
      </c>
      <c r="H272" s="2">
        <f t="shared" si="32"/>
        <v>16</v>
      </c>
      <c r="I272" s="3" t="str">
        <f t="shared" si="29"/>
        <v>-</v>
      </c>
      <c r="J272" s="2" t="str">
        <f t="shared" si="30"/>
        <v>COFINS</v>
      </c>
      <c r="K272" s="2" t="s">
        <v>503</v>
      </c>
      <c r="L272" s="10" t="s">
        <v>1561</v>
      </c>
      <c r="S272" s="6" t="b">
        <f>C272='Plano de Contas sem ponto'!C272</f>
        <v>1</v>
      </c>
    </row>
    <row r="273" spans="1:19" x14ac:dyDescent="0.2">
      <c r="A273" s="2" t="s">
        <v>532</v>
      </c>
      <c r="B273" s="2" t="s">
        <v>54</v>
      </c>
      <c r="C273" s="2" t="s">
        <v>533</v>
      </c>
      <c r="D273" s="2" t="s">
        <v>196</v>
      </c>
      <c r="E273" s="2" t="str">
        <f t="shared" si="31"/>
        <v>2</v>
      </c>
      <c r="F273" s="2" t="s">
        <v>479</v>
      </c>
      <c r="G273" s="2" t="s">
        <v>1490</v>
      </c>
      <c r="H273" s="2">
        <f t="shared" si="32"/>
        <v>16</v>
      </c>
      <c r="I273" s="3" t="str">
        <f t="shared" si="29"/>
        <v>-</v>
      </c>
      <c r="J273" s="2" t="str">
        <f t="shared" si="30"/>
        <v>COFINS</v>
      </c>
      <c r="K273" s="2" t="s">
        <v>503</v>
      </c>
      <c r="L273" s="10" t="s">
        <v>1561</v>
      </c>
      <c r="S273" s="6" t="b">
        <f>C273='Plano de Contas sem ponto'!C273</f>
        <v>1</v>
      </c>
    </row>
    <row r="274" spans="1:19" x14ac:dyDescent="0.2">
      <c r="A274" s="1" t="s">
        <v>534</v>
      </c>
      <c r="B274" s="1" t="s">
        <v>40</v>
      </c>
      <c r="C274" s="1" t="s">
        <v>535</v>
      </c>
      <c r="D274" s="2" t="s">
        <v>196</v>
      </c>
      <c r="E274" s="2" t="str">
        <f t="shared" si="31"/>
        <v>2</v>
      </c>
      <c r="F274" s="2" t="s">
        <v>479</v>
      </c>
      <c r="G274" s="2" t="s">
        <v>1490</v>
      </c>
      <c r="H274" s="2">
        <f t="shared" si="32"/>
        <v>11</v>
      </c>
      <c r="I274" s="3" t="str">
        <f t="shared" si="29"/>
        <v>2.1.2.02.02</v>
      </c>
      <c r="J274" s="2" t="str">
        <f t="shared" si="30"/>
        <v>INSS</v>
      </c>
      <c r="K274" s="2" t="s">
        <v>503</v>
      </c>
      <c r="L274" s="10" t="s">
        <v>1560</v>
      </c>
      <c r="S274" s="6" t="b">
        <f>C274='Plano de Contas sem ponto'!C274</f>
        <v>1</v>
      </c>
    </row>
    <row r="275" spans="1:19" x14ac:dyDescent="0.2">
      <c r="A275" s="2" t="s">
        <v>536</v>
      </c>
      <c r="B275" s="2" t="s">
        <v>54</v>
      </c>
      <c r="C275" s="2" t="s">
        <v>537</v>
      </c>
      <c r="D275" s="2" t="s">
        <v>196</v>
      </c>
      <c r="E275" s="2" t="str">
        <f t="shared" si="31"/>
        <v>2</v>
      </c>
      <c r="F275" s="2" t="s">
        <v>479</v>
      </c>
      <c r="G275" s="2" t="s">
        <v>1490</v>
      </c>
      <c r="H275" s="2">
        <f t="shared" si="32"/>
        <v>16</v>
      </c>
      <c r="I275" s="3" t="str">
        <f t="shared" si="29"/>
        <v>-</v>
      </c>
      <c r="J275" s="2" t="str">
        <f t="shared" si="30"/>
        <v>INSS</v>
      </c>
      <c r="K275" s="2" t="s">
        <v>503</v>
      </c>
      <c r="L275" s="10" t="s">
        <v>1560</v>
      </c>
      <c r="S275" s="6" t="b">
        <f>C275='Plano de Contas sem ponto'!C275</f>
        <v>1</v>
      </c>
    </row>
    <row r="276" spans="1:19" x14ac:dyDescent="0.2">
      <c r="A276" s="2" t="s">
        <v>538</v>
      </c>
      <c r="B276" s="2" t="s">
        <v>54</v>
      </c>
      <c r="C276" s="2" t="s">
        <v>539</v>
      </c>
      <c r="D276" s="2" t="s">
        <v>196</v>
      </c>
      <c r="E276" s="2" t="str">
        <f t="shared" si="31"/>
        <v>2</v>
      </c>
      <c r="F276" s="2" t="s">
        <v>479</v>
      </c>
      <c r="G276" s="2" t="s">
        <v>1490</v>
      </c>
      <c r="H276" s="2">
        <f t="shared" si="32"/>
        <v>16</v>
      </c>
      <c r="I276" s="3" t="str">
        <f t="shared" si="29"/>
        <v>-</v>
      </c>
      <c r="J276" s="2" t="str">
        <f t="shared" si="30"/>
        <v>INSS</v>
      </c>
      <c r="K276" s="2" t="s">
        <v>503</v>
      </c>
      <c r="L276" s="10" t="s">
        <v>1560</v>
      </c>
      <c r="S276" s="6" t="b">
        <f>C276='Plano de Contas sem ponto'!C276</f>
        <v>1</v>
      </c>
    </row>
    <row r="277" spans="1:19" x14ac:dyDescent="0.2">
      <c r="A277" s="2" t="s">
        <v>540</v>
      </c>
      <c r="B277" s="2" t="s">
        <v>54</v>
      </c>
      <c r="C277" s="2" t="s">
        <v>541</v>
      </c>
      <c r="D277" s="2" t="s">
        <v>196</v>
      </c>
      <c r="E277" s="2" t="str">
        <f t="shared" si="31"/>
        <v>2</v>
      </c>
      <c r="F277" s="2" t="s">
        <v>479</v>
      </c>
      <c r="G277" s="2" t="s">
        <v>1490</v>
      </c>
      <c r="H277" s="2">
        <f t="shared" si="32"/>
        <v>16</v>
      </c>
      <c r="I277" s="3" t="str">
        <f t="shared" si="29"/>
        <v>-</v>
      </c>
      <c r="J277" s="2" t="str">
        <f t="shared" si="30"/>
        <v>INSS</v>
      </c>
      <c r="K277" s="2" t="s">
        <v>503</v>
      </c>
      <c r="L277" s="10" t="s">
        <v>1560</v>
      </c>
      <c r="S277" s="6" t="b">
        <f>C277='Plano de Contas sem ponto'!C277</f>
        <v>1</v>
      </c>
    </row>
    <row r="278" spans="1:19" x14ac:dyDescent="0.2">
      <c r="A278" s="1" t="s">
        <v>542</v>
      </c>
      <c r="B278" s="1" t="s">
        <v>40</v>
      </c>
      <c r="C278" s="1" t="s">
        <v>543</v>
      </c>
      <c r="D278" s="2" t="s">
        <v>196</v>
      </c>
      <c r="E278" s="2" t="str">
        <f t="shared" si="31"/>
        <v>2</v>
      </c>
      <c r="F278" s="2" t="s">
        <v>479</v>
      </c>
      <c r="G278" s="2" t="s">
        <v>1490</v>
      </c>
      <c r="H278" s="2">
        <f t="shared" si="32"/>
        <v>11</v>
      </c>
      <c r="I278" s="3" t="str">
        <f t="shared" si="29"/>
        <v>2.1.2.02.03</v>
      </c>
      <c r="J278" s="2" t="str">
        <f t="shared" si="30"/>
        <v>FGTS</v>
      </c>
      <c r="K278" s="2" t="s">
        <v>503</v>
      </c>
      <c r="L278" s="10" t="s">
        <v>1559</v>
      </c>
      <c r="S278" s="6" t="b">
        <f>C278='Plano de Contas sem ponto'!C278</f>
        <v>1</v>
      </c>
    </row>
    <row r="279" spans="1:19" x14ac:dyDescent="0.2">
      <c r="A279" s="2" t="s">
        <v>544</v>
      </c>
      <c r="B279" s="2" t="s">
        <v>54</v>
      </c>
      <c r="C279" s="2" t="s">
        <v>545</v>
      </c>
      <c r="D279" s="2" t="s">
        <v>196</v>
      </c>
      <c r="E279" s="2" t="str">
        <f t="shared" si="31"/>
        <v>2</v>
      </c>
      <c r="F279" s="2" t="s">
        <v>479</v>
      </c>
      <c r="G279" s="2" t="s">
        <v>1490</v>
      </c>
      <c r="H279" s="2">
        <f t="shared" si="32"/>
        <v>16</v>
      </c>
      <c r="I279" s="3" t="str">
        <f t="shared" si="29"/>
        <v>-</v>
      </c>
      <c r="J279" s="2" t="str">
        <f t="shared" si="30"/>
        <v>FGTS</v>
      </c>
      <c r="K279" s="2" t="s">
        <v>503</v>
      </c>
      <c r="L279" s="10" t="s">
        <v>1559</v>
      </c>
      <c r="S279" s="6" t="b">
        <f>C279='Plano de Contas sem ponto'!C279</f>
        <v>1</v>
      </c>
    </row>
    <row r="280" spans="1:19" x14ac:dyDescent="0.2">
      <c r="A280" s="1" t="s">
        <v>546</v>
      </c>
      <c r="B280" s="1" t="s">
        <v>40</v>
      </c>
      <c r="C280" s="1" t="s">
        <v>547</v>
      </c>
      <c r="D280" s="2" t="s">
        <v>196</v>
      </c>
      <c r="E280" s="2" t="str">
        <f t="shared" si="31"/>
        <v>2</v>
      </c>
      <c r="F280" s="2" t="s">
        <v>479</v>
      </c>
      <c r="G280" s="2" t="s">
        <v>1490</v>
      </c>
      <c r="H280" s="2">
        <f t="shared" si="32"/>
        <v>11</v>
      </c>
      <c r="I280" s="3" t="str">
        <f t="shared" si="29"/>
        <v>2.1.2.02.04</v>
      </c>
      <c r="J280" s="2" t="str">
        <f t="shared" si="30"/>
        <v>PIS</v>
      </c>
      <c r="K280" s="2" t="s">
        <v>503</v>
      </c>
      <c r="L280" s="10" t="s">
        <v>1558</v>
      </c>
      <c r="S280" s="6" t="b">
        <f>C280='Plano de Contas sem ponto'!C280</f>
        <v>1</v>
      </c>
    </row>
    <row r="281" spans="1:19" x14ac:dyDescent="0.2">
      <c r="A281" s="2" t="s">
        <v>548</v>
      </c>
      <c r="B281" s="2" t="s">
        <v>54</v>
      </c>
      <c r="C281" s="2" t="s">
        <v>549</v>
      </c>
      <c r="D281" s="2" t="s">
        <v>196</v>
      </c>
      <c r="E281" s="2" t="str">
        <f t="shared" si="31"/>
        <v>2</v>
      </c>
      <c r="F281" s="2" t="s">
        <v>479</v>
      </c>
      <c r="G281" s="2" t="s">
        <v>1490</v>
      </c>
      <c r="H281" s="2">
        <f t="shared" si="32"/>
        <v>16</v>
      </c>
      <c r="I281" s="3" t="str">
        <f t="shared" si="29"/>
        <v>-</v>
      </c>
      <c r="J281" s="2" t="str">
        <f t="shared" si="30"/>
        <v>PIS</v>
      </c>
      <c r="K281" s="2" t="s">
        <v>503</v>
      </c>
      <c r="L281" s="10" t="s">
        <v>1558</v>
      </c>
      <c r="S281" s="6" t="b">
        <f>C281='Plano de Contas sem ponto'!C281</f>
        <v>1</v>
      </c>
    </row>
    <row r="282" spans="1:19" x14ac:dyDescent="0.2">
      <c r="A282" s="1" t="s">
        <v>550</v>
      </c>
      <c r="B282" s="1" t="s">
        <v>40</v>
      </c>
      <c r="C282" s="1" t="s">
        <v>551</v>
      </c>
      <c r="D282" s="2" t="s">
        <v>196</v>
      </c>
      <c r="E282" s="2" t="str">
        <f t="shared" si="31"/>
        <v>2</v>
      </c>
      <c r="F282" s="2" t="s">
        <v>479</v>
      </c>
      <c r="G282" s="2" t="s">
        <v>1490</v>
      </c>
      <c r="H282" s="2">
        <f t="shared" si="32"/>
        <v>11</v>
      </c>
      <c r="I282" s="3" t="str">
        <f t="shared" si="29"/>
        <v>2.1.2.02.05</v>
      </c>
      <c r="J282" s="2" t="str">
        <f t="shared" si="30"/>
        <v>OUTRAS CONTRIBUICOES</v>
      </c>
      <c r="K282" s="2" t="s">
        <v>503</v>
      </c>
      <c r="L282" s="10" t="s">
        <v>1558</v>
      </c>
      <c r="S282" s="6" t="b">
        <f>C282='Plano de Contas sem ponto'!C282</f>
        <v>1</v>
      </c>
    </row>
    <row r="283" spans="1:19" x14ac:dyDescent="0.2">
      <c r="A283" s="2" t="s">
        <v>552</v>
      </c>
      <c r="B283" s="2" t="s">
        <v>54</v>
      </c>
      <c r="C283" s="2" t="s">
        <v>553</v>
      </c>
      <c r="D283" s="2" t="s">
        <v>196</v>
      </c>
      <c r="E283" s="2" t="str">
        <f t="shared" si="31"/>
        <v>2</v>
      </c>
      <c r="F283" s="2" t="s">
        <v>479</v>
      </c>
      <c r="G283" s="2" t="s">
        <v>1490</v>
      </c>
      <c r="H283" s="2">
        <f t="shared" si="32"/>
        <v>16</v>
      </c>
      <c r="I283" s="3" t="str">
        <f t="shared" si="29"/>
        <v>-</v>
      </c>
      <c r="J283" s="2" t="str">
        <f t="shared" si="30"/>
        <v>OUTRAS CONTRIBUICOES</v>
      </c>
      <c r="K283" s="2" t="s">
        <v>503</v>
      </c>
      <c r="L283" s="10" t="s">
        <v>1558</v>
      </c>
      <c r="S283" s="6" t="b">
        <f>C283='Plano de Contas sem ponto'!C283</f>
        <v>1</v>
      </c>
    </row>
    <row r="284" spans="1:19" x14ac:dyDescent="0.2">
      <c r="A284" s="2" t="s">
        <v>554</v>
      </c>
      <c r="B284" s="2" t="s">
        <v>54</v>
      </c>
      <c r="C284" s="2" t="s">
        <v>555</v>
      </c>
      <c r="D284" s="2" t="s">
        <v>196</v>
      </c>
      <c r="E284" s="2" t="str">
        <f t="shared" si="31"/>
        <v>2</v>
      </c>
      <c r="F284" s="2" t="s">
        <v>479</v>
      </c>
      <c r="G284" s="2" t="s">
        <v>1490</v>
      </c>
      <c r="H284" s="2">
        <f t="shared" si="32"/>
        <v>16</v>
      </c>
      <c r="I284" s="3" t="str">
        <f t="shared" si="29"/>
        <v>-</v>
      </c>
      <c r="J284" s="2" t="str">
        <f t="shared" si="30"/>
        <v>OUTRAS CONTRIBUICOES</v>
      </c>
      <c r="K284" s="2" t="s">
        <v>503</v>
      </c>
      <c r="L284" s="10" t="s">
        <v>1558</v>
      </c>
      <c r="S284" s="6" t="b">
        <f>C284='Plano de Contas sem ponto'!C284</f>
        <v>1</v>
      </c>
    </row>
    <row r="285" spans="1:19" x14ac:dyDescent="0.2">
      <c r="A285" s="2" t="s">
        <v>556</v>
      </c>
      <c r="B285" s="2" t="s">
        <v>54</v>
      </c>
      <c r="C285" s="2" t="s">
        <v>557</v>
      </c>
      <c r="D285" s="2" t="s">
        <v>196</v>
      </c>
      <c r="E285" s="2" t="str">
        <f t="shared" si="31"/>
        <v>2</v>
      </c>
      <c r="F285" s="2" t="s">
        <v>479</v>
      </c>
      <c r="G285" s="2" t="s">
        <v>1490</v>
      </c>
      <c r="H285" s="2">
        <f t="shared" si="32"/>
        <v>16</v>
      </c>
      <c r="I285" s="3" t="str">
        <f t="shared" si="29"/>
        <v>-</v>
      </c>
      <c r="J285" s="2" t="str">
        <f t="shared" si="30"/>
        <v>OUTRAS CONTRIBUICOES</v>
      </c>
      <c r="K285" s="2" t="s">
        <v>503</v>
      </c>
      <c r="L285" s="10" t="s">
        <v>1558</v>
      </c>
      <c r="S285" s="6" t="b">
        <f>C285='Plano de Contas sem ponto'!C285</f>
        <v>1</v>
      </c>
    </row>
    <row r="286" spans="1:19" x14ac:dyDescent="0.2">
      <c r="A286" s="2" t="s">
        <v>558</v>
      </c>
      <c r="B286" s="2" t="s">
        <v>54</v>
      </c>
      <c r="C286" s="2" t="s">
        <v>559</v>
      </c>
      <c r="D286" s="2" t="s">
        <v>196</v>
      </c>
      <c r="E286" s="2" t="str">
        <f t="shared" si="31"/>
        <v>2</v>
      </c>
      <c r="F286" s="2" t="s">
        <v>479</v>
      </c>
      <c r="G286" s="2" t="s">
        <v>1490</v>
      </c>
      <c r="H286" s="2">
        <f t="shared" si="32"/>
        <v>16</v>
      </c>
      <c r="I286" s="3" t="str">
        <f t="shared" si="29"/>
        <v>-</v>
      </c>
      <c r="J286" s="2" t="str">
        <f t="shared" si="30"/>
        <v>OUTRAS CONTRIBUICOES</v>
      </c>
      <c r="K286" s="2" t="s">
        <v>503</v>
      </c>
      <c r="L286" s="10" t="s">
        <v>1558</v>
      </c>
      <c r="S286" s="6" t="b">
        <f>C286='Plano de Contas sem ponto'!C286</f>
        <v>1</v>
      </c>
    </row>
    <row r="287" spans="1:19" x14ac:dyDescent="0.2">
      <c r="A287" s="2" t="s">
        <v>2920</v>
      </c>
      <c r="B287" s="2" t="s">
        <v>54</v>
      </c>
      <c r="C287" s="2" t="s">
        <v>2921</v>
      </c>
      <c r="D287" s="2" t="s">
        <v>196</v>
      </c>
      <c r="E287" s="2" t="str">
        <f t="shared" ref="E287" si="33">LEFT(A287,1)</f>
        <v>2</v>
      </c>
      <c r="F287" s="2" t="s">
        <v>479</v>
      </c>
      <c r="G287" s="2" t="s">
        <v>1490</v>
      </c>
      <c r="H287" s="2">
        <f t="shared" ref="H287" si="34">LEN(A287)</f>
        <v>16</v>
      </c>
      <c r="I287" s="3" t="str">
        <f t="shared" ref="I287" si="35">IF(H287=11,A287,"-")</f>
        <v>-</v>
      </c>
      <c r="J287" s="2" t="str">
        <f t="shared" ref="J287" si="36">IF(H287&lt;11,C287,IF(I287&lt;&gt;"-",C287,J286))</f>
        <v>OUTRAS CONTRIBUICOES</v>
      </c>
      <c r="K287" s="2" t="s">
        <v>503</v>
      </c>
      <c r="L287" s="10" t="s">
        <v>1558</v>
      </c>
      <c r="S287" s="6" t="b">
        <f>C287='Plano de Contas sem ponto'!C288</f>
        <v>0</v>
      </c>
    </row>
    <row r="288" spans="1:19" x14ac:dyDescent="0.2">
      <c r="A288" s="1" t="s">
        <v>560</v>
      </c>
      <c r="B288" s="1" t="s">
        <v>40</v>
      </c>
      <c r="C288" s="1" t="s">
        <v>561</v>
      </c>
      <c r="D288" s="2" t="s">
        <v>196</v>
      </c>
      <c r="E288" s="2" t="str">
        <f t="shared" si="31"/>
        <v>2</v>
      </c>
      <c r="F288" s="2" t="s">
        <v>479</v>
      </c>
      <c r="G288" s="2" t="s">
        <v>1490</v>
      </c>
      <c r="H288" s="2">
        <f t="shared" si="32"/>
        <v>8</v>
      </c>
      <c r="I288" s="3" t="str">
        <f t="shared" si="29"/>
        <v>-</v>
      </c>
      <c r="J288" s="2" t="str">
        <f>IF(H288&lt;11,C288,IF(I288&lt;&gt;"-",C288,J286))</f>
        <v>IMPOSTOS E CONTRIBUICOES S/ LUCRO</v>
      </c>
      <c r="K288" s="2" t="s">
        <v>503</v>
      </c>
      <c r="L288" s="10" t="s">
        <v>1558</v>
      </c>
      <c r="S288" s="6" t="b">
        <f>C288='Plano de Contas sem ponto'!C288</f>
        <v>1</v>
      </c>
    </row>
    <row r="289" spans="1:19" x14ac:dyDescent="0.2">
      <c r="A289" s="1" t="s">
        <v>562</v>
      </c>
      <c r="B289" s="1" t="s">
        <v>40</v>
      </c>
      <c r="C289" s="1" t="s">
        <v>563</v>
      </c>
      <c r="D289" s="2" t="s">
        <v>196</v>
      </c>
      <c r="E289" s="2" t="str">
        <f t="shared" si="31"/>
        <v>2</v>
      </c>
      <c r="F289" s="2" t="s">
        <v>479</v>
      </c>
      <c r="G289" s="2" t="s">
        <v>1490</v>
      </c>
      <c r="H289" s="2">
        <f t="shared" si="32"/>
        <v>11</v>
      </c>
      <c r="I289" s="3" t="str">
        <f t="shared" si="29"/>
        <v>2.1.2.03.01</v>
      </c>
      <c r="J289" s="2" t="str">
        <f t="shared" si="30"/>
        <v>IMPOSTO DE RENDA S/ LUCRO</v>
      </c>
      <c r="K289" s="2" t="s">
        <v>503</v>
      </c>
      <c r="L289" s="10" t="s">
        <v>1558</v>
      </c>
      <c r="S289" s="6" t="b">
        <f>C289='Plano de Contas sem ponto'!C289</f>
        <v>1</v>
      </c>
    </row>
    <row r="290" spans="1:19" x14ac:dyDescent="0.2">
      <c r="A290" s="2" t="s">
        <v>564</v>
      </c>
      <c r="B290" s="2" t="s">
        <v>54</v>
      </c>
      <c r="C290" s="2" t="s">
        <v>563</v>
      </c>
      <c r="D290" s="2" t="s">
        <v>196</v>
      </c>
      <c r="E290" s="2" t="str">
        <f t="shared" si="31"/>
        <v>2</v>
      </c>
      <c r="F290" s="2" t="s">
        <v>479</v>
      </c>
      <c r="G290" s="2" t="s">
        <v>1490</v>
      </c>
      <c r="H290" s="2">
        <f t="shared" si="32"/>
        <v>16</v>
      </c>
      <c r="I290" s="3" t="str">
        <f t="shared" si="29"/>
        <v>-</v>
      </c>
      <c r="J290" s="2" t="str">
        <f t="shared" si="30"/>
        <v>IMPOSTO DE RENDA S/ LUCRO</v>
      </c>
      <c r="K290" s="2" t="s">
        <v>503</v>
      </c>
      <c r="L290" s="10" t="s">
        <v>1558</v>
      </c>
      <c r="S290" s="6" t="b">
        <f>C290='Plano de Contas sem ponto'!C290</f>
        <v>1</v>
      </c>
    </row>
    <row r="291" spans="1:19" x14ac:dyDescent="0.2">
      <c r="A291" s="1" t="s">
        <v>565</v>
      </c>
      <c r="B291" s="1" t="s">
        <v>40</v>
      </c>
      <c r="C291" s="1" t="s">
        <v>566</v>
      </c>
      <c r="D291" s="2" t="s">
        <v>196</v>
      </c>
      <c r="E291" s="2" t="str">
        <f t="shared" si="31"/>
        <v>2</v>
      </c>
      <c r="F291" s="2" t="s">
        <v>479</v>
      </c>
      <c r="G291" s="2" t="s">
        <v>1490</v>
      </c>
      <c r="H291" s="2">
        <f t="shared" si="32"/>
        <v>11</v>
      </c>
      <c r="I291" s="3" t="str">
        <f t="shared" si="29"/>
        <v>2.1.2.03.02</v>
      </c>
      <c r="J291" s="2" t="str">
        <f t="shared" si="30"/>
        <v>CONTRIBUIÇÃO SOCIAL S/ LUCRO</v>
      </c>
      <c r="K291" s="2" t="s">
        <v>503</v>
      </c>
      <c r="L291" s="10" t="s">
        <v>1558</v>
      </c>
      <c r="S291" s="6" t="b">
        <f>C291='Plano de Contas sem ponto'!C291</f>
        <v>1</v>
      </c>
    </row>
    <row r="292" spans="1:19" x14ac:dyDescent="0.2">
      <c r="A292" s="2" t="s">
        <v>567</v>
      </c>
      <c r="B292" s="2" t="s">
        <v>54</v>
      </c>
      <c r="C292" s="2" t="s">
        <v>566</v>
      </c>
      <c r="D292" s="2" t="s">
        <v>196</v>
      </c>
      <c r="E292" s="2" t="str">
        <f t="shared" si="31"/>
        <v>2</v>
      </c>
      <c r="F292" s="2" t="s">
        <v>479</v>
      </c>
      <c r="G292" s="2" t="s">
        <v>1490</v>
      </c>
      <c r="H292" s="2">
        <f t="shared" si="32"/>
        <v>16</v>
      </c>
      <c r="I292" s="3" t="str">
        <f t="shared" si="29"/>
        <v>-</v>
      </c>
      <c r="J292" s="2" t="str">
        <f t="shared" si="30"/>
        <v>CONTRIBUIÇÃO SOCIAL S/ LUCRO</v>
      </c>
      <c r="K292" s="2" t="s">
        <v>503</v>
      </c>
      <c r="L292" s="10" t="s">
        <v>1558</v>
      </c>
      <c r="S292" s="6" t="b">
        <f>C292='Plano de Contas sem ponto'!C292</f>
        <v>1</v>
      </c>
    </row>
    <row r="293" spans="1:19" x14ac:dyDescent="0.2">
      <c r="A293" s="1" t="s">
        <v>568</v>
      </c>
      <c r="B293" s="1" t="s">
        <v>40</v>
      </c>
      <c r="C293" s="1" t="s">
        <v>569</v>
      </c>
      <c r="D293" s="2" t="s">
        <v>196</v>
      </c>
      <c r="E293" s="2" t="str">
        <f t="shared" si="31"/>
        <v>2</v>
      </c>
      <c r="F293" s="2" t="s">
        <v>479</v>
      </c>
      <c r="G293" s="2" t="s">
        <v>1490</v>
      </c>
      <c r="H293" s="2">
        <f t="shared" si="32"/>
        <v>5</v>
      </c>
      <c r="I293" s="3" t="str">
        <f t="shared" si="29"/>
        <v>-</v>
      </c>
      <c r="J293" s="2" t="str">
        <f t="shared" si="30"/>
        <v>CONTAS A PAGAR</v>
      </c>
      <c r="K293" s="2" t="s">
        <v>570</v>
      </c>
      <c r="S293" s="6" t="b">
        <f>C293='Plano de Contas sem ponto'!C293</f>
        <v>1</v>
      </c>
    </row>
    <row r="294" spans="1:19" x14ac:dyDescent="0.2">
      <c r="A294" s="1" t="s">
        <v>571</v>
      </c>
      <c r="B294" s="1" t="s">
        <v>40</v>
      </c>
      <c r="C294" s="1" t="s">
        <v>572</v>
      </c>
      <c r="D294" s="2" t="s">
        <v>196</v>
      </c>
      <c r="E294" s="2" t="str">
        <f t="shared" si="31"/>
        <v>2</v>
      </c>
      <c r="F294" s="2" t="s">
        <v>479</v>
      </c>
      <c r="G294" s="2" t="s">
        <v>1490</v>
      </c>
      <c r="H294" s="2">
        <f t="shared" si="32"/>
        <v>8</v>
      </c>
      <c r="I294" s="3" t="str">
        <f t="shared" si="29"/>
        <v>-</v>
      </c>
      <c r="J294" s="2" t="str">
        <f t="shared" si="30"/>
        <v>OBRIGACOES A PAGAR</v>
      </c>
      <c r="K294" s="2" t="s">
        <v>570</v>
      </c>
      <c r="S294" s="6" t="b">
        <f>C294='Plano de Contas sem ponto'!C294</f>
        <v>1</v>
      </c>
    </row>
    <row r="295" spans="1:19" x14ac:dyDescent="0.2">
      <c r="A295" s="1" t="s">
        <v>573</v>
      </c>
      <c r="B295" s="1" t="s">
        <v>40</v>
      </c>
      <c r="C295" s="1" t="s">
        <v>572</v>
      </c>
      <c r="D295" s="2" t="s">
        <v>196</v>
      </c>
      <c r="E295" s="2" t="str">
        <f t="shared" si="31"/>
        <v>2</v>
      </c>
      <c r="F295" s="2" t="s">
        <v>479</v>
      </c>
      <c r="G295" s="2" t="s">
        <v>1490</v>
      </c>
      <c r="H295" s="2">
        <f t="shared" si="32"/>
        <v>11</v>
      </c>
      <c r="I295" s="3" t="str">
        <f t="shared" si="29"/>
        <v>2.1.3.01.01</v>
      </c>
      <c r="J295" s="2" t="str">
        <f t="shared" si="30"/>
        <v>OBRIGACOES A PAGAR</v>
      </c>
      <c r="K295" s="2" t="s">
        <v>570</v>
      </c>
      <c r="S295" s="6" t="b">
        <f>C295='Plano de Contas sem ponto'!C295</f>
        <v>1</v>
      </c>
    </row>
    <row r="296" spans="1:19" x14ac:dyDescent="0.2">
      <c r="A296" s="2" t="s">
        <v>574</v>
      </c>
      <c r="B296" s="2" t="s">
        <v>54</v>
      </c>
      <c r="C296" s="2" t="s">
        <v>575</v>
      </c>
      <c r="D296" s="2" t="s">
        <v>196</v>
      </c>
      <c r="E296" s="2" t="str">
        <f t="shared" si="31"/>
        <v>2</v>
      </c>
      <c r="F296" s="2" t="s">
        <v>479</v>
      </c>
      <c r="G296" s="2" t="s">
        <v>1490</v>
      </c>
      <c r="H296" s="2">
        <f t="shared" si="32"/>
        <v>16</v>
      </c>
      <c r="I296" s="3" t="str">
        <f t="shared" si="29"/>
        <v>-</v>
      </c>
      <c r="J296" s="2" t="str">
        <f t="shared" si="30"/>
        <v>OBRIGACOES A PAGAR</v>
      </c>
      <c r="K296" s="2" t="s">
        <v>570</v>
      </c>
      <c r="L296" s="6" t="s">
        <v>1601</v>
      </c>
      <c r="S296" s="6" t="b">
        <f>C296='Plano de Contas sem ponto'!C296</f>
        <v>1</v>
      </c>
    </row>
    <row r="297" spans="1:19" x14ac:dyDescent="0.2">
      <c r="A297" s="2" t="s">
        <v>576</v>
      </c>
      <c r="B297" s="2" t="s">
        <v>54</v>
      </c>
      <c r="C297" s="2" t="s">
        <v>577</v>
      </c>
      <c r="D297" s="2" t="s">
        <v>196</v>
      </c>
      <c r="E297" s="2" t="str">
        <f t="shared" si="31"/>
        <v>2</v>
      </c>
      <c r="F297" s="2" t="s">
        <v>479</v>
      </c>
      <c r="G297" s="2" t="s">
        <v>1490</v>
      </c>
      <c r="H297" s="2">
        <f t="shared" si="32"/>
        <v>16</v>
      </c>
      <c r="I297" s="3" t="str">
        <f t="shared" si="29"/>
        <v>-</v>
      </c>
      <c r="J297" s="2" t="str">
        <f t="shared" si="30"/>
        <v>OBRIGACOES A PAGAR</v>
      </c>
      <c r="K297" s="2" t="s">
        <v>570</v>
      </c>
      <c r="L297" s="6" t="s">
        <v>1601</v>
      </c>
      <c r="S297" s="6" t="b">
        <f>C297='Plano de Contas sem ponto'!C297</f>
        <v>1</v>
      </c>
    </row>
    <row r="298" spans="1:19" x14ac:dyDescent="0.2">
      <c r="A298" s="2" t="s">
        <v>578</v>
      </c>
      <c r="B298" s="2" t="s">
        <v>54</v>
      </c>
      <c r="C298" s="2" t="s">
        <v>579</v>
      </c>
      <c r="D298" s="2" t="s">
        <v>196</v>
      </c>
      <c r="E298" s="2" t="str">
        <f t="shared" si="31"/>
        <v>2</v>
      </c>
      <c r="F298" s="2" t="s">
        <v>479</v>
      </c>
      <c r="G298" s="2" t="s">
        <v>1490</v>
      </c>
      <c r="H298" s="2">
        <f t="shared" si="32"/>
        <v>16</v>
      </c>
      <c r="I298" s="3" t="str">
        <f t="shared" si="29"/>
        <v>-</v>
      </c>
      <c r="J298" s="2" t="str">
        <f t="shared" si="30"/>
        <v>OBRIGACOES A PAGAR</v>
      </c>
      <c r="K298" s="2" t="s">
        <v>570</v>
      </c>
      <c r="L298" s="6" t="s">
        <v>1601</v>
      </c>
      <c r="S298" s="6" t="b">
        <f>C298='Plano de Contas sem ponto'!C298</f>
        <v>1</v>
      </c>
    </row>
    <row r="299" spans="1:19" x14ac:dyDescent="0.2">
      <c r="A299" s="1" t="s">
        <v>580</v>
      </c>
      <c r="B299" s="1" t="s">
        <v>40</v>
      </c>
      <c r="C299" s="1" t="s">
        <v>581</v>
      </c>
      <c r="D299" s="2" t="s">
        <v>196</v>
      </c>
      <c r="E299" s="2" t="str">
        <f t="shared" si="31"/>
        <v>2</v>
      </c>
      <c r="F299" s="2" t="s">
        <v>479</v>
      </c>
      <c r="G299" s="2" t="s">
        <v>1490</v>
      </c>
      <c r="H299" s="2">
        <f t="shared" si="32"/>
        <v>11</v>
      </c>
      <c r="I299" s="3" t="str">
        <f t="shared" si="29"/>
        <v>2.1.3.01.02</v>
      </c>
      <c r="J299" s="2" t="str">
        <f t="shared" si="30"/>
        <v>CONTRIBUICOES A PAGAR</v>
      </c>
      <c r="K299" s="2" t="s">
        <v>570</v>
      </c>
      <c r="S299" s="6" t="b">
        <f>C299='Plano de Contas sem ponto'!C299</f>
        <v>1</v>
      </c>
    </row>
    <row r="300" spans="1:19" x14ac:dyDescent="0.2">
      <c r="A300" s="2" t="s">
        <v>582</v>
      </c>
      <c r="B300" s="2" t="s">
        <v>54</v>
      </c>
      <c r="C300" s="2" t="s">
        <v>583</v>
      </c>
      <c r="D300" s="2" t="s">
        <v>196</v>
      </c>
      <c r="E300" s="2" t="str">
        <f t="shared" si="31"/>
        <v>2</v>
      </c>
      <c r="F300" s="2" t="s">
        <v>479</v>
      </c>
      <c r="G300" s="2" t="s">
        <v>1490</v>
      </c>
      <c r="H300" s="2">
        <f t="shared" si="32"/>
        <v>16</v>
      </c>
      <c r="I300" s="3" t="str">
        <f t="shared" si="29"/>
        <v>-</v>
      </c>
      <c r="J300" s="2" t="str">
        <f t="shared" si="30"/>
        <v>CONTRIBUICOES A PAGAR</v>
      </c>
      <c r="K300" s="2" t="s">
        <v>570</v>
      </c>
      <c r="L300" s="6" t="s">
        <v>1601</v>
      </c>
      <c r="S300" s="6" t="b">
        <f>C300='Plano de Contas sem ponto'!C300</f>
        <v>1</v>
      </c>
    </row>
    <row r="301" spans="1:19" x14ac:dyDescent="0.2">
      <c r="A301" s="2" t="s">
        <v>584</v>
      </c>
      <c r="B301" s="2" t="s">
        <v>54</v>
      </c>
      <c r="C301" s="2" t="s">
        <v>585</v>
      </c>
      <c r="D301" s="2" t="s">
        <v>196</v>
      </c>
      <c r="E301" s="2" t="str">
        <f t="shared" si="31"/>
        <v>2</v>
      </c>
      <c r="F301" s="2" t="s">
        <v>479</v>
      </c>
      <c r="G301" s="2" t="s">
        <v>1490</v>
      </c>
      <c r="H301" s="2">
        <f t="shared" si="32"/>
        <v>16</v>
      </c>
      <c r="I301" s="3" t="str">
        <f t="shared" si="29"/>
        <v>-</v>
      </c>
      <c r="J301" s="2" t="str">
        <f t="shared" si="30"/>
        <v>CONTRIBUICOES A PAGAR</v>
      </c>
      <c r="K301" s="2" t="s">
        <v>570</v>
      </c>
      <c r="L301" s="6" t="s">
        <v>1601</v>
      </c>
      <c r="S301" s="6" t="b">
        <f>C301='Plano de Contas sem ponto'!C301</f>
        <v>1</v>
      </c>
    </row>
    <row r="302" spans="1:19" x14ac:dyDescent="0.2">
      <c r="A302" s="2" t="s">
        <v>586</v>
      </c>
      <c r="B302" s="2" t="s">
        <v>54</v>
      </c>
      <c r="C302" s="2" t="s">
        <v>587</v>
      </c>
      <c r="D302" s="2" t="s">
        <v>196</v>
      </c>
      <c r="E302" s="2" t="str">
        <f t="shared" si="31"/>
        <v>2</v>
      </c>
      <c r="F302" s="2" t="s">
        <v>479</v>
      </c>
      <c r="G302" s="2" t="s">
        <v>1490</v>
      </c>
      <c r="H302" s="2">
        <f t="shared" si="32"/>
        <v>16</v>
      </c>
      <c r="I302" s="3" t="str">
        <f t="shared" si="29"/>
        <v>-</v>
      </c>
      <c r="J302" s="2" t="str">
        <f t="shared" si="30"/>
        <v>CONTRIBUICOES A PAGAR</v>
      </c>
      <c r="K302" s="2" t="s">
        <v>570</v>
      </c>
      <c r="L302" s="6" t="s">
        <v>1601</v>
      </c>
      <c r="S302" s="6" t="b">
        <f>C302='Plano de Contas sem ponto'!C302</f>
        <v>1</v>
      </c>
    </row>
    <row r="303" spans="1:19" x14ac:dyDescent="0.2">
      <c r="A303" s="2" t="s">
        <v>588</v>
      </c>
      <c r="B303" s="2" t="s">
        <v>54</v>
      </c>
      <c r="C303" s="2" t="s">
        <v>589</v>
      </c>
      <c r="D303" s="2" t="s">
        <v>196</v>
      </c>
      <c r="E303" s="2" t="str">
        <f t="shared" si="31"/>
        <v>2</v>
      </c>
      <c r="F303" s="2" t="s">
        <v>479</v>
      </c>
      <c r="G303" s="2" t="s">
        <v>1490</v>
      </c>
      <c r="H303" s="2">
        <f t="shared" si="32"/>
        <v>16</v>
      </c>
      <c r="I303" s="3" t="str">
        <f t="shared" si="29"/>
        <v>-</v>
      </c>
      <c r="J303" s="2" t="str">
        <f t="shared" si="30"/>
        <v>CONTRIBUICOES A PAGAR</v>
      </c>
      <c r="K303" s="2" t="s">
        <v>570</v>
      </c>
      <c r="L303" s="6" t="s">
        <v>1601</v>
      </c>
      <c r="S303" s="6" t="b">
        <f>C303='Plano de Contas sem ponto'!C303</f>
        <v>1</v>
      </c>
    </row>
    <row r="304" spans="1:19" x14ac:dyDescent="0.2">
      <c r="A304" s="1" t="s">
        <v>590</v>
      </c>
      <c r="B304" s="1" t="s">
        <v>40</v>
      </c>
      <c r="C304" s="1" t="s">
        <v>591</v>
      </c>
      <c r="D304" s="2" t="s">
        <v>196</v>
      </c>
      <c r="E304" s="2" t="str">
        <f t="shared" si="31"/>
        <v>2</v>
      </c>
      <c r="F304" s="2" t="s">
        <v>479</v>
      </c>
      <c r="G304" s="2" t="s">
        <v>1490</v>
      </c>
      <c r="H304" s="2">
        <f t="shared" si="32"/>
        <v>11</v>
      </c>
      <c r="I304" s="3" t="str">
        <f t="shared" si="29"/>
        <v>2.1.3.01.03</v>
      </c>
      <c r="J304" s="2" t="str">
        <f t="shared" si="30"/>
        <v>EMPRESTIMOS FINANCEIROS</v>
      </c>
      <c r="K304" s="2" t="s">
        <v>570</v>
      </c>
      <c r="S304" s="6" t="b">
        <f>C304='Plano de Contas sem ponto'!C304</f>
        <v>1</v>
      </c>
    </row>
    <row r="305" spans="1:19" x14ac:dyDescent="0.2">
      <c r="A305" s="2" t="s">
        <v>592</v>
      </c>
      <c r="B305" s="2" t="s">
        <v>54</v>
      </c>
      <c r="C305" s="2" t="s">
        <v>591</v>
      </c>
      <c r="D305" s="2" t="s">
        <v>196</v>
      </c>
      <c r="E305" s="2" t="str">
        <f t="shared" si="31"/>
        <v>2</v>
      </c>
      <c r="F305" s="2" t="s">
        <v>479</v>
      </c>
      <c r="G305" s="2" t="s">
        <v>1490</v>
      </c>
      <c r="H305" s="2">
        <f t="shared" si="32"/>
        <v>16</v>
      </c>
      <c r="I305" s="3" t="str">
        <f t="shared" si="29"/>
        <v>-</v>
      </c>
      <c r="J305" s="2" t="str">
        <f t="shared" si="30"/>
        <v>EMPRESTIMOS FINANCEIROS</v>
      </c>
      <c r="K305" s="2" t="s">
        <v>570</v>
      </c>
      <c r="L305" s="6" t="s">
        <v>1601</v>
      </c>
      <c r="S305" s="6" t="b">
        <f>C305='Plano de Contas sem ponto'!C305</f>
        <v>1</v>
      </c>
    </row>
    <row r="306" spans="1:19" x14ac:dyDescent="0.2">
      <c r="A306" s="1" t="s">
        <v>593</v>
      </c>
      <c r="B306" s="1" t="s">
        <v>40</v>
      </c>
      <c r="C306" s="1" t="s">
        <v>594</v>
      </c>
      <c r="D306" s="2" t="s">
        <v>196</v>
      </c>
      <c r="E306" s="2" t="str">
        <f t="shared" si="31"/>
        <v>2</v>
      </c>
      <c r="F306" s="2" t="s">
        <v>479</v>
      </c>
      <c r="G306" s="2" t="s">
        <v>1490</v>
      </c>
      <c r="H306" s="2">
        <f t="shared" si="32"/>
        <v>11</v>
      </c>
      <c r="I306" s="3" t="str">
        <f t="shared" si="29"/>
        <v>2.1.3.01.04</v>
      </c>
      <c r="J306" s="2" t="str">
        <f t="shared" si="30"/>
        <v>DIVIDENDOS A PAGAR</v>
      </c>
      <c r="K306" s="2" t="s">
        <v>570</v>
      </c>
      <c r="S306" s="6" t="b">
        <f>C306='Plano de Contas sem ponto'!C306</f>
        <v>1</v>
      </c>
    </row>
    <row r="307" spans="1:19" x14ac:dyDescent="0.2">
      <c r="A307" s="2" t="s">
        <v>595</v>
      </c>
      <c r="B307" s="2" t="s">
        <v>54</v>
      </c>
      <c r="C307" s="2" t="s">
        <v>594</v>
      </c>
      <c r="D307" s="2" t="s">
        <v>196</v>
      </c>
      <c r="E307" s="2" t="str">
        <f t="shared" si="31"/>
        <v>2</v>
      </c>
      <c r="F307" s="2" t="s">
        <v>479</v>
      </c>
      <c r="G307" s="2" t="s">
        <v>1490</v>
      </c>
      <c r="H307" s="2">
        <f t="shared" si="32"/>
        <v>16</v>
      </c>
      <c r="I307" s="3" t="str">
        <f t="shared" si="29"/>
        <v>-</v>
      </c>
      <c r="J307" s="2" t="str">
        <f t="shared" si="30"/>
        <v>DIVIDENDOS A PAGAR</v>
      </c>
      <c r="K307" s="2" t="s">
        <v>570</v>
      </c>
      <c r="L307" s="6" t="s">
        <v>1601</v>
      </c>
      <c r="S307" s="6" t="b">
        <f>C307='Plano de Contas sem ponto'!C307</f>
        <v>1</v>
      </c>
    </row>
    <row r="308" spans="1:19" s="2" customFormat="1" x14ac:dyDescent="0.2">
      <c r="A308" s="2" t="s">
        <v>596</v>
      </c>
      <c r="B308" s="2" t="s">
        <v>40</v>
      </c>
      <c r="C308" s="2" t="s">
        <v>597</v>
      </c>
      <c r="D308" s="2" t="s">
        <v>196</v>
      </c>
      <c r="E308" s="2" t="str">
        <f t="shared" si="31"/>
        <v>2</v>
      </c>
      <c r="F308" s="2" t="s">
        <v>479</v>
      </c>
      <c r="G308" s="2" t="s">
        <v>1490</v>
      </c>
      <c r="H308" s="2">
        <f t="shared" si="32"/>
        <v>11</v>
      </c>
      <c r="I308" s="3" t="str">
        <f t="shared" si="29"/>
        <v>2.1.3.01.05</v>
      </c>
      <c r="J308" s="2" t="str">
        <f t="shared" si="30"/>
        <v>FINANCIAMENTOS</v>
      </c>
      <c r="K308" s="2" t="s">
        <v>570</v>
      </c>
      <c r="L308" s="6" t="s">
        <v>1601</v>
      </c>
      <c r="S308" s="6" t="b">
        <f>C308='Plano de Contas sem ponto'!C308</f>
        <v>1</v>
      </c>
    </row>
    <row r="309" spans="1:19" s="2" customFormat="1" x14ac:dyDescent="0.2">
      <c r="A309" s="2" t="s">
        <v>598</v>
      </c>
      <c r="B309" s="2" t="s">
        <v>54</v>
      </c>
      <c r="C309" s="2" t="s">
        <v>599</v>
      </c>
      <c r="D309" s="2" t="s">
        <v>196</v>
      </c>
      <c r="E309" s="2" t="str">
        <f t="shared" si="31"/>
        <v>2</v>
      </c>
      <c r="F309" s="2" t="s">
        <v>479</v>
      </c>
      <c r="G309" s="2" t="s">
        <v>1490</v>
      </c>
      <c r="H309" s="2">
        <f t="shared" si="32"/>
        <v>16</v>
      </c>
      <c r="I309" s="3" t="str">
        <f t="shared" si="29"/>
        <v>-</v>
      </c>
      <c r="J309" s="2" t="str">
        <f t="shared" si="30"/>
        <v>FINANCIAMENTOS</v>
      </c>
      <c r="K309" s="2" t="s">
        <v>570</v>
      </c>
      <c r="L309" s="6" t="s">
        <v>1601</v>
      </c>
      <c r="S309" s="6" t="b">
        <f>C309='Plano de Contas sem ponto'!C309</f>
        <v>1</v>
      </c>
    </row>
    <row r="310" spans="1:19" s="2" customFormat="1" x14ac:dyDescent="0.2">
      <c r="A310" s="2" t="s">
        <v>600</v>
      </c>
      <c r="B310" s="2" t="s">
        <v>40</v>
      </c>
      <c r="C310" s="2" t="s">
        <v>601</v>
      </c>
      <c r="D310" s="2" t="s">
        <v>42</v>
      </c>
      <c r="E310" s="2" t="str">
        <f t="shared" si="31"/>
        <v>2</v>
      </c>
      <c r="F310" s="2" t="s">
        <v>479</v>
      </c>
      <c r="G310" s="2" t="s">
        <v>1490</v>
      </c>
      <c r="H310" s="2">
        <f t="shared" si="32"/>
        <v>11</v>
      </c>
      <c r="I310" s="3" t="str">
        <f t="shared" si="29"/>
        <v>2.1.3.01.06</v>
      </c>
      <c r="J310" s="2" t="str">
        <f t="shared" si="30"/>
        <v>ENCARGOS A APROPRIAR S/ FINANCIAMENTOS</v>
      </c>
      <c r="K310" s="2" t="s">
        <v>570</v>
      </c>
      <c r="L310" s="6" t="s">
        <v>1601</v>
      </c>
      <c r="S310" s="6" t="b">
        <f>C310='Plano de Contas sem ponto'!C310</f>
        <v>1</v>
      </c>
    </row>
    <row r="311" spans="1:19" s="2" customFormat="1" x14ac:dyDescent="0.2">
      <c r="A311" s="2" t="s">
        <v>602</v>
      </c>
      <c r="B311" s="2" t="s">
        <v>54</v>
      </c>
      <c r="C311" s="2" t="s">
        <v>601</v>
      </c>
      <c r="D311" s="2" t="s">
        <v>42</v>
      </c>
      <c r="E311" s="2" t="str">
        <f t="shared" si="31"/>
        <v>2</v>
      </c>
      <c r="F311" s="2" t="s">
        <v>479</v>
      </c>
      <c r="G311" s="2" t="s">
        <v>1490</v>
      </c>
      <c r="H311" s="2">
        <f t="shared" si="32"/>
        <v>16</v>
      </c>
      <c r="I311" s="3" t="str">
        <f t="shared" si="29"/>
        <v>-</v>
      </c>
      <c r="J311" s="2" t="str">
        <f t="shared" si="30"/>
        <v>ENCARGOS A APROPRIAR S/ FINANCIAMENTOS</v>
      </c>
      <c r="K311" s="2" t="s">
        <v>570</v>
      </c>
      <c r="L311" s="6" t="s">
        <v>1601</v>
      </c>
      <c r="S311" s="6" t="b">
        <f>C311='Plano de Contas sem ponto'!C311</f>
        <v>1</v>
      </c>
    </row>
    <row r="312" spans="1:19" x14ac:dyDescent="0.2">
      <c r="A312" s="1" t="s">
        <v>603</v>
      </c>
      <c r="B312" s="1" t="s">
        <v>40</v>
      </c>
      <c r="C312" s="1" t="s">
        <v>604</v>
      </c>
      <c r="D312" s="2" t="s">
        <v>196</v>
      </c>
      <c r="E312" s="2" t="str">
        <f t="shared" si="31"/>
        <v>2</v>
      </c>
      <c r="F312" s="2" t="s">
        <v>479</v>
      </c>
      <c r="G312" s="2" t="s">
        <v>1490</v>
      </c>
      <c r="H312" s="2">
        <f t="shared" si="32"/>
        <v>8</v>
      </c>
      <c r="I312" s="3" t="str">
        <f t="shared" si="29"/>
        <v>-</v>
      </c>
      <c r="J312" s="2" t="str">
        <f t="shared" si="30"/>
        <v>OUTROS TITULOS A PAGAR</v>
      </c>
      <c r="K312" s="2" t="s">
        <v>570</v>
      </c>
      <c r="S312" s="6" t="b">
        <f>C312='Plano de Contas sem ponto'!C312</f>
        <v>1</v>
      </c>
    </row>
    <row r="313" spans="1:19" x14ac:dyDescent="0.2">
      <c r="A313" s="1" t="s">
        <v>605</v>
      </c>
      <c r="B313" s="1" t="s">
        <v>40</v>
      </c>
      <c r="C313" s="1" t="s">
        <v>604</v>
      </c>
      <c r="D313" s="2" t="s">
        <v>196</v>
      </c>
      <c r="E313" s="2" t="str">
        <f t="shared" si="31"/>
        <v>2</v>
      </c>
      <c r="F313" s="2" t="s">
        <v>479</v>
      </c>
      <c r="G313" s="2" t="s">
        <v>1490</v>
      </c>
      <c r="H313" s="2">
        <f t="shared" si="32"/>
        <v>11</v>
      </c>
      <c r="I313" s="3" t="str">
        <f t="shared" si="29"/>
        <v>2.1.3.02.01</v>
      </c>
      <c r="J313" s="2" t="str">
        <f t="shared" si="30"/>
        <v>OUTROS TITULOS A PAGAR</v>
      </c>
      <c r="K313" s="2" t="s">
        <v>570</v>
      </c>
      <c r="S313" s="6" t="b">
        <f>C313='Plano de Contas sem ponto'!C313</f>
        <v>1</v>
      </c>
    </row>
    <row r="314" spans="1:19" x14ac:dyDescent="0.2">
      <c r="A314" s="2" t="s">
        <v>606</v>
      </c>
      <c r="B314" s="2" t="s">
        <v>54</v>
      </c>
      <c r="C314" s="2" t="s">
        <v>604</v>
      </c>
      <c r="D314" s="2" t="s">
        <v>196</v>
      </c>
      <c r="E314" s="2" t="str">
        <f t="shared" si="31"/>
        <v>2</v>
      </c>
      <c r="F314" s="2" t="s">
        <v>479</v>
      </c>
      <c r="G314" s="2" t="s">
        <v>1490</v>
      </c>
      <c r="H314" s="2">
        <f t="shared" si="32"/>
        <v>16</v>
      </c>
      <c r="I314" s="3" t="str">
        <f t="shared" si="29"/>
        <v>-</v>
      </c>
      <c r="J314" s="2" t="str">
        <f t="shared" si="30"/>
        <v>OUTROS TITULOS A PAGAR</v>
      </c>
      <c r="K314" s="2" t="s">
        <v>570</v>
      </c>
      <c r="L314" s="6" t="s">
        <v>1601</v>
      </c>
      <c r="S314" s="6" t="b">
        <f>C314='Plano de Contas sem ponto'!C314</f>
        <v>1</v>
      </c>
    </row>
    <row r="315" spans="1:19" x14ac:dyDescent="0.2">
      <c r="A315" s="2" t="s">
        <v>607</v>
      </c>
      <c r="B315" s="2" t="s">
        <v>54</v>
      </c>
      <c r="C315" s="2" t="s">
        <v>608</v>
      </c>
      <c r="D315" s="2" t="s">
        <v>196</v>
      </c>
      <c r="E315" s="2" t="str">
        <f t="shared" si="31"/>
        <v>2</v>
      </c>
      <c r="F315" s="2" t="s">
        <v>479</v>
      </c>
      <c r="G315" s="2" t="s">
        <v>1490</v>
      </c>
      <c r="H315" s="2">
        <f t="shared" si="32"/>
        <v>16</v>
      </c>
      <c r="I315" s="3" t="str">
        <f t="shared" si="29"/>
        <v>-</v>
      </c>
      <c r="J315" s="2" t="str">
        <f t="shared" si="30"/>
        <v>OUTROS TITULOS A PAGAR</v>
      </c>
      <c r="K315" s="2" t="s">
        <v>570</v>
      </c>
      <c r="L315" s="6" t="s">
        <v>1601</v>
      </c>
      <c r="S315" s="6" t="b">
        <f>C315='Plano de Contas sem ponto'!C315</f>
        <v>1</v>
      </c>
    </row>
    <row r="316" spans="1:19" x14ac:dyDescent="0.2">
      <c r="A316" s="2" t="s">
        <v>609</v>
      </c>
      <c r="B316" s="2" t="s">
        <v>54</v>
      </c>
      <c r="C316" s="2" t="s">
        <v>610</v>
      </c>
      <c r="D316" s="2" t="s">
        <v>196</v>
      </c>
      <c r="E316" s="2" t="str">
        <f t="shared" si="31"/>
        <v>2</v>
      </c>
      <c r="F316" s="2" t="s">
        <v>479</v>
      </c>
      <c r="G316" s="2" t="s">
        <v>1490</v>
      </c>
      <c r="H316" s="2">
        <f t="shared" si="32"/>
        <v>16</v>
      </c>
      <c r="I316" s="3" t="str">
        <f t="shared" si="29"/>
        <v>-</v>
      </c>
      <c r="J316" s="2" t="str">
        <f t="shared" si="30"/>
        <v>OUTROS TITULOS A PAGAR</v>
      </c>
      <c r="K316" s="2" t="s">
        <v>570</v>
      </c>
      <c r="L316" s="6" t="s">
        <v>1601</v>
      </c>
      <c r="S316" s="6" t="b">
        <f>C316='Plano de Contas sem ponto'!C316</f>
        <v>1</v>
      </c>
    </row>
    <row r="317" spans="1:19" x14ac:dyDescent="0.2">
      <c r="A317" s="2" t="s">
        <v>611</v>
      </c>
      <c r="B317" s="2" t="s">
        <v>54</v>
      </c>
      <c r="C317" s="2" t="s">
        <v>612</v>
      </c>
      <c r="D317" s="2" t="s">
        <v>196</v>
      </c>
      <c r="E317" s="2" t="str">
        <f t="shared" si="31"/>
        <v>2</v>
      </c>
      <c r="F317" s="2" t="s">
        <v>479</v>
      </c>
      <c r="G317" s="2" t="s">
        <v>1490</v>
      </c>
      <c r="H317" s="2">
        <f t="shared" si="32"/>
        <v>16</v>
      </c>
      <c r="I317" s="3" t="str">
        <f t="shared" si="29"/>
        <v>-</v>
      </c>
      <c r="J317" s="2" t="str">
        <f t="shared" si="30"/>
        <v>OUTROS TITULOS A PAGAR</v>
      </c>
      <c r="K317" s="2" t="s">
        <v>570</v>
      </c>
      <c r="L317" s="6" t="s">
        <v>1601</v>
      </c>
      <c r="S317" s="6" t="b">
        <f>C317='Plano de Contas sem ponto'!C317</f>
        <v>1</v>
      </c>
    </row>
    <row r="318" spans="1:19" x14ac:dyDescent="0.2">
      <c r="A318" s="2" t="s">
        <v>613</v>
      </c>
      <c r="B318" s="2" t="s">
        <v>54</v>
      </c>
      <c r="C318" s="2" t="s">
        <v>614</v>
      </c>
      <c r="D318" s="2" t="s">
        <v>196</v>
      </c>
      <c r="E318" s="2" t="str">
        <f t="shared" si="31"/>
        <v>2</v>
      </c>
      <c r="F318" s="2" t="s">
        <v>479</v>
      </c>
      <c r="G318" s="2" t="s">
        <v>1490</v>
      </c>
      <c r="H318" s="2">
        <f t="shared" si="32"/>
        <v>16</v>
      </c>
      <c r="I318" s="3" t="str">
        <f t="shared" si="29"/>
        <v>-</v>
      </c>
      <c r="J318" s="2" t="str">
        <f t="shared" si="30"/>
        <v>OUTROS TITULOS A PAGAR</v>
      </c>
      <c r="K318" s="2" t="s">
        <v>570</v>
      </c>
      <c r="L318" s="6" t="s">
        <v>1601</v>
      </c>
      <c r="S318" s="6" t="b">
        <f>C318='Plano de Contas sem ponto'!C318</f>
        <v>1</v>
      </c>
    </row>
    <row r="319" spans="1:19" x14ac:dyDescent="0.2">
      <c r="A319" s="1" t="s">
        <v>615</v>
      </c>
      <c r="B319" s="1" t="s">
        <v>40</v>
      </c>
      <c r="C319" s="1" t="s">
        <v>616</v>
      </c>
      <c r="D319" s="2" t="s">
        <v>196</v>
      </c>
      <c r="E319" s="2" t="str">
        <f t="shared" si="31"/>
        <v>2</v>
      </c>
      <c r="F319" s="2" t="s">
        <v>479</v>
      </c>
      <c r="G319" s="2" t="s">
        <v>1490</v>
      </c>
      <c r="H319" s="2">
        <f t="shared" si="32"/>
        <v>8</v>
      </c>
      <c r="I319" s="3" t="str">
        <f t="shared" si="29"/>
        <v>-</v>
      </c>
      <c r="J319" s="2" t="str">
        <f t="shared" si="30"/>
        <v>OUTROS VALORES A PAGAR</v>
      </c>
      <c r="K319" s="2" t="s">
        <v>570</v>
      </c>
      <c r="S319" s="6" t="b">
        <f>C319='Plano de Contas sem ponto'!C319</f>
        <v>1</v>
      </c>
    </row>
    <row r="320" spans="1:19" x14ac:dyDescent="0.2">
      <c r="A320" s="1" t="s">
        <v>617</v>
      </c>
      <c r="B320" s="1" t="s">
        <v>40</v>
      </c>
      <c r="C320" s="1" t="s">
        <v>616</v>
      </c>
      <c r="D320" s="2" t="s">
        <v>196</v>
      </c>
      <c r="E320" s="2" t="str">
        <f t="shared" si="31"/>
        <v>2</v>
      </c>
      <c r="F320" s="2" t="s">
        <v>479</v>
      </c>
      <c r="G320" s="2" t="s">
        <v>1490</v>
      </c>
      <c r="H320" s="2">
        <f t="shared" si="32"/>
        <v>11</v>
      </c>
      <c r="I320" s="3" t="str">
        <f t="shared" si="29"/>
        <v>2.1.3.03.01</v>
      </c>
      <c r="J320" s="2" t="str">
        <f t="shared" si="30"/>
        <v>OUTROS VALORES A PAGAR</v>
      </c>
      <c r="K320" s="2" t="s">
        <v>570</v>
      </c>
      <c r="S320" s="6" t="b">
        <f>C320='Plano de Contas sem ponto'!C320</f>
        <v>1</v>
      </c>
    </row>
    <row r="321" spans="1:19" x14ac:dyDescent="0.2">
      <c r="A321" s="2" t="s">
        <v>618</v>
      </c>
      <c r="B321" s="2" t="s">
        <v>54</v>
      </c>
      <c r="C321" s="2" t="s">
        <v>619</v>
      </c>
      <c r="D321" s="2" t="s">
        <v>196</v>
      </c>
      <c r="E321" s="2" t="str">
        <f t="shared" si="31"/>
        <v>2</v>
      </c>
      <c r="F321" s="2" t="s">
        <v>479</v>
      </c>
      <c r="G321" s="2" t="s">
        <v>1490</v>
      </c>
      <c r="H321" s="2">
        <f t="shared" si="32"/>
        <v>16</v>
      </c>
      <c r="I321" s="3" t="str">
        <f t="shared" si="29"/>
        <v>-</v>
      </c>
      <c r="J321" s="2" t="str">
        <f t="shared" si="30"/>
        <v>OUTROS VALORES A PAGAR</v>
      </c>
      <c r="K321" s="2" t="s">
        <v>570</v>
      </c>
      <c r="L321" s="6" t="s">
        <v>1601</v>
      </c>
      <c r="S321" s="6" t="b">
        <f>C321='Plano de Contas sem ponto'!C321</f>
        <v>1</v>
      </c>
    </row>
    <row r="322" spans="1:19" x14ac:dyDescent="0.2">
      <c r="A322" s="2" t="s">
        <v>620</v>
      </c>
      <c r="B322" s="2" t="s">
        <v>54</v>
      </c>
      <c r="C322" s="2" t="s">
        <v>621</v>
      </c>
      <c r="D322" s="2" t="s">
        <v>196</v>
      </c>
      <c r="E322" s="2" t="str">
        <f t="shared" si="31"/>
        <v>2</v>
      </c>
      <c r="F322" s="2" t="s">
        <v>479</v>
      </c>
      <c r="G322" s="2" t="s">
        <v>1490</v>
      </c>
      <c r="H322" s="2">
        <f t="shared" si="32"/>
        <v>16</v>
      </c>
      <c r="I322" s="3" t="str">
        <f t="shared" si="29"/>
        <v>-</v>
      </c>
      <c r="J322" s="2" t="str">
        <f t="shared" si="30"/>
        <v>OUTROS VALORES A PAGAR</v>
      </c>
      <c r="K322" s="2" t="s">
        <v>570</v>
      </c>
      <c r="L322" s="6" t="s">
        <v>1601</v>
      </c>
      <c r="S322" s="6" t="b">
        <f>C322='Plano de Contas sem ponto'!C322</f>
        <v>1</v>
      </c>
    </row>
    <row r="323" spans="1:19" x14ac:dyDescent="0.2">
      <c r="A323" s="2" t="s">
        <v>622</v>
      </c>
      <c r="B323" s="2" t="s">
        <v>54</v>
      </c>
      <c r="C323" s="2" t="s">
        <v>623</v>
      </c>
      <c r="D323" s="2" t="s">
        <v>196</v>
      </c>
      <c r="E323" s="2" t="str">
        <f t="shared" si="31"/>
        <v>2</v>
      </c>
      <c r="F323" s="2" t="s">
        <v>479</v>
      </c>
      <c r="G323" s="2" t="s">
        <v>1490</v>
      </c>
      <c r="H323" s="2">
        <f t="shared" si="32"/>
        <v>16</v>
      </c>
      <c r="I323" s="3" t="str">
        <f t="shared" si="29"/>
        <v>-</v>
      </c>
      <c r="J323" s="2" t="str">
        <f t="shared" si="30"/>
        <v>OUTROS VALORES A PAGAR</v>
      </c>
      <c r="K323" s="2" t="s">
        <v>570</v>
      </c>
      <c r="L323" s="6" t="s">
        <v>1601</v>
      </c>
      <c r="S323" s="6" t="b">
        <f>C323='Plano de Contas sem ponto'!C323</f>
        <v>1</v>
      </c>
    </row>
    <row r="324" spans="1:19" x14ac:dyDescent="0.2">
      <c r="A324" s="2" t="s">
        <v>624</v>
      </c>
      <c r="B324" s="2" t="s">
        <v>54</v>
      </c>
      <c r="C324" s="6" t="s">
        <v>625</v>
      </c>
      <c r="D324" s="2" t="s">
        <v>196</v>
      </c>
      <c r="E324" s="2" t="str">
        <f t="shared" si="31"/>
        <v>2</v>
      </c>
      <c r="F324" s="2" t="s">
        <v>479</v>
      </c>
      <c r="G324" s="2" t="s">
        <v>1490</v>
      </c>
      <c r="H324" s="2">
        <f t="shared" si="32"/>
        <v>16</v>
      </c>
      <c r="I324" s="3" t="str">
        <f t="shared" si="29"/>
        <v>-</v>
      </c>
      <c r="J324" s="2" t="str">
        <f t="shared" si="30"/>
        <v>OUTROS VALORES A PAGAR</v>
      </c>
      <c r="K324" s="2" t="s">
        <v>570</v>
      </c>
      <c r="L324" s="6" t="s">
        <v>1601</v>
      </c>
      <c r="S324" s="6" t="b">
        <f>C324='Plano de Contas sem ponto'!C324</f>
        <v>1</v>
      </c>
    </row>
    <row r="325" spans="1:19" x14ac:dyDescent="0.2">
      <c r="A325" s="1" t="s">
        <v>626</v>
      </c>
      <c r="B325" s="1" t="s">
        <v>40</v>
      </c>
      <c r="C325" s="1" t="s">
        <v>627</v>
      </c>
      <c r="D325" s="2" t="s">
        <v>196</v>
      </c>
      <c r="E325" s="2" t="str">
        <f t="shared" si="31"/>
        <v>2</v>
      </c>
      <c r="F325" s="2" t="s">
        <v>479</v>
      </c>
      <c r="G325" s="2" t="s">
        <v>1490</v>
      </c>
      <c r="H325" s="2">
        <f t="shared" si="32"/>
        <v>5</v>
      </c>
      <c r="I325" s="3" t="str">
        <f t="shared" si="29"/>
        <v>-</v>
      </c>
      <c r="J325" s="2" t="str">
        <f t="shared" si="30"/>
        <v>REPASSES DETRAN</v>
      </c>
      <c r="K325" s="2" t="s">
        <v>1494</v>
      </c>
      <c r="S325" s="6" t="b">
        <f>C325='Plano de Contas sem ponto'!C325</f>
        <v>1</v>
      </c>
    </row>
    <row r="326" spans="1:19" x14ac:dyDescent="0.2">
      <c r="A326" s="1" t="s">
        <v>628</v>
      </c>
      <c r="B326" s="1" t="s">
        <v>40</v>
      </c>
      <c r="C326" s="1" t="s">
        <v>627</v>
      </c>
      <c r="D326" s="2" t="s">
        <v>196</v>
      </c>
      <c r="E326" s="2" t="str">
        <f t="shared" si="31"/>
        <v>2</v>
      </c>
      <c r="F326" s="2" t="s">
        <v>479</v>
      </c>
      <c r="G326" s="2" t="s">
        <v>1490</v>
      </c>
      <c r="H326" s="2">
        <f t="shared" si="32"/>
        <v>8</v>
      </c>
      <c r="I326" s="3" t="str">
        <f t="shared" si="29"/>
        <v>-</v>
      </c>
      <c r="J326" s="2" t="str">
        <f t="shared" si="30"/>
        <v>REPASSES DETRAN</v>
      </c>
      <c r="K326" s="2" t="s">
        <v>1494</v>
      </c>
      <c r="S326" s="6" t="b">
        <f>C326='Plano de Contas sem ponto'!C326</f>
        <v>1</v>
      </c>
    </row>
    <row r="327" spans="1:19" x14ac:dyDescent="0.2">
      <c r="A327" s="1" t="s">
        <v>629</v>
      </c>
      <c r="B327" s="1" t="s">
        <v>40</v>
      </c>
      <c r="C327" s="1" t="s">
        <v>627</v>
      </c>
      <c r="D327" s="2" t="s">
        <v>196</v>
      </c>
      <c r="E327" s="2" t="str">
        <f t="shared" si="31"/>
        <v>2</v>
      </c>
      <c r="F327" s="2" t="s">
        <v>479</v>
      </c>
      <c r="G327" s="2" t="s">
        <v>1490</v>
      </c>
      <c r="H327" s="2">
        <f t="shared" si="32"/>
        <v>11</v>
      </c>
      <c r="I327" s="3" t="str">
        <f t="shared" si="29"/>
        <v>2.1.4.01.01</v>
      </c>
      <c r="J327" s="2" t="str">
        <f t="shared" si="30"/>
        <v>REPASSES DETRAN</v>
      </c>
      <c r="K327" s="2" t="s">
        <v>1494</v>
      </c>
      <c r="S327" s="6" t="b">
        <f>C327='Plano de Contas sem ponto'!C327</f>
        <v>1</v>
      </c>
    </row>
    <row r="328" spans="1:19" x14ac:dyDescent="0.2">
      <c r="A328" s="2" t="s">
        <v>630</v>
      </c>
      <c r="B328" s="2" t="s">
        <v>54</v>
      </c>
      <c r="C328" s="2" t="s">
        <v>631</v>
      </c>
      <c r="D328" s="2" t="s">
        <v>196</v>
      </c>
      <c r="E328" s="2" t="str">
        <f t="shared" si="31"/>
        <v>2</v>
      </c>
      <c r="F328" s="2" t="s">
        <v>479</v>
      </c>
      <c r="G328" s="2" t="s">
        <v>1490</v>
      </c>
      <c r="H328" s="2">
        <f t="shared" si="32"/>
        <v>16</v>
      </c>
      <c r="I328" s="3" t="str">
        <f t="shared" si="29"/>
        <v>-</v>
      </c>
      <c r="J328" s="2" t="str">
        <f>IF(H328&lt;11,C328,IF(I328&lt;&gt;"-",C328,J327))</f>
        <v>REPASSES DETRAN</v>
      </c>
      <c r="K328" s="2" t="s">
        <v>1494</v>
      </c>
      <c r="L328" s="6" t="s">
        <v>1557</v>
      </c>
      <c r="M328" s="6" t="s">
        <v>1530</v>
      </c>
      <c r="S328" s="6" t="b">
        <f>C328='Plano de Contas sem ponto'!C328</f>
        <v>1</v>
      </c>
    </row>
    <row r="329" spans="1:19" x14ac:dyDescent="0.2">
      <c r="A329" s="2" t="s">
        <v>632</v>
      </c>
      <c r="B329" s="2" t="s">
        <v>54</v>
      </c>
      <c r="C329" s="2" t="s">
        <v>633</v>
      </c>
      <c r="D329" s="2" t="s">
        <v>196</v>
      </c>
      <c r="E329" s="2" t="str">
        <f t="shared" si="31"/>
        <v>2</v>
      </c>
      <c r="F329" s="2" t="s">
        <v>479</v>
      </c>
      <c r="G329" s="2" t="s">
        <v>1490</v>
      </c>
      <c r="H329" s="2">
        <f t="shared" si="32"/>
        <v>16</v>
      </c>
      <c r="I329" s="3" t="str">
        <f t="shared" si="29"/>
        <v>-</v>
      </c>
      <c r="J329" s="2" t="str">
        <f t="shared" si="30"/>
        <v>REPASSES DETRAN</v>
      </c>
      <c r="K329" s="2" t="s">
        <v>1494</v>
      </c>
      <c r="L329" s="6" t="s">
        <v>1557</v>
      </c>
      <c r="M329" s="6" t="s">
        <v>1531</v>
      </c>
      <c r="S329" s="6" t="b">
        <f>C329='Plano de Contas sem ponto'!C329</f>
        <v>1</v>
      </c>
    </row>
    <row r="330" spans="1:19" x14ac:dyDescent="0.2">
      <c r="A330" s="2" t="s">
        <v>634</v>
      </c>
      <c r="B330" s="2" t="s">
        <v>54</v>
      </c>
      <c r="C330" s="2" t="s">
        <v>635</v>
      </c>
      <c r="D330" s="2" t="s">
        <v>196</v>
      </c>
      <c r="E330" s="2" t="str">
        <f t="shared" si="31"/>
        <v>2</v>
      </c>
      <c r="F330" s="2" t="s">
        <v>479</v>
      </c>
      <c r="G330" s="2" t="s">
        <v>1490</v>
      </c>
      <c r="H330" s="2">
        <f t="shared" si="32"/>
        <v>16</v>
      </c>
      <c r="I330" s="3" t="str">
        <f t="shared" si="29"/>
        <v>-</v>
      </c>
      <c r="J330" s="2" t="str">
        <f t="shared" si="30"/>
        <v>REPASSES DETRAN</v>
      </c>
      <c r="K330" s="2" t="s">
        <v>1494</v>
      </c>
      <c r="L330" s="6" t="s">
        <v>1557</v>
      </c>
      <c r="M330" s="6" t="s">
        <v>1532</v>
      </c>
      <c r="S330" s="6" t="b">
        <f>C330='Plano de Contas sem ponto'!C330</f>
        <v>1</v>
      </c>
    </row>
    <row r="331" spans="1:19" x14ac:dyDescent="0.2">
      <c r="A331" s="2" t="s">
        <v>636</v>
      </c>
      <c r="B331" s="2" t="s">
        <v>54</v>
      </c>
      <c r="C331" s="2" t="s">
        <v>637</v>
      </c>
      <c r="D331" s="2" t="s">
        <v>196</v>
      </c>
      <c r="E331" s="2" t="str">
        <f t="shared" si="31"/>
        <v>2</v>
      </c>
      <c r="F331" s="2" t="s">
        <v>479</v>
      </c>
      <c r="G331" s="2" t="s">
        <v>1490</v>
      </c>
      <c r="H331" s="2">
        <f t="shared" si="32"/>
        <v>16</v>
      </c>
      <c r="I331" s="3" t="str">
        <f t="shared" si="29"/>
        <v>-</v>
      </c>
      <c r="J331" s="2" t="str">
        <f t="shared" si="30"/>
        <v>REPASSES DETRAN</v>
      </c>
      <c r="K331" s="2" t="s">
        <v>1494</v>
      </c>
      <c r="L331" s="6" t="s">
        <v>1557</v>
      </c>
      <c r="M331" s="6" t="s">
        <v>1533</v>
      </c>
      <c r="S331" s="6" t="b">
        <f>C331='Plano de Contas sem ponto'!C331</f>
        <v>1</v>
      </c>
    </row>
    <row r="332" spans="1:19" x14ac:dyDescent="0.2">
      <c r="A332" s="2" t="s">
        <v>638</v>
      </c>
      <c r="B332" s="2" t="s">
        <v>54</v>
      </c>
      <c r="C332" s="2" t="s">
        <v>639</v>
      </c>
      <c r="D332" s="2" t="s">
        <v>196</v>
      </c>
      <c r="E332" s="2" t="str">
        <f t="shared" si="31"/>
        <v>2</v>
      </c>
      <c r="F332" s="2" t="s">
        <v>479</v>
      </c>
      <c r="G332" s="2" t="s">
        <v>1490</v>
      </c>
      <c r="H332" s="2">
        <f t="shared" si="32"/>
        <v>16</v>
      </c>
      <c r="I332" s="3" t="str">
        <f t="shared" ref="I332:I397" si="37">IF(H332=11,A332,"-")</f>
        <v>-</v>
      </c>
      <c r="J332" s="2" t="str">
        <f t="shared" ref="J332:J397" si="38">IF(H332&lt;11,C332,IF(I332&lt;&gt;"-",C332,J331))</f>
        <v>REPASSES DETRAN</v>
      </c>
      <c r="K332" s="2" t="s">
        <v>1494</v>
      </c>
      <c r="L332" s="6" t="s">
        <v>1557</v>
      </c>
      <c r="M332" s="6" t="s">
        <v>1534</v>
      </c>
      <c r="S332" s="6" t="b">
        <f>C332='Plano de Contas sem ponto'!C332</f>
        <v>1</v>
      </c>
    </row>
    <row r="333" spans="1:19" x14ac:dyDescent="0.2">
      <c r="A333" s="2" t="s">
        <v>640</v>
      </c>
      <c r="B333" s="2" t="s">
        <v>54</v>
      </c>
      <c r="C333" s="2" t="s">
        <v>641</v>
      </c>
      <c r="D333" s="2" t="s">
        <v>196</v>
      </c>
      <c r="E333" s="2" t="str">
        <f t="shared" ref="E333:E398" si="39">LEFT(A333,1)</f>
        <v>2</v>
      </c>
      <c r="F333" s="2" t="s">
        <v>479</v>
      </c>
      <c r="G333" s="2" t="s">
        <v>1490</v>
      </c>
      <c r="H333" s="2">
        <f t="shared" ref="H333:H398" si="40">LEN(A333)</f>
        <v>16</v>
      </c>
      <c r="I333" s="3" t="str">
        <f t="shared" si="37"/>
        <v>-</v>
      </c>
      <c r="J333" s="2" t="str">
        <f t="shared" si="38"/>
        <v>REPASSES DETRAN</v>
      </c>
      <c r="K333" s="2" t="s">
        <v>1494</v>
      </c>
      <c r="L333" s="6" t="s">
        <v>1557</v>
      </c>
      <c r="M333" s="6" t="s">
        <v>1535</v>
      </c>
      <c r="S333" s="6" t="b">
        <f>C333='Plano de Contas sem ponto'!C333</f>
        <v>1</v>
      </c>
    </row>
    <row r="334" spans="1:19" x14ac:dyDescent="0.2">
      <c r="A334" s="2" t="s">
        <v>642</v>
      </c>
      <c r="B334" s="2" t="s">
        <v>54</v>
      </c>
      <c r="C334" s="2" t="s">
        <v>643</v>
      </c>
      <c r="D334" s="2" t="s">
        <v>196</v>
      </c>
      <c r="E334" s="2" t="str">
        <f t="shared" si="39"/>
        <v>2</v>
      </c>
      <c r="F334" s="2" t="s">
        <v>479</v>
      </c>
      <c r="G334" s="2" t="s">
        <v>1490</v>
      </c>
      <c r="H334" s="2">
        <f t="shared" si="40"/>
        <v>16</v>
      </c>
      <c r="I334" s="3" t="str">
        <f t="shared" si="37"/>
        <v>-</v>
      </c>
      <c r="J334" s="2" t="str">
        <f t="shared" si="38"/>
        <v>REPASSES DETRAN</v>
      </c>
      <c r="K334" s="2" t="s">
        <v>1494</v>
      </c>
      <c r="L334" s="6" t="s">
        <v>1557</v>
      </c>
      <c r="M334" s="6" t="s">
        <v>1536</v>
      </c>
      <c r="S334" s="6" t="b">
        <f>C334='Plano de Contas sem ponto'!C334</f>
        <v>1</v>
      </c>
    </row>
    <row r="335" spans="1:19" x14ac:dyDescent="0.2">
      <c r="A335" s="2" t="s">
        <v>644</v>
      </c>
      <c r="B335" s="2" t="s">
        <v>54</v>
      </c>
      <c r="C335" s="2" t="s">
        <v>645</v>
      </c>
      <c r="D335" s="2" t="s">
        <v>196</v>
      </c>
      <c r="E335" s="2" t="str">
        <f t="shared" si="39"/>
        <v>2</v>
      </c>
      <c r="F335" s="2" t="s">
        <v>479</v>
      </c>
      <c r="G335" s="2" t="s">
        <v>1490</v>
      </c>
      <c r="H335" s="2">
        <f t="shared" si="40"/>
        <v>16</v>
      </c>
      <c r="I335" s="3" t="str">
        <f t="shared" si="37"/>
        <v>-</v>
      </c>
      <c r="J335" s="2" t="str">
        <f t="shared" si="38"/>
        <v>REPASSES DETRAN</v>
      </c>
      <c r="K335" s="2" t="s">
        <v>1494</v>
      </c>
      <c r="L335" s="6" t="s">
        <v>1557</v>
      </c>
      <c r="M335" s="6" t="s">
        <v>1537</v>
      </c>
      <c r="S335" s="6" t="b">
        <f>C335='Plano de Contas sem ponto'!C335</f>
        <v>1</v>
      </c>
    </row>
    <row r="336" spans="1:19" x14ac:dyDescent="0.2">
      <c r="A336" s="2" t="s">
        <v>646</v>
      </c>
      <c r="B336" s="2" t="s">
        <v>54</v>
      </c>
      <c r="C336" s="2" t="s">
        <v>647</v>
      </c>
      <c r="D336" s="2" t="s">
        <v>196</v>
      </c>
      <c r="E336" s="2" t="str">
        <f t="shared" si="39"/>
        <v>2</v>
      </c>
      <c r="F336" s="2" t="s">
        <v>479</v>
      </c>
      <c r="G336" s="2" t="s">
        <v>1490</v>
      </c>
      <c r="H336" s="2">
        <f t="shared" si="40"/>
        <v>16</v>
      </c>
      <c r="I336" s="3" t="str">
        <f t="shared" si="37"/>
        <v>-</v>
      </c>
      <c r="J336" s="2" t="str">
        <f t="shared" si="38"/>
        <v>REPASSES DETRAN</v>
      </c>
      <c r="K336" s="2" t="s">
        <v>1494</v>
      </c>
      <c r="L336" s="6" t="s">
        <v>1557</v>
      </c>
      <c r="M336" s="6" t="s">
        <v>1538</v>
      </c>
      <c r="S336" s="6" t="b">
        <f>C336='Plano de Contas sem ponto'!C336</f>
        <v>1</v>
      </c>
    </row>
    <row r="337" spans="1:19" x14ac:dyDescent="0.2">
      <c r="A337" s="2" t="s">
        <v>648</v>
      </c>
      <c r="B337" s="2" t="s">
        <v>54</v>
      </c>
      <c r="C337" s="2" t="s">
        <v>649</v>
      </c>
      <c r="D337" s="2" t="s">
        <v>196</v>
      </c>
      <c r="E337" s="2" t="str">
        <f t="shared" si="39"/>
        <v>2</v>
      </c>
      <c r="F337" s="2" t="s">
        <v>479</v>
      </c>
      <c r="G337" s="2" t="s">
        <v>1490</v>
      </c>
      <c r="H337" s="2">
        <f t="shared" si="40"/>
        <v>16</v>
      </c>
      <c r="I337" s="3" t="str">
        <f t="shared" si="37"/>
        <v>-</v>
      </c>
      <c r="J337" s="2" t="str">
        <f t="shared" si="38"/>
        <v>REPASSES DETRAN</v>
      </c>
      <c r="K337" s="2" t="s">
        <v>1494</v>
      </c>
      <c r="L337" s="6" t="s">
        <v>1557</v>
      </c>
      <c r="M337" s="6" t="s">
        <v>1539</v>
      </c>
      <c r="S337" s="6" t="b">
        <f>C337='Plano de Contas sem ponto'!C337</f>
        <v>1</v>
      </c>
    </row>
    <row r="338" spans="1:19" x14ac:dyDescent="0.2">
      <c r="A338" s="2" t="s">
        <v>650</v>
      </c>
      <c r="B338" s="2" t="s">
        <v>54</v>
      </c>
      <c r="C338" s="2" t="s">
        <v>651</v>
      </c>
      <c r="D338" s="2" t="s">
        <v>196</v>
      </c>
      <c r="E338" s="2" t="str">
        <f t="shared" si="39"/>
        <v>2</v>
      </c>
      <c r="F338" s="2" t="s">
        <v>479</v>
      </c>
      <c r="G338" s="2" t="s">
        <v>1490</v>
      </c>
      <c r="H338" s="2">
        <f t="shared" si="40"/>
        <v>16</v>
      </c>
      <c r="I338" s="3" t="str">
        <f t="shared" si="37"/>
        <v>-</v>
      </c>
      <c r="J338" s="2" t="str">
        <f t="shared" si="38"/>
        <v>REPASSES DETRAN</v>
      </c>
      <c r="K338" s="2" t="s">
        <v>1494</v>
      </c>
      <c r="L338" s="6" t="s">
        <v>1557</v>
      </c>
      <c r="M338" s="6" t="s">
        <v>1540</v>
      </c>
      <c r="S338" s="6" t="b">
        <f>C338='Plano de Contas sem ponto'!C338</f>
        <v>1</v>
      </c>
    </row>
    <row r="339" spans="1:19" x14ac:dyDescent="0.2">
      <c r="A339" s="2" t="s">
        <v>652</v>
      </c>
      <c r="B339" s="2" t="s">
        <v>54</v>
      </c>
      <c r="C339" s="2" t="s">
        <v>653</v>
      </c>
      <c r="D339" s="2" t="s">
        <v>196</v>
      </c>
      <c r="E339" s="2" t="str">
        <f t="shared" si="39"/>
        <v>2</v>
      </c>
      <c r="F339" s="2" t="s">
        <v>479</v>
      </c>
      <c r="G339" s="2" t="s">
        <v>1490</v>
      </c>
      <c r="H339" s="2">
        <f t="shared" si="40"/>
        <v>16</v>
      </c>
      <c r="I339" s="3" t="str">
        <f t="shared" si="37"/>
        <v>-</v>
      </c>
      <c r="J339" s="2" t="str">
        <f t="shared" si="38"/>
        <v>REPASSES DETRAN</v>
      </c>
      <c r="K339" s="2" t="s">
        <v>1494</v>
      </c>
      <c r="L339" s="6" t="s">
        <v>1557</v>
      </c>
      <c r="M339" s="6" t="s">
        <v>1541</v>
      </c>
      <c r="S339" s="6" t="b">
        <f>C339='Plano de Contas sem ponto'!C339</f>
        <v>1</v>
      </c>
    </row>
    <row r="340" spans="1:19" x14ac:dyDescent="0.2">
      <c r="A340" s="2" t="s">
        <v>654</v>
      </c>
      <c r="B340" s="2" t="s">
        <v>54</v>
      </c>
      <c r="C340" s="2" t="s">
        <v>655</v>
      </c>
      <c r="D340" s="2" t="s">
        <v>196</v>
      </c>
      <c r="E340" s="2" t="str">
        <f t="shared" si="39"/>
        <v>2</v>
      </c>
      <c r="F340" s="2" t="s">
        <v>479</v>
      </c>
      <c r="G340" s="2" t="s">
        <v>1490</v>
      </c>
      <c r="H340" s="2">
        <f t="shared" si="40"/>
        <v>16</v>
      </c>
      <c r="I340" s="3" t="str">
        <f t="shared" si="37"/>
        <v>-</v>
      </c>
      <c r="J340" s="2" t="str">
        <f t="shared" si="38"/>
        <v>REPASSES DETRAN</v>
      </c>
      <c r="K340" s="2" t="s">
        <v>1494</v>
      </c>
      <c r="L340" s="6" t="s">
        <v>1557</v>
      </c>
      <c r="M340" s="6" t="s">
        <v>1542</v>
      </c>
      <c r="S340" s="6" t="b">
        <f>C340='Plano de Contas sem ponto'!C340</f>
        <v>1</v>
      </c>
    </row>
    <row r="341" spans="1:19" x14ac:dyDescent="0.2">
      <c r="A341" s="2" t="s">
        <v>656</v>
      </c>
      <c r="B341" s="2" t="s">
        <v>54</v>
      </c>
      <c r="C341" s="2" t="s">
        <v>657</v>
      </c>
      <c r="D341" s="2" t="s">
        <v>196</v>
      </c>
      <c r="E341" s="2" t="str">
        <f t="shared" si="39"/>
        <v>2</v>
      </c>
      <c r="F341" s="2" t="s">
        <v>479</v>
      </c>
      <c r="G341" s="2" t="s">
        <v>1490</v>
      </c>
      <c r="H341" s="2">
        <f t="shared" si="40"/>
        <v>16</v>
      </c>
      <c r="I341" s="3" t="str">
        <f t="shared" si="37"/>
        <v>-</v>
      </c>
      <c r="J341" s="2" t="str">
        <f t="shared" si="38"/>
        <v>REPASSES DETRAN</v>
      </c>
      <c r="K341" s="2" t="s">
        <v>1494</v>
      </c>
      <c r="L341" s="6" t="s">
        <v>1557</v>
      </c>
      <c r="M341" s="6" t="s">
        <v>1543</v>
      </c>
      <c r="S341" s="6" t="b">
        <f>C341='Plano de Contas sem ponto'!C341</f>
        <v>1</v>
      </c>
    </row>
    <row r="342" spans="1:19" x14ac:dyDescent="0.2">
      <c r="A342" s="2" t="s">
        <v>658</v>
      </c>
      <c r="B342" s="2" t="s">
        <v>54</v>
      </c>
      <c r="C342" s="2" t="s">
        <v>659</v>
      </c>
      <c r="D342" s="2" t="s">
        <v>196</v>
      </c>
      <c r="E342" s="2" t="str">
        <f t="shared" si="39"/>
        <v>2</v>
      </c>
      <c r="F342" s="2" t="s">
        <v>479</v>
      </c>
      <c r="G342" s="2" t="s">
        <v>1490</v>
      </c>
      <c r="H342" s="2">
        <f t="shared" si="40"/>
        <v>16</v>
      </c>
      <c r="I342" s="3" t="str">
        <f t="shared" si="37"/>
        <v>-</v>
      </c>
      <c r="J342" s="2" t="str">
        <f t="shared" si="38"/>
        <v>REPASSES DETRAN</v>
      </c>
      <c r="K342" s="2" t="s">
        <v>1494</v>
      </c>
      <c r="L342" s="6" t="s">
        <v>1557</v>
      </c>
      <c r="M342" s="6" t="s">
        <v>1544</v>
      </c>
      <c r="S342" s="6" t="b">
        <f>C342='Plano de Contas sem ponto'!C342</f>
        <v>1</v>
      </c>
    </row>
    <row r="343" spans="1:19" x14ac:dyDescent="0.2">
      <c r="A343" s="2" t="s">
        <v>660</v>
      </c>
      <c r="B343" s="2" t="s">
        <v>54</v>
      </c>
      <c r="C343" s="2" t="s">
        <v>661</v>
      </c>
      <c r="D343" s="2" t="s">
        <v>196</v>
      </c>
      <c r="E343" s="2" t="str">
        <f t="shared" si="39"/>
        <v>2</v>
      </c>
      <c r="F343" s="2" t="s">
        <v>479</v>
      </c>
      <c r="G343" s="2" t="s">
        <v>1490</v>
      </c>
      <c r="H343" s="2">
        <f t="shared" si="40"/>
        <v>16</v>
      </c>
      <c r="I343" s="3" t="str">
        <f t="shared" si="37"/>
        <v>-</v>
      </c>
      <c r="J343" s="2" t="str">
        <f t="shared" si="38"/>
        <v>REPASSES DETRAN</v>
      </c>
      <c r="K343" s="2" t="s">
        <v>1494</v>
      </c>
      <c r="L343" s="6" t="s">
        <v>1557</v>
      </c>
      <c r="M343" s="6" t="s">
        <v>1545</v>
      </c>
      <c r="S343" s="6" t="b">
        <f>C343='Plano de Contas sem ponto'!C343</f>
        <v>1</v>
      </c>
    </row>
    <row r="344" spans="1:19" x14ac:dyDescent="0.2">
      <c r="A344" s="2" t="s">
        <v>662</v>
      </c>
      <c r="B344" s="2" t="s">
        <v>54</v>
      </c>
      <c r="C344" s="2" t="s">
        <v>663</v>
      </c>
      <c r="D344" s="2" t="s">
        <v>196</v>
      </c>
      <c r="E344" s="2" t="str">
        <f t="shared" si="39"/>
        <v>2</v>
      </c>
      <c r="F344" s="2" t="s">
        <v>479</v>
      </c>
      <c r="G344" s="2" t="s">
        <v>1490</v>
      </c>
      <c r="H344" s="2">
        <f t="shared" si="40"/>
        <v>16</v>
      </c>
      <c r="I344" s="3" t="str">
        <f t="shared" si="37"/>
        <v>-</v>
      </c>
      <c r="J344" s="2" t="str">
        <f t="shared" si="38"/>
        <v>REPASSES DETRAN</v>
      </c>
      <c r="K344" s="2" t="s">
        <v>1494</v>
      </c>
      <c r="L344" s="6" t="s">
        <v>1557</v>
      </c>
      <c r="M344" s="6" t="s">
        <v>1546</v>
      </c>
      <c r="S344" s="6" t="b">
        <f>C344='Plano de Contas sem ponto'!C344</f>
        <v>1</v>
      </c>
    </row>
    <row r="345" spans="1:19" x14ac:dyDescent="0.2">
      <c r="A345" s="2" t="s">
        <v>664</v>
      </c>
      <c r="B345" s="2" t="s">
        <v>54</v>
      </c>
      <c r="C345" s="2" t="s">
        <v>665</v>
      </c>
      <c r="D345" s="2" t="s">
        <v>196</v>
      </c>
      <c r="E345" s="2" t="str">
        <f t="shared" si="39"/>
        <v>2</v>
      </c>
      <c r="F345" s="2" t="s">
        <v>479</v>
      </c>
      <c r="G345" s="2" t="s">
        <v>1490</v>
      </c>
      <c r="H345" s="2">
        <f t="shared" si="40"/>
        <v>16</v>
      </c>
      <c r="I345" s="3" t="str">
        <f t="shared" si="37"/>
        <v>-</v>
      </c>
      <c r="J345" s="2" t="str">
        <f t="shared" si="38"/>
        <v>REPASSES DETRAN</v>
      </c>
      <c r="K345" s="2" t="s">
        <v>1494</v>
      </c>
      <c r="L345" s="6" t="s">
        <v>1557</v>
      </c>
      <c r="M345" s="6" t="s">
        <v>1547</v>
      </c>
      <c r="S345" s="6" t="b">
        <f>C345='Plano de Contas sem ponto'!C345</f>
        <v>1</v>
      </c>
    </row>
    <row r="346" spans="1:19" x14ac:dyDescent="0.2">
      <c r="A346" s="2" t="s">
        <v>666</v>
      </c>
      <c r="B346" s="2" t="s">
        <v>54</v>
      </c>
      <c r="C346" s="2" t="s">
        <v>667</v>
      </c>
      <c r="D346" s="2" t="s">
        <v>196</v>
      </c>
      <c r="E346" s="2" t="str">
        <f t="shared" si="39"/>
        <v>2</v>
      </c>
      <c r="F346" s="2" t="s">
        <v>479</v>
      </c>
      <c r="G346" s="2" t="s">
        <v>1490</v>
      </c>
      <c r="H346" s="2">
        <f t="shared" si="40"/>
        <v>16</v>
      </c>
      <c r="I346" s="3" t="str">
        <f t="shared" si="37"/>
        <v>-</v>
      </c>
      <c r="J346" s="2" t="str">
        <f t="shared" si="38"/>
        <v>REPASSES DETRAN</v>
      </c>
      <c r="K346" s="2" t="s">
        <v>1494</v>
      </c>
      <c r="L346" s="6" t="s">
        <v>1557</v>
      </c>
      <c r="M346" s="6" t="s">
        <v>1548</v>
      </c>
      <c r="S346" s="6" t="b">
        <f>C346='Plano de Contas sem ponto'!C346</f>
        <v>1</v>
      </c>
    </row>
    <row r="347" spans="1:19" x14ac:dyDescent="0.2">
      <c r="A347" s="2" t="s">
        <v>668</v>
      </c>
      <c r="B347" s="2" t="s">
        <v>54</v>
      </c>
      <c r="C347" s="2" t="s">
        <v>669</v>
      </c>
      <c r="D347" s="2" t="s">
        <v>196</v>
      </c>
      <c r="E347" s="2" t="str">
        <f t="shared" si="39"/>
        <v>2</v>
      </c>
      <c r="F347" s="2" t="s">
        <v>479</v>
      </c>
      <c r="G347" s="2" t="s">
        <v>1490</v>
      </c>
      <c r="H347" s="2">
        <f t="shared" si="40"/>
        <v>16</v>
      </c>
      <c r="I347" s="3" t="str">
        <f t="shared" si="37"/>
        <v>-</v>
      </c>
      <c r="J347" s="2" t="str">
        <f t="shared" si="38"/>
        <v>REPASSES DETRAN</v>
      </c>
      <c r="K347" s="2" t="s">
        <v>1494</v>
      </c>
      <c r="L347" s="6" t="s">
        <v>1557</v>
      </c>
      <c r="M347" s="6" t="s">
        <v>1549</v>
      </c>
      <c r="S347" s="6" t="b">
        <f>C347='Plano de Contas sem ponto'!C347</f>
        <v>1</v>
      </c>
    </row>
    <row r="348" spans="1:19" x14ac:dyDescent="0.2">
      <c r="A348" s="2" t="s">
        <v>670</v>
      </c>
      <c r="B348" s="2" t="s">
        <v>54</v>
      </c>
      <c r="C348" s="2" t="s">
        <v>671</v>
      </c>
      <c r="D348" s="2" t="s">
        <v>196</v>
      </c>
      <c r="E348" s="2" t="str">
        <f t="shared" si="39"/>
        <v>2</v>
      </c>
      <c r="F348" s="2" t="s">
        <v>479</v>
      </c>
      <c r="G348" s="2" t="s">
        <v>1490</v>
      </c>
      <c r="H348" s="2">
        <f t="shared" si="40"/>
        <v>16</v>
      </c>
      <c r="I348" s="3" t="str">
        <f t="shared" si="37"/>
        <v>-</v>
      </c>
      <c r="J348" s="2" t="str">
        <f t="shared" si="38"/>
        <v>REPASSES DETRAN</v>
      </c>
      <c r="K348" s="2" t="s">
        <v>1494</v>
      </c>
      <c r="L348" s="6" t="s">
        <v>1557</v>
      </c>
      <c r="M348" s="6" t="s">
        <v>1550</v>
      </c>
      <c r="S348" s="6" t="b">
        <f>C348='Plano de Contas sem ponto'!C348</f>
        <v>1</v>
      </c>
    </row>
    <row r="349" spans="1:19" x14ac:dyDescent="0.2">
      <c r="A349" s="2" t="s">
        <v>672</v>
      </c>
      <c r="B349" s="2" t="s">
        <v>54</v>
      </c>
      <c r="C349" s="2" t="s">
        <v>673</v>
      </c>
      <c r="D349" s="2" t="s">
        <v>196</v>
      </c>
      <c r="E349" s="2" t="str">
        <f t="shared" si="39"/>
        <v>2</v>
      </c>
      <c r="F349" s="2" t="s">
        <v>479</v>
      </c>
      <c r="G349" s="2" t="s">
        <v>1490</v>
      </c>
      <c r="H349" s="2">
        <f t="shared" si="40"/>
        <v>16</v>
      </c>
      <c r="I349" s="3" t="str">
        <f t="shared" si="37"/>
        <v>-</v>
      </c>
      <c r="J349" s="2" t="str">
        <f t="shared" si="38"/>
        <v>REPASSES DETRAN</v>
      </c>
      <c r="K349" s="2" t="s">
        <v>1494</v>
      </c>
      <c r="L349" s="6" t="s">
        <v>1557</v>
      </c>
      <c r="M349" s="6" t="s">
        <v>1551</v>
      </c>
      <c r="S349" s="6" t="b">
        <f>C349='Plano de Contas sem ponto'!C349</f>
        <v>1</v>
      </c>
    </row>
    <row r="350" spans="1:19" x14ac:dyDescent="0.2">
      <c r="A350" s="2" t="s">
        <v>674</v>
      </c>
      <c r="B350" s="2" t="s">
        <v>54</v>
      </c>
      <c r="C350" s="2" t="s">
        <v>675</v>
      </c>
      <c r="D350" s="2" t="s">
        <v>196</v>
      </c>
      <c r="E350" s="2" t="str">
        <f t="shared" si="39"/>
        <v>2</v>
      </c>
      <c r="F350" s="2" t="s">
        <v>479</v>
      </c>
      <c r="G350" s="2" t="s">
        <v>1490</v>
      </c>
      <c r="H350" s="2">
        <f t="shared" si="40"/>
        <v>16</v>
      </c>
      <c r="I350" s="3" t="str">
        <f t="shared" si="37"/>
        <v>-</v>
      </c>
      <c r="J350" s="2" t="str">
        <f t="shared" si="38"/>
        <v>REPASSES DETRAN</v>
      </c>
      <c r="K350" s="2" t="s">
        <v>1494</v>
      </c>
      <c r="L350" s="6" t="s">
        <v>1557</v>
      </c>
      <c r="M350" s="6" t="s">
        <v>1552</v>
      </c>
      <c r="S350" s="6" t="b">
        <f>C350='Plano de Contas sem ponto'!C350</f>
        <v>1</v>
      </c>
    </row>
    <row r="351" spans="1:19" x14ac:dyDescent="0.2">
      <c r="A351" s="2" t="s">
        <v>676</v>
      </c>
      <c r="B351" s="2" t="s">
        <v>54</v>
      </c>
      <c r="C351" s="2" t="s">
        <v>677</v>
      </c>
      <c r="D351" s="2" t="s">
        <v>196</v>
      </c>
      <c r="E351" s="2" t="str">
        <f t="shared" si="39"/>
        <v>2</v>
      </c>
      <c r="F351" s="2" t="s">
        <v>479</v>
      </c>
      <c r="G351" s="2" t="s">
        <v>1490</v>
      </c>
      <c r="H351" s="2">
        <f t="shared" si="40"/>
        <v>16</v>
      </c>
      <c r="I351" s="3" t="str">
        <f t="shared" si="37"/>
        <v>-</v>
      </c>
      <c r="J351" s="2" t="str">
        <f t="shared" si="38"/>
        <v>REPASSES DETRAN</v>
      </c>
      <c r="K351" s="2" t="s">
        <v>1494</v>
      </c>
      <c r="L351" s="6" t="s">
        <v>1557</v>
      </c>
      <c r="M351" s="6" t="s">
        <v>1553</v>
      </c>
      <c r="S351" s="6" t="b">
        <f>C351='Plano de Contas sem ponto'!C351</f>
        <v>1</v>
      </c>
    </row>
    <row r="352" spans="1:19" x14ac:dyDescent="0.2">
      <c r="A352" s="2" t="s">
        <v>678</v>
      </c>
      <c r="B352" s="2" t="s">
        <v>54</v>
      </c>
      <c r="C352" s="2" t="s">
        <v>679</v>
      </c>
      <c r="D352" s="2" t="s">
        <v>196</v>
      </c>
      <c r="E352" s="2" t="str">
        <f t="shared" si="39"/>
        <v>2</v>
      </c>
      <c r="F352" s="2" t="s">
        <v>479</v>
      </c>
      <c r="G352" s="2" t="s">
        <v>1490</v>
      </c>
      <c r="H352" s="2">
        <f t="shared" si="40"/>
        <v>16</v>
      </c>
      <c r="I352" s="3" t="str">
        <f t="shared" si="37"/>
        <v>-</v>
      </c>
      <c r="J352" s="2" t="str">
        <f t="shared" si="38"/>
        <v>REPASSES DETRAN</v>
      </c>
      <c r="K352" s="2" t="s">
        <v>1494</v>
      </c>
      <c r="L352" s="6" t="s">
        <v>1557</v>
      </c>
      <c r="M352" s="6" t="s">
        <v>1554</v>
      </c>
      <c r="S352" s="6" t="b">
        <f>C352='Plano de Contas sem ponto'!C352</f>
        <v>1</v>
      </c>
    </row>
    <row r="353" spans="1:19" x14ac:dyDescent="0.2">
      <c r="A353" s="2" t="s">
        <v>680</v>
      </c>
      <c r="B353" s="2" t="s">
        <v>54</v>
      </c>
      <c r="C353" s="2" t="s">
        <v>681</v>
      </c>
      <c r="D353" s="2" t="s">
        <v>196</v>
      </c>
      <c r="E353" s="2" t="str">
        <f t="shared" si="39"/>
        <v>2</v>
      </c>
      <c r="F353" s="2" t="s">
        <v>479</v>
      </c>
      <c r="G353" s="2" t="s">
        <v>1490</v>
      </c>
      <c r="H353" s="2">
        <f t="shared" si="40"/>
        <v>16</v>
      </c>
      <c r="I353" s="3" t="str">
        <f t="shared" si="37"/>
        <v>-</v>
      </c>
      <c r="J353" s="2" t="str">
        <f t="shared" si="38"/>
        <v>REPASSES DETRAN</v>
      </c>
      <c r="K353" s="2" t="s">
        <v>1494</v>
      </c>
      <c r="L353" s="6" t="s">
        <v>1557</v>
      </c>
      <c r="M353" s="6" t="s">
        <v>1555</v>
      </c>
      <c r="S353" s="6" t="b">
        <f>C353='Plano de Contas sem ponto'!C353</f>
        <v>1</v>
      </c>
    </row>
    <row r="354" spans="1:19" x14ac:dyDescent="0.2">
      <c r="A354" s="2" t="s">
        <v>682</v>
      </c>
      <c r="B354" s="2" t="s">
        <v>54</v>
      </c>
      <c r="C354" s="2" t="s">
        <v>683</v>
      </c>
      <c r="D354" s="2" t="s">
        <v>196</v>
      </c>
      <c r="E354" s="2" t="str">
        <f t="shared" si="39"/>
        <v>2</v>
      </c>
      <c r="F354" s="2" t="s">
        <v>479</v>
      </c>
      <c r="G354" s="2" t="s">
        <v>1490</v>
      </c>
      <c r="H354" s="2">
        <f t="shared" si="40"/>
        <v>16</v>
      </c>
      <c r="I354" s="3" t="str">
        <f t="shared" si="37"/>
        <v>-</v>
      </c>
      <c r="J354" s="2" t="str">
        <f t="shared" si="38"/>
        <v>REPASSES DETRAN</v>
      </c>
      <c r="K354" s="2" t="s">
        <v>1494</v>
      </c>
      <c r="L354" s="6" t="s">
        <v>1557</v>
      </c>
      <c r="M354" s="6" t="s">
        <v>1556</v>
      </c>
      <c r="S354" s="6" t="b">
        <f>C354='Plano de Contas sem ponto'!C354</f>
        <v>1</v>
      </c>
    </row>
    <row r="355" spans="1:19" x14ac:dyDescent="0.2">
      <c r="A355" s="1" t="s">
        <v>684</v>
      </c>
      <c r="B355" s="1" t="s">
        <v>40</v>
      </c>
      <c r="C355" s="1" t="s">
        <v>685</v>
      </c>
      <c r="D355" s="2" t="s">
        <v>196</v>
      </c>
      <c r="E355" s="2" t="str">
        <f t="shared" si="39"/>
        <v>2</v>
      </c>
      <c r="F355" s="2" t="s">
        <v>479</v>
      </c>
      <c r="G355" s="2" t="s">
        <v>1490</v>
      </c>
      <c r="H355" s="2">
        <f t="shared" si="40"/>
        <v>5</v>
      </c>
      <c r="I355" s="3" t="str">
        <f t="shared" si="37"/>
        <v>-</v>
      </c>
      <c r="J355" s="2" t="str">
        <f t="shared" si="38"/>
        <v>PROVISOES</v>
      </c>
      <c r="K355" s="2" t="s">
        <v>686</v>
      </c>
      <c r="M355" s="4"/>
      <c r="N355" s="5"/>
      <c r="S355" s="6" t="b">
        <f>C355='Plano de Contas sem ponto'!C355</f>
        <v>1</v>
      </c>
    </row>
    <row r="356" spans="1:19" x14ac:dyDescent="0.2">
      <c r="A356" s="1" t="s">
        <v>687</v>
      </c>
      <c r="B356" s="1" t="s">
        <v>40</v>
      </c>
      <c r="C356" s="1" t="s">
        <v>688</v>
      </c>
      <c r="D356" s="2" t="s">
        <v>196</v>
      </c>
      <c r="E356" s="2" t="str">
        <f t="shared" si="39"/>
        <v>2</v>
      </c>
      <c r="F356" s="2" t="s">
        <v>479</v>
      </c>
      <c r="G356" s="2" t="s">
        <v>1490</v>
      </c>
      <c r="H356" s="2">
        <f t="shared" si="40"/>
        <v>8</v>
      </c>
      <c r="I356" s="3" t="str">
        <f t="shared" si="37"/>
        <v>-</v>
      </c>
      <c r="J356" s="2" t="str">
        <f t="shared" si="38"/>
        <v>PROVISAO DE FERIAS</v>
      </c>
      <c r="K356" s="2" t="s">
        <v>686</v>
      </c>
      <c r="M356" s="4"/>
      <c r="N356" s="5"/>
      <c r="S356" s="6" t="b">
        <f>C356='Plano de Contas sem ponto'!C356</f>
        <v>1</v>
      </c>
    </row>
    <row r="357" spans="1:19" x14ac:dyDescent="0.2">
      <c r="A357" s="1" t="s">
        <v>689</v>
      </c>
      <c r="B357" s="1" t="s">
        <v>40</v>
      </c>
      <c r="C357" s="1" t="s">
        <v>688</v>
      </c>
      <c r="D357" s="2" t="s">
        <v>196</v>
      </c>
      <c r="E357" s="2" t="str">
        <f t="shared" si="39"/>
        <v>2</v>
      </c>
      <c r="F357" s="2" t="s">
        <v>479</v>
      </c>
      <c r="G357" s="2" t="s">
        <v>1490</v>
      </c>
      <c r="H357" s="2">
        <f t="shared" si="40"/>
        <v>11</v>
      </c>
      <c r="I357" s="3" t="str">
        <f t="shared" si="37"/>
        <v>2.1.6.01.01</v>
      </c>
      <c r="J357" s="2" t="str">
        <f t="shared" si="38"/>
        <v>PROVISAO DE FERIAS</v>
      </c>
      <c r="K357" s="2" t="s">
        <v>686</v>
      </c>
      <c r="S357" s="6" t="b">
        <f>C357='Plano de Contas sem ponto'!C357</f>
        <v>1</v>
      </c>
    </row>
    <row r="358" spans="1:19" x14ac:dyDescent="0.2">
      <c r="A358" s="2" t="s">
        <v>690</v>
      </c>
      <c r="B358" s="2" t="s">
        <v>54</v>
      </c>
      <c r="C358" s="2" t="s">
        <v>691</v>
      </c>
      <c r="D358" s="2" t="s">
        <v>196</v>
      </c>
      <c r="E358" s="2" t="str">
        <f t="shared" si="39"/>
        <v>2</v>
      </c>
      <c r="F358" s="2" t="s">
        <v>479</v>
      </c>
      <c r="G358" s="2" t="s">
        <v>1490</v>
      </c>
      <c r="H358" s="2">
        <f t="shared" si="40"/>
        <v>16</v>
      </c>
      <c r="I358" s="3" t="str">
        <f t="shared" si="37"/>
        <v>-</v>
      </c>
      <c r="J358" s="2" t="str">
        <f t="shared" si="38"/>
        <v>PROVISAO DE FERIAS</v>
      </c>
      <c r="K358" s="2" t="s">
        <v>686</v>
      </c>
      <c r="L358" s="6" t="s">
        <v>1602</v>
      </c>
      <c r="S358" s="6" t="b">
        <f>C358='Plano de Contas sem ponto'!C358</f>
        <v>1</v>
      </c>
    </row>
    <row r="359" spans="1:19" x14ac:dyDescent="0.2">
      <c r="A359" s="2" t="s">
        <v>692</v>
      </c>
      <c r="B359" s="2" t="s">
        <v>54</v>
      </c>
      <c r="C359" s="2" t="s">
        <v>693</v>
      </c>
      <c r="D359" s="2" t="s">
        <v>196</v>
      </c>
      <c r="E359" s="2" t="str">
        <f t="shared" si="39"/>
        <v>2</v>
      </c>
      <c r="F359" s="2" t="s">
        <v>479</v>
      </c>
      <c r="G359" s="2" t="s">
        <v>1490</v>
      </c>
      <c r="H359" s="2">
        <f t="shared" si="40"/>
        <v>16</v>
      </c>
      <c r="I359" s="3" t="str">
        <f t="shared" si="37"/>
        <v>-</v>
      </c>
      <c r="J359" s="2" t="str">
        <f t="shared" si="38"/>
        <v>PROVISAO DE FERIAS</v>
      </c>
      <c r="K359" s="2" t="s">
        <v>686</v>
      </c>
      <c r="L359" s="6" t="s">
        <v>1602</v>
      </c>
      <c r="S359" s="6" t="b">
        <f>C359='Plano de Contas sem ponto'!C359</f>
        <v>1</v>
      </c>
    </row>
    <row r="360" spans="1:19" x14ac:dyDescent="0.2">
      <c r="A360" s="2" t="s">
        <v>694</v>
      </c>
      <c r="B360" s="2" t="s">
        <v>54</v>
      </c>
      <c r="C360" s="2" t="s">
        <v>695</v>
      </c>
      <c r="D360" s="2" t="s">
        <v>196</v>
      </c>
      <c r="E360" s="2" t="str">
        <f t="shared" si="39"/>
        <v>2</v>
      </c>
      <c r="F360" s="2" t="s">
        <v>479</v>
      </c>
      <c r="G360" s="2" t="s">
        <v>1490</v>
      </c>
      <c r="H360" s="2">
        <f t="shared" si="40"/>
        <v>16</v>
      </c>
      <c r="I360" s="3" t="str">
        <f t="shared" si="37"/>
        <v>-</v>
      </c>
      <c r="J360" s="2" t="str">
        <f t="shared" si="38"/>
        <v>PROVISAO DE FERIAS</v>
      </c>
      <c r="K360" s="2" t="s">
        <v>686</v>
      </c>
      <c r="L360" s="6" t="s">
        <v>1602</v>
      </c>
      <c r="S360" s="6" t="b">
        <f>C360='Plano de Contas sem ponto'!C360</f>
        <v>1</v>
      </c>
    </row>
    <row r="361" spans="1:19" x14ac:dyDescent="0.2">
      <c r="A361" s="2" t="s">
        <v>696</v>
      </c>
      <c r="B361" s="2" t="s">
        <v>54</v>
      </c>
      <c r="C361" s="2" t="s">
        <v>697</v>
      </c>
      <c r="D361" s="2" t="s">
        <v>196</v>
      </c>
      <c r="E361" s="2" t="str">
        <f t="shared" si="39"/>
        <v>2</v>
      </c>
      <c r="F361" s="2" t="s">
        <v>479</v>
      </c>
      <c r="G361" s="2" t="s">
        <v>1490</v>
      </c>
      <c r="H361" s="2">
        <f t="shared" si="40"/>
        <v>16</v>
      </c>
      <c r="I361" s="3" t="str">
        <f t="shared" si="37"/>
        <v>-</v>
      </c>
      <c r="J361" s="2" t="str">
        <f t="shared" si="38"/>
        <v>PROVISAO DE FERIAS</v>
      </c>
      <c r="K361" s="2" t="s">
        <v>686</v>
      </c>
      <c r="L361" s="6" t="s">
        <v>1602</v>
      </c>
      <c r="S361" s="6" t="b">
        <f>C361='Plano de Contas sem ponto'!C361</f>
        <v>1</v>
      </c>
    </row>
    <row r="362" spans="1:19" x14ac:dyDescent="0.2">
      <c r="A362" s="1" t="s">
        <v>698</v>
      </c>
      <c r="B362" s="1" t="s">
        <v>40</v>
      </c>
      <c r="C362" s="1" t="s">
        <v>699</v>
      </c>
      <c r="D362" s="2" t="s">
        <v>196</v>
      </c>
      <c r="E362" s="2" t="str">
        <f t="shared" si="39"/>
        <v>2</v>
      </c>
      <c r="F362" s="2" t="s">
        <v>479</v>
      </c>
      <c r="G362" s="2" t="s">
        <v>1490</v>
      </c>
      <c r="H362" s="2">
        <f t="shared" si="40"/>
        <v>8</v>
      </c>
      <c r="I362" s="3" t="str">
        <f t="shared" si="37"/>
        <v>-</v>
      </c>
      <c r="J362" s="2" t="str">
        <f t="shared" si="38"/>
        <v>PROVISAO DE 13º SALARIO</v>
      </c>
      <c r="K362" s="2" t="s">
        <v>686</v>
      </c>
      <c r="L362" s="6" t="s">
        <v>1602</v>
      </c>
      <c r="S362" s="6" t="b">
        <f>C362='Plano de Contas sem ponto'!C362</f>
        <v>1</v>
      </c>
    </row>
    <row r="363" spans="1:19" x14ac:dyDescent="0.2">
      <c r="A363" s="1" t="s">
        <v>700</v>
      </c>
      <c r="B363" s="1" t="s">
        <v>40</v>
      </c>
      <c r="C363" s="1" t="s">
        <v>699</v>
      </c>
      <c r="D363" s="2" t="s">
        <v>196</v>
      </c>
      <c r="E363" s="2" t="str">
        <f t="shared" si="39"/>
        <v>2</v>
      </c>
      <c r="F363" s="2" t="s">
        <v>479</v>
      </c>
      <c r="G363" s="2" t="s">
        <v>1490</v>
      </c>
      <c r="H363" s="2">
        <f t="shared" si="40"/>
        <v>11</v>
      </c>
      <c r="I363" s="3" t="str">
        <f t="shared" si="37"/>
        <v>2.1.6.02.01</v>
      </c>
      <c r="J363" s="2" t="str">
        <f t="shared" si="38"/>
        <v>PROVISAO DE 13º SALARIO</v>
      </c>
      <c r="K363" s="2" t="s">
        <v>686</v>
      </c>
      <c r="L363" s="6" t="s">
        <v>1602</v>
      </c>
      <c r="S363" s="6" t="b">
        <f>C363='Plano de Contas sem ponto'!C363</f>
        <v>1</v>
      </c>
    </row>
    <row r="364" spans="1:19" x14ac:dyDescent="0.2">
      <c r="A364" s="2" t="s">
        <v>701</v>
      </c>
      <c r="B364" s="2" t="s">
        <v>54</v>
      </c>
      <c r="C364" s="2" t="s">
        <v>702</v>
      </c>
      <c r="D364" s="2" t="s">
        <v>196</v>
      </c>
      <c r="E364" s="2" t="str">
        <f t="shared" si="39"/>
        <v>2</v>
      </c>
      <c r="F364" s="2" t="s">
        <v>479</v>
      </c>
      <c r="G364" s="2" t="s">
        <v>1490</v>
      </c>
      <c r="H364" s="2">
        <f t="shared" si="40"/>
        <v>16</v>
      </c>
      <c r="I364" s="3" t="str">
        <f t="shared" si="37"/>
        <v>-</v>
      </c>
      <c r="J364" s="2" t="str">
        <f t="shared" si="38"/>
        <v>PROVISAO DE 13º SALARIO</v>
      </c>
      <c r="K364" s="2" t="s">
        <v>686</v>
      </c>
      <c r="L364" s="6" t="s">
        <v>1602</v>
      </c>
      <c r="S364" s="6" t="b">
        <f>C364='Plano de Contas sem ponto'!C364</f>
        <v>1</v>
      </c>
    </row>
    <row r="365" spans="1:19" x14ac:dyDescent="0.2">
      <c r="A365" s="2" t="s">
        <v>703</v>
      </c>
      <c r="B365" s="2" t="s">
        <v>54</v>
      </c>
      <c r="C365" s="2" t="s">
        <v>704</v>
      </c>
      <c r="D365" s="2" t="s">
        <v>196</v>
      </c>
      <c r="E365" s="2" t="str">
        <f t="shared" si="39"/>
        <v>2</v>
      </c>
      <c r="F365" s="2" t="s">
        <v>479</v>
      </c>
      <c r="G365" s="2" t="s">
        <v>1490</v>
      </c>
      <c r="H365" s="2">
        <f t="shared" si="40"/>
        <v>16</v>
      </c>
      <c r="I365" s="3" t="str">
        <f t="shared" si="37"/>
        <v>-</v>
      </c>
      <c r="J365" s="2" t="str">
        <f t="shared" si="38"/>
        <v>PROVISAO DE 13º SALARIO</v>
      </c>
      <c r="K365" s="2" t="s">
        <v>686</v>
      </c>
      <c r="L365" s="6" t="s">
        <v>1602</v>
      </c>
      <c r="S365" s="6" t="b">
        <f>C365='Plano de Contas sem ponto'!C365</f>
        <v>1</v>
      </c>
    </row>
    <row r="366" spans="1:19" x14ac:dyDescent="0.2">
      <c r="A366" s="2" t="s">
        <v>705</v>
      </c>
      <c r="B366" s="2" t="s">
        <v>54</v>
      </c>
      <c r="C366" s="2" t="s">
        <v>706</v>
      </c>
      <c r="D366" s="2" t="s">
        <v>196</v>
      </c>
      <c r="E366" s="2" t="str">
        <f t="shared" si="39"/>
        <v>2</v>
      </c>
      <c r="F366" s="2" t="s">
        <v>479</v>
      </c>
      <c r="G366" s="2" t="s">
        <v>1490</v>
      </c>
      <c r="H366" s="2">
        <f t="shared" si="40"/>
        <v>16</v>
      </c>
      <c r="I366" s="3" t="str">
        <f t="shared" si="37"/>
        <v>-</v>
      </c>
      <c r="J366" s="2" t="str">
        <f t="shared" si="38"/>
        <v>PROVISAO DE 13º SALARIO</v>
      </c>
      <c r="K366" s="2" t="s">
        <v>686</v>
      </c>
      <c r="L366" s="6" t="s">
        <v>1602</v>
      </c>
      <c r="S366" s="6" t="b">
        <f>C366='Plano de Contas sem ponto'!C366</f>
        <v>1</v>
      </c>
    </row>
    <row r="367" spans="1:19" x14ac:dyDescent="0.2">
      <c r="A367" s="2" t="s">
        <v>707</v>
      </c>
      <c r="B367" s="2" t="s">
        <v>54</v>
      </c>
      <c r="C367" s="2" t="s">
        <v>708</v>
      </c>
      <c r="D367" s="2" t="s">
        <v>196</v>
      </c>
      <c r="E367" s="2" t="str">
        <f t="shared" si="39"/>
        <v>2</v>
      </c>
      <c r="F367" s="2" t="s">
        <v>479</v>
      </c>
      <c r="G367" s="2" t="s">
        <v>1490</v>
      </c>
      <c r="H367" s="2">
        <f t="shared" si="40"/>
        <v>16</v>
      </c>
      <c r="I367" s="3" t="str">
        <f t="shared" si="37"/>
        <v>-</v>
      </c>
      <c r="J367" s="2" t="str">
        <f t="shared" si="38"/>
        <v>PROVISAO DE 13º SALARIO</v>
      </c>
      <c r="K367" s="2" t="s">
        <v>686</v>
      </c>
      <c r="L367" s="6" t="s">
        <v>1602</v>
      </c>
      <c r="S367" s="6" t="b">
        <f>C367='Plano de Contas sem ponto'!C367</f>
        <v>1</v>
      </c>
    </row>
    <row r="368" spans="1:19" x14ac:dyDescent="0.2">
      <c r="A368" s="1" t="s">
        <v>709</v>
      </c>
      <c r="B368" s="1" t="s">
        <v>40</v>
      </c>
      <c r="C368" s="1" t="s">
        <v>710</v>
      </c>
      <c r="D368" s="2" t="s">
        <v>196</v>
      </c>
      <c r="E368" s="2" t="str">
        <f t="shared" si="39"/>
        <v>2</v>
      </c>
      <c r="F368" s="2" t="s">
        <v>479</v>
      </c>
      <c r="G368" s="2" t="s">
        <v>1490</v>
      </c>
      <c r="H368" s="2">
        <f t="shared" si="40"/>
        <v>5</v>
      </c>
      <c r="I368" s="3" t="str">
        <f t="shared" si="37"/>
        <v>-</v>
      </c>
      <c r="J368" s="2" t="str">
        <f t="shared" si="38"/>
        <v>PROGRAMA NACIONAL DE APOIO AO TRANSITO</v>
      </c>
      <c r="K368" s="2" t="s">
        <v>711</v>
      </c>
      <c r="S368" s="6" t="b">
        <f>C368='Plano de Contas sem ponto'!C368</f>
        <v>1</v>
      </c>
    </row>
    <row r="369" spans="1:19" x14ac:dyDescent="0.2">
      <c r="A369" s="1" t="s">
        <v>712</v>
      </c>
      <c r="B369" s="1" t="s">
        <v>40</v>
      </c>
      <c r="C369" s="1" t="s">
        <v>710</v>
      </c>
      <c r="D369" s="2" t="s">
        <v>196</v>
      </c>
      <c r="E369" s="2" t="str">
        <f t="shared" si="39"/>
        <v>2</v>
      </c>
      <c r="F369" s="2" t="s">
        <v>479</v>
      </c>
      <c r="G369" s="2" t="s">
        <v>1490</v>
      </c>
      <c r="H369" s="2">
        <f t="shared" si="40"/>
        <v>8</v>
      </c>
      <c r="I369" s="3" t="str">
        <f t="shared" si="37"/>
        <v>-</v>
      </c>
      <c r="J369" s="2" t="str">
        <f t="shared" si="38"/>
        <v>PROGRAMA NACIONAL DE APOIO AO TRANSITO</v>
      </c>
      <c r="K369" s="2" t="s">
        <v>711</v>
      </c>
      <c r="S369" s="6" t="b">
        <f>C369='Plano de Contas sem ponto'!C369</f>
        <v>1</v>
      </c>
    </row>
    <row r="370" spans="1:19" x14ac:dyDescent="0.2">
      <c r="A370" s="1" t="s">
        <v>713</v>
      </c>
      <c r="B370" s="1" t="s">
        <v>40</v>
      </c>
      <c r="C370" s="1" t="s">
        <v>710</v>
      </c>
      <c r="D370" s="2" t="s">
        <v>196</v>
      </c>
      <c r="E370" s="2" t="str">
        <f t="shared" si="39"/>
        <v>2</v>
      </c>
      <c r="F370" s="2" t="s">
        <v>479</v>
      </c>
      <c r="G370" s="2" t="s">
        <v>1490</v>
      </c>
      <c r="H370" s="2">
        <f t="shared" si="40"/>
        <v>11</v>
      </c>
      <c r="I370" s="3" t="str">
        <f t="shared" si="37"/>
        <v>2.1.7.01.01</v>
      </c>
      <c r="J370" s="2" t="str">
        <f t="shared" si="38"/>
        <v>PROGRAMA NACIONAL DE APOIO AO TRANSITO</v>
      </c>
      <c r="K370" s="2" t="s">
        <v>711</v>
      </c>
      <c r="S370" s="6" t="b">
        <f>C370='Plano de Contas sem ponto'!C370</f>
        <v>1</v>
      </c>
    </row>
    <row r="371" spans="1:19" x14ac:dyDescent="0.2">
      <c r="A371" s="2" t="s">
        <v>714</v>
      </c>
      <c r="B371" s="2" t="s">
        <v>54</v>
      </c>
      <c r="C371" s="2" t="s">
        <v>710</v>
      </c>
      <c r="D371" s="2" t="s">
        <v>196</v>
      </c>
      <c r="E371" s="2" t="str">
        <f t="shared" si="39"/>
        <v>2</v>
      </c>
      <c r="F371" s="2" t="s">
        <v>479</v>
      </c>
      <c r="G371" s="2" t="s">
        <v>1490</v>
      </c>
      <c r="H371" s="2">
        <f t="shared" si="40"/>
        <v>16</v>
      </c>
      <c r="I371" s="3" t="str">
        <f t="shared" si="37"/>
        <v>-</v>
      </c>
      <c r="J371" s="2" t="str">
        <f t="shared" si="38"/>
        <v>PROGRAMA NACIONAL DE APOIO AO TRANSITO</v>
      </c>
      <c r="K371" s="2" t="s">
        <v>711</v>
      </c>
      <c r="S371" s="6" t="b">
        <f>C371='Plano de Contas sem ponto'!C371</f>
        <v>1</v>
      </c>
    </row>
    <row r="372" spans="1:19" x14ac:dyDescent="0.2">
      <c r="A372" s="1" t="s">
        <v>715</v>
      </c>
      <c r="B372" s="1" t="s">
        <v>40</v>
      </c>
      <c r="C372" s="1" t="s">
        <v>716</v>
      </c>
      <c r="D372" s="2" t="s">
        <v>196</v>
      </c>
      <c r="E372" s="2" t="str">
        <f t="shared" si="39"/>
        <v>2</v>
      </c>
      <c r="F372" s="2" t="s">
        <v>479</v>
      </c>
      <c r="G372" s="2" t="s">
        <v>1490</v>
      </c>
      <c r="H372" s="2">
        <f t="shared" si="40"/>
        <v>5</v>
      </c>
      <c r="I372" s="3" t="str">
        <f t="shared" si="37"/>
        <v>-</v>
      </c>
      <c r="J372" s="2" t="str">
        <f t="shared" si="38"/>
        <v>CONVENIO OIT</v>
      </c>
      <c r="K372" s="2" t="s">
        <v>1495</v>
      </c>
      <c r="S372" s="6" t="b">
        <f>C372='Plano de Contas sem ponto'!C372</f>
        <v>1</v>
      </c>
    </row>
    <row r="373" spans="1:19" x14ac:dyDescent="0.2">
      <c r="A373" s="1" t="s">
        <v>717</v>
      </c>
      <c r="B373" s="1" t="s">
        <v>40</v>
      </c>
      <c r="C373" s="1" t="s">
        <v>716</v>
      </c>
      <c r="D373" s="2" t="s">
        <v>196</v>
      </c>
      <c r="E373" s="2" t="str">
        <f t="shared" si="39"/>
        <v>2</v>
      </c>
      <c r="F373" s="2" t="s">
        <v>479</v>
      </c>
      <c r="G373" s="2" t="s">
        <v>1490</v>
      </c>
      <c r="H373" s="2">
        <f t="shared" si="40"/>
        <v>8</v>
      </c>
      <c r="I373" s="3" t="str">
        <f t="shared" si="37"/>
        <v>-</v>
      </c>
      <c r="J373" s="2" t="str">
        <f t="shared" si="38"/>
        <v>CONVENIO OIT</v>
      </c>
      <c r="K373" s="2" t="s">
        <v>1495</v>
      </c>
      <c r="S373" s="6" t="b">
        <f>C373='Plano de Contas sem ponto'!C373</f>
        <v>1</v>
      </c>
    </row>
    <row r="374" spans="1:19" x14ac:dyDescent="0.2">
      <c r="A374" s="1" t="s">
        <v>718</v>
      </c>
      <c r="B374" s="1" t="s">
        <v>40</v>
      </c>
      <c r="C374" s="1" t="s">
        <v>719</v>
      </c>
      <c r="D374" s="2" t="s">
        <v>196</v>
      </c>
      <c r="E374" s="2" t="str">
        <f t="shared" si="39"/>
        <v>2</v>
      </c>
      <c r="F374" s="2" t="s">
        <v>479</v>
      </c>
      <c r="G374" s="2" t="s">
        <v>1490</v>
      </c>
      <c r="H374" s="2">
        <f t="shared" si="40"/>
        <v>11</v>
      </c>
      <c r="I374" s="3" t="str">
        <f t="shared" si="37"/>
        <v>2.1.8.01.01</v>
      </c>
      <c r="J374" s="2" t="str">
        <f t="shared" si="38"/>
        <v>PROJETO EDUCAÇÃO DO MICROSSEGURO</v>
      </c>
      <c r="K374" s="2" t="s">
        <v>1495</v>
      </c>
      <c r="S374" s="6" t="b">
        <f>C374='Plano de Contas sem ponto'!C374</f>
        <v>1</v>
      </c>
    </row>
    <row r="375" spans="1:19" x14ac:dyDescent="0.2">
      <c r="A375" s="2" t="s">
        <v>720</v>
      </c>
      <c r="B375" s="2" t="s">
        <v>54</v>
      </c>
      <c r="C375" s="2" t="s">
        <v>719</v>
      </c>
      <c r="D375" s="2" t="s">
        <v>196</v>
      </c>
      <c r="E375" s="2" t="str">
        <f t="shared" si="39"/>
        <v>2</v>
      </c>
      <c r="F375" s="2" t="s">
        <v>479</v>
      </c>
      <c r="G375" s="2" t="s">
        <v>1490</v>
      </c>
      <c r="H375" s="2">
        <f t="shared" si="40"/>
        <v>16</v>
      </c>
      <c r="I375" s="3" t="str">
        <f t="shared" si="37"/>
        <v>-</v>
      </c>
      <c r="J375" s="2" t="str">
        <f t="shared" si="38"/>
        <v>PROJETO EDUCAÇÃO DO MICROSSEGURO</v>
      </c>
      <c r="K375" s="2" t="s">
        <v>1495</v>
      </c>
      <c r="S375" s="6" t="b">
        <f>C375='Plano de Contas sem ponto'!C375</f>
        <v>1</v>
      </c>
    </row>
    <row r="376" spans="1:19" x14ac:dyDescent="0.2">
      <c r="A376" s="1" t="s">
        <v>721</v>
      </c>
      <c r="B376" s="1" t="s">
        <v>40</v>
      </c>
      <c r="C376" s="1" t="s">
        <v>722</v>
      </c>
      <c r="D376" s="2" t="s">
        <v>196</v>
      </c>
      <c r="E376" s="2" t="str">
        <f t="shared" si="39"/>
        <v>2</v>
      </c>
      <c r="F376" s="2" t="s">
        <v>479</v>
      </c>
      <c r="G376" s="2" t="s">
        <v>1490</v>
      </c>
      <c r="H376" s="2">
        <f t="shared" si="40"/>
        <v>5</v>
      </c>
      <c r="I376" s="3" t="str">
        <f t="shared" si="37"/>
        <v>-</v>
      </c>
      <c r="J376" s="2" t="str">
        <f t="shared" si="38"/>
        <v>RECEITAS ANTECIPADAS</v>
      </c>
      <c r="K376" s="2" t="s">
        <v>440</v>
      </c>
      <c r="S376" s="6" t="b">
        <f>C376='Plano de Contas sem ponto'!C376</f>
        <v>1</v>
      </c>
    </row>
    <row r="377" spans="1:19" x14ac:dyDescent="0.2">
      <c r="A377" s="1" t="s">
        <v>723</v>
      </c>
      <c r="B377" s="1" t="s">
        <v>40</v>
      </c>
      <c r="C377" s="1" t="s">
        <v>722</v>
      </c>
      <c r="D377" s="2" t="s">
        <v>196</v>
      </c>
      <c r="E377" s="2" t="str">
        <f t="shared" si="39"/>
        <v>2</v>
      </c>
      <c r="F377" s="2" t="s">
        <v>479</v>
      </c>
      <c r="G377" s="2" t="s">
        <v>1490</v>
      </c>
      <c r="H377" s="2">
        <f t="shared" si="40"/>
        <v>8</v>
      </c>
      <c r="I377" s="3" t="str">
        <f t="shared" si="37"/>
        <v>-</v>
      </c>
      <c r="J377" s="2" t="str">
        <f t="shared" si="38"/>
        <v>RECEITAS ANTECIPADAS</v>
      </c>
      <c r="K377" s="2" t="s">
        <v>440</v>
      </c>
      <c r="S377" s="6" t="b">
        <f>C377='Plano de Contas sem ponto'!C377</f>
        <v>1</v>
      </c>
    </row>
    <row r="378" spans="1:19" x14ac:dyDescent="0.2">
      <c r="A378" s="1" t="s">
        <v>724</v>
      </c>
      <c r="B378" s="1" t="s">
        <v>40</v>
      </c>
      <c r="C378" s="1" t="s">
        <v>725</v>
      </c>
      <c r="D378" s="2" t="s">
        <v>196</v>
      </c>
      <c r="E378" s="2" t="str">
        <f t="shared" si="39"/>
        <v>2</v>
      </c>
      <c r="F378" s="2" t="s">
        <v>479</v>
      </c>
      <c r="G378" s="2" t="s">
        <v>1490</v>
      </c>
      <c r="H378" s="2">
        <f t="shared" si="40"/>
        <v>11</v>
      </c>
      <c r="I378" s="3" t="str">
        <f t="shared" si="37"/>
        <v>2.1.9.01.01</v>
      </c>
      <c r="J378" s="2" t="str">
        <f t="shared" si="38"/>
        <v xml:space="preserve">RECEITAS OPERACIONAIS ANTECIPADAS </v>
      </c>
      <c r="K378" s="2" t="s">
        <v>440</v>
      </c>
      <c r="S378" s="6" t="b">
        <f>C378='Plano de Contas sem ponto'!C378</f>
        <v>1</v>
      </c>
    </row>
    <row r="379" spans="1:19" x14ac:dyDescent="0.2">
      <c r="A379" s="2" t="s">
        <v>726</v>
      </c>
      <c r="B379" s="2" t="s">
        <v>54</v>
      </c>
      <c r="C379" s="2" t="s">
        <v>725</v>
      </c>
      <c r="D379" s="2" t="s">
        <v>196</v>
      </c>
      <c r="E379" s="2" t="str">
        <f t="shared" si="39"/>
        <v>2</v>
      </c>
      <c r="F379" s="2" t="s">
        <v>479</v>
      </c>
      <c r="G379" s="2" t="s">
        <v>1490</v>
      </c>
      <c r="H379" s="2">
        <f t="shared" si="40"/>
        <v>16</v>
      </c>
      <c r="I379" s="3" t="str">
        <f t="shared" si="37"/>
        <v>-</v>
      </c>
      <c r="J379" s="2" t="str">
        <f t="shared" si="38"/>
        <v xml:space="preserve">RECEITAS OPERACIONAIS ANTECIPADAS </v>
      </c>
      <c r="K379" s="2" t="s">
        <v>440</v>
      </c>
      <c r="S379" s="6" t="b">
        <f>C379='Plano de Contas sem ponto'!C379</f>
        <v>1</v>
      </c>
    </row>
    <row r="380" spans="1:19" x14ac:dyDescent="0.2">
      <c r="A380" s="12" t="s">
        <v>2845</v>
      </c>
      <c r="B380" s="12" t="s">
        <v>54</v>
      </c>
      <c r="C380" s="12" t="s">
        <v>2846</v>
      </c>
      <c r="D380" s="2" t="s">
        <v>196</v>
      </c>
      <c r="E380" s="2" t="str">
        <f t="shared" ref="E380:E381" si="41">LEFT(A380,1)</f>
        <v>2</v>
      </c>
      <c r="F380" s="2" t="s">
        <v>479</v>
      </c>
      <c r="G380" s="2" t="s">
        <v>1490</v>
      </c>
      <c r="H380" s="2">
        <f t="shared" ref="H380:H381" si="42">LEN(A380)</f>
        <v>16</v>
      </c>
      <c r="I380" s="3" t="str">
        <f t="shared" ref="I380:I381" si="43">IF(H380=11,A380,"-")</f>
        <v>-</v>
      </c>
      <c r="J380" s="2" t="str">
        <f t="shared" ref="J380:J381" si="44">IF(H380&lt;11,C380,IF(I380&lt;&gt;"-",C380,J379))</f>
        <v xml:space="preserve">RECEITAS OPERACIONAIS ANTECIPADAS </v>
      </c>
      <c r="K380" s="2" t="s">
        <v>440</v>
      </c>
      <c r="S380" s="6" t="b">
        <f>C380='Plano de Contas sem ponto'!C380</f>
        <v>1</v>
      </c>
    </row>
    <row r="381" spans="1:19" x14ac:dyDescent="0.2">
      <c r="A381" s="12" t="s">
        <v>2868</v>
      </c>
      <c r="B381" s="12" t="s">
        <v>54</v>
      </c>
      <c r="C381" s="12" t="s">
        <v>2869</v>
      </c>
      <c r="D381" s="2" t="s">
        <v>196</v>
      </c>
      <c r="E381" s="2" t="str">
        <f t="shared" si="41"/>
        <v>2</v>
      </c>
      <c r="F381" s="2" t="s">
        <v>479</v>
      </c>
      <c r="G381" s="2" t="s">
        <v>1490</v>
      </c>
      <c r="H381" s="2">
        <f t="shared" si="42"/>
        <v>16</v>
      </c>
      <c r="I381" s="3" t="str">
        <f t="shared" si="43"/>
        <v>-</v>
      </c>
      <c r="J381" s="2" t="str">
        <f t="shared" si="44"/>
        <v xml:space="preserve">RECEITAS OPERACIONAIS ANTECIPADAS </v>
      </c>
      <c r="K381" s="2" t="s">
        <v>440</v>
      </c>
      <c r="S381" s="6" t="b">
        <v>0</v>
      </c>
    </row>
    <row r="382" spans="1:19" x14ac:dyDescent="0.2">
      <c r="A382" s="1" t="s">
        <v>727</v>
      </c>
      <c r="B382" s="1" t="s">
        <v>40</v>
      </c>
      <c r="C382" s="1" t="s">
        <v>728</v>
      </c>
      <c r="D382" s="2" t="s">
        <v>196</v>
      </c>
      <c r="E382" s="2" t="str">
        <f t="shared" si="39"/>
        <v>2</v>
      </c>
      <c r="F382" s="2" t="s">
        <v>479</v>
      </c>
      <c r="G382" s="2" t="s">
        <v>1491</v>
      </c>
      <c r="H382" s="2">
        <f t="shared" si="40"/>
        <v>3</v>
      </c>
      <c r="I382" s="3" t="str">
        <f t="shared" si="37"/>
        <v>-</v>
      </c>
      <c r="J382" s="2" t="str">
        <f>IF(H382&lt;11,C382,IF(I382&lt;&gt;"-",C382,J379))</f>
        <v>PASSIVO NAO CIRCULANTE</v>
      </c>
      <c r="S382" s="6" t="b">
        <f>C382='Plano de Contas sem ponto'!C382</f>
        <v>1</v>
      </c>
    </row>
    <row r="383" spans="1:19" x14ac:dyDescent="0.2">
      <c r="A383" s="1" t="s">
        <v>729</v>
      </c>
      <c r="B383" s="1" t="s">
        <v>40</v>
      </c>
      <c r="C383" s="1" t="s">
        <v>730</v>
      </c>
      <c r="D383" s="2" t="s">
        <v>196</v>
      </c>
      <c r="E383" s="2" t="str">
        <f t="shared" si="39"/>
        <v>2</v>
      </c>
      <c r="F383" s="2" t="s">
        <v>479</v>
      </c>
      <c r="G383" s="2" t="s">
        <v>1491</v>
      </c>
      <c r="H383" s="2">
        <f t="shared" si="40"/>
        <v>5</v>
      </c>
      <c r="I383" s="3" t="str">
        <f t="shared" si="37"/>
        <v>-</v>
      </c>
      <c r="J383" s="2" t="str">
        <f t="shared" si="38"/>
        <v>PROVISOES JUDICIAIS</v>
      </c>
      <c r="K383" s="2" t="s">
        <v>731</v>
      </c>
      <c r="S383" s="6" t="b">
        <f>C383='Plano de Contas sem ponto'!C383</f>
        <v>1</v>
      </c>
    </row>
    <row r="384" spans="1:19" x14ac:dyDescent="0.2">
      <c r="A384" s="1" t="s">
        <v>732</v>
      </c>
      <c r="B384" s="1" t="s">
        <v>40</v>
      </c>
      <c r="C384" s="1" t="s">
        <v>733</v>
      </c>
      <c r="D384" s="2" t="s">
        <v>196</v>
      </c>
      <c r="E384" s="2" t="str">
        <f t="shared" si="39"/>
        <v>2</v>
      </c>
      <c r="F384" s="2" t="s">
        <v>479</v>
      </c>
      <c r="G384" s="2" t="s">
        <v>1491</v>
      </c>
      <c r="H384" s="2">
        <f t="shared" si="40"/>
        <v>8</v>
      </c>
      <c r="I384" s="3" t="str">
        <f t="shared" si="37"/>
        <v>-</v>
      </c>
      <c r="J384" s="2" t="str">
        <f t="shared" si="38"/>
        <v>CONTINGENCIAS</v>
      </c>
      <c r="K384" s="2" t="s">
        <v>731</v>
      </c>
      <c r="S384" s="6" t="b">
        <f>C384='Plano de Contas sem ponto'!C384</f>
        <v>1</v>
      </c>
    </row>
    <row r="385" spans="1:19" x14ac:dyDescent="0.2">
      <c r="A385" s="1" t="s">
        <v>734</v>
      </c>
      <c r="B385" s="1" t="s">
        <v>40</v>
      </c>
      <c r="C385" s="1" t="s">
        <v>502</v>
      </c>
      <c r="D385" s="2" t="s">
        <v>196</v>
      </c>
      <c r="E385" s="2" t="str">
        <f t="shared" si="39"/>
        <v>2</v>
      </c>
      <c r="F385" s="2" t="s">
        <v>479</v>
      </c>
      <c r="G385" s="2" t="s">
        <v>1491</v>
      </c>
      <c r="H385" s="2">
        <f t="shared" si="40"/>
        <v>11</v>
      </c>
      <c r="I385" s="3" t="str">
        <f t="shared" si="37"/>
        <v>2.2.1.01.01</v>
      </c>
      <c r="J385" s="2" t="str">
        <f t="shared" si="38"/>
        <v>OBRIGACOES FISCAIS</v>
      </c>
      <c r="K385" s="2" t="s">
        <v>731</v>
      </c>
      <c r="S385" s="6" t="b">
        <f>C385='Plano de Contas sem ponto'!C385</f>
        <v>1</v>
      </c>
    </row>
    <row r="386" spans="1:19" x14ac:dyDescent="0.2">
      <c r="A386" s="2" t="s">
        <v>735</v>
      </c>
      <c r="B386" s="2" t="s">
        <v>54</v>
      </c>
      <c r="C386" s="2" t="s">
        <v>736</v>
      </c>
      <c r="D386" s="2" t="s">
        <v>196</v>
      </c>
      <c r="E386" s="2" t="str">
        <f t="shared" si="39"/>
        <v>2</v>
      </c>
      <c r="F386" s="2" t="s">
        <v>479</v>
      </c>
      <c r="G386" s="2" t="s">
        <v>1491</v>
      </c>
      <c r="H386" s="2">
        <f t="shared" si="40"/>
        <v>16</v>
      </c>
      <c r="I386" s="3" t="str">
        <f t="shared" si="37"/>
        <v>-</v>
      </c>
      <c r="J386" s="2" t="str">
        <f t="shared" si="38"/>
        <v>OBRIGACOES FISCAIS</v>
      </c>
      <c r="K386" s="2" t="s">
        <v>731</v>
      </c>
      <c r="S386" s="6" t="b">
        <f>C386='Plano de Contas sem ponto'!C386</f>
        <v>1</v>
      </c>
    </row>
    <row r="387" spans="1:19" x14ac:dyDescent="0.2">
      <c r="A387" s="1" t="s">
        <v>737</v>
      </c>
      <c r="B387" s="1" t="s">
        <v>40</v>
      </c>
      <c r="C387" s="1" t="s">
        <v>738</v>
      </c>
      <c r="D387" s="2" t="s">
        <v>196</v>
      </c>
      <c r="E387" s="2" t="str">
        <f t="shared" si="39"/>
        <v>2</v>
      </c>
      <c r="F387" s="2" t="s">
        <v>479</v>
      </c>
      <c r="G387" s="2" t="s">
        <v>1491</v>
      </c>
      <c r="H387" s="2">
        <f t="shared" si="40"/>
        <v>11</v>
      </c>
      <c r="I387" s="3" t="str">
        <f t="shared" si="37"/>
        <v>2.2.1.01.02</v>
      </c>
      <c r="J387" s="2" t="str">
        <f t="shared" si="38"/>
        <v>PROVISOES TRABALHISTAS</v>
      </c>
      <c r="K387" s="2" t="s">
        <v>731</v>
      </c>
      <c r="S387" s="6" t="b">
        <f>C387='Plano de Contas sem ponto'!C387</f>
        <v>1</v>
      </c>
    </row>
    <row r="388" spans="1:19" x14ac:dyDescent="0.2">
      <c r="A388" s="2" t="s">
        <v>739</v>
      </c>
      <c r="B388" s="2" t="s">
        <v>54</v>
      </c>
      <c r="C388" s="2" t="s">
        <v>740</v>
      </c>
      <c r="D388" s="2" t="s">
        <v>196</v>
      </c>
      <c r="E388" s="2" t="str">
        <f t="shared" si="39"/>
        <v>2</v>
      </c>
      <c r="F388" s="2" t="s">
        <v>479</v>
      </c>
      <c r="G388" s="2" t="s">
        <v>1491</v>
      </c>
      <c r="H388" s="2">
        <f t="shared" si="40"/>
        <v>16</v>
      </c>
      <c r="I388" s="3" t="str">
        <f t="shared" si="37"/>
        <v>-</v>
      </c>
      <c r="J388" s="2" t="str">
        <f t="shared" si="38"/>
        <v>PROVISOES TRABALHISTAS</v>
      </c>
      <c r="K388" s="2" t="s">
        <v>731</v>
      </c>
      <c r="S388" s="6" t="b">
        <f>C388='Plano de Contas sem ponto'!C388</f>
        <v>1</v>
      </c>
    </row>
    <row r="389" spans="1:19" x14ac:dyDescent="0.2">
      <c r="A389" s="1" t="s">
        <v>741</v>
      </c>
      <c r="B389" s="1" t="s">
        <v>40</v>
      </c>
      <c r="C389" s="1" t="s">
        <v>742</v>
      </c>
      <c r="D389" s="2" t="s">
        <v>196</v>
      </c>
      <c r="E389" s="2" t="str">
        <f t="shared" si="39"/>
        <v>2</v>
      </c>
      <c r="F389" s="2" t="s">
        <v>479</v>
      </c>
      <c r="G389" s="2" t="s">
        <v>1491</v>
      </c>
      <c r="H389" s="2">
        <f t="shared" si="40"/>
        <v>11</v>
      </c>
      <c r="I389" s="3" t="str">
        <f t="shared" si="37"/>
        <v>2.2.1.01.03</v>
      </c>
      <c r="J389" s="2" t="str">
        <f t="shared" si="38"/>
        <v>PROVISOES CIVEIS</v>
      </c>
      <c r="K389" s="2" t="s">
        <v>731</v>
      </c>
      <c r="S389" s="6" t="b">
        <f>C389='Plano de Contas sem ponto'!C389</f>
        <v>1</v>
      </c>
    </row>
    <row r="390" spans="1:19" x14ac:dyDescent="0.2">
      <c r="A390" s="2" t="s">
        <v>743</v>
      </c>
      <c r="B390" s="2" t="s">
        <v>54</v>
      </c>
      <c r="C390" s="2" t="s">
        <v>744</v>
      </c>
      <c r="D390" s="2" t="s">
        <v>196</v>
      </c>
      <c r="E390" s="2" t="str">
        <f t="shared" si="39"/>
        <v>2</v>
      </c>
      <c r="F390" s="2" t="s">
        <v>479</v>
      </c>
      <c r="G390" s="2" t="s">
        <v>1491</v>
      </c>
      <c r="H390" s="2">
        <f t="shared" si="40"/>
        <v>16</v>
      </c>
      <c r="I390" s="3" t="str">
        <f t="shared" si="37"/>
        <v>-</v>
      </c>
      <c r="J390" s="2" t="str">
        <f t="shared" si="38"/>
        <v>PROVISOES CIVEIS</v>
      </c>
      <c r="K390" s="2" t="s">
        <v>731</v>
      </c>
      <c r="S390" s="6" t="b">
        <f>C390='Plano de Contas sem ponto'!C390</f>
        <v>1</v>
      </c>
    </row>
    <row r="391" spans="1:19" x14ac:dyDescent="0.2">
      <c r="A391" s="1" t="s">
        <v>745</v>
      </c>
      <c r="B391" s="1" t="s">
        <v>40</v>
      </c>
      <c r="C391" s="1" t="s">
        <v>293</v>
      </c>
      <c r="D391" s="2" t="s">
        <v>196</v>
      </c>
      <c r="E391" s="2" t="str">
        <f t="shared" si="39"/>
        <v>2</v>
      </c>
      <c r="F391" s="2" t="s">
        <v>479</v>
      </c>
      <c r="G391" s="2" t="s">
        <v>1491</v>
      </c>
      <c r="H391" s="2">
        <f t="shared" si="40"/>
        <v>5</v>
      </c>
      <c r="I391" s="3" t="str">
        <f t="shared" si="37"/>
        <v>-</v>
      </c>
      <c r="J391" s="2" t="str">
        <f t="shared" si="38"/>
        <v>PARTES RELACIONADAS</v>
      </c>
      <c r="K391" s="2" t="s">
        <v>498</v>
      </c>
      <c r="S391" s="6" t="b">
        <f>C391='Plano de Contas sem ponto'!C391</f>
        <v>1</v>
      </c>
    </row>
    <row r="392" spans="1:19" x14ac:dyDescent="0.2">
      <c r="A392" s="1" t="s">
        <v>746</v>
      </c>
      <c r="B392" s="1" t="s">
        <v>40</v>
      </c>
      <c r="C392" s="1" t="s">
        <v>293</v>
      </c>
      <c r="D392" s="2" t="s">
        <v>196</v>
      </c>
      <c r="E392" s="2" t="str">
        <f t="shared" si="39"/>
        <v>2</v>
      </c>
      <c r="F392" s="2" t="s">
        <v>479</v>
      </c>
      <c r="G392" s="2" t="s">
        <v>1491</v>
      </c>
      <c r="H392" s="2">
        <f t="shared" si="40"/>
        <v>8</v>
      </c>
      <c r="I392" s="3" t="str">
        <f t="shared" si="37"/>
        <v>-</v>
      </c>
      <c r="J392" s="2" t="str">
        <f t="shared" si="38"/>
        <v>PARTES RELACIONADAS</v>
      </c>
      <c r="K392" s="2" t="s">
        <v>498</v>
      </c>
      <c r="S392" s="6" t="b">
        <f>C392='Plano de Contas sem ponto'!C392</f>
        <v>1</v>
      </c>
    </row>
    <row r="393" spans="1:19" x14ac:dyDescent="0.2">
      <c r="A393" s="1" t="s">
        <v>747</v>
      </c>
      <c r="B393" s="1" t="s">
        <v>40</v>
      </c>
      <c r="C393" s="1" t="s">
        <v>293</v>
      </c>
      <c r="D393" s="2" t="s">
        <v>196</v>
      </c>
      <c r="E393" s="2" t="str">
        <f t="shared" si="39"/>
        <v>2</v>
      </c>
      <c r="F393" s="2" t="s">
        <v>479</v>
      </c>
      <c r="G393" s="2" t="s">
        <v>1491</v>
      </c>
      <c r="H393" s="2">
        <f t="shared" si="40"/>
        <v>11</v>
      </c>
      <c r="I393" s="3" t="str">
        <f t="shared" si="37"/>
        <v>2.2.2.01.01</v>
      </c>
      <c r="J393" s="2" t="str">
        <f t="shared" si="38"/>
        <v>PARTES RELACIONADAS</v>
      </c>
      <c r="K393" s="2" t="s">
        <v>498</v>
      </c>
      <c r="S393" s="6" t="b">
        <f>C393='Plano de Contas sem ponto'!C393</f>
        <v>1</v>
      </c>
    </row>
    <row r="394" spans="1:19" x14ac:dyDescent="0.2">
      <c r="A394" s="2" t="s">
        <v>748</v>
      </c>
      <c r="B394" s="2" t="s">
        <v>54</v>
      </c>
      <c r="C394" s="2" t="s">
        <v>293</v>
      </c>
      <c r="D394" s="2" t="s">
        <v>196</v>
      </c>
      <c r="E394" s="2" t="str">
        <f t="shared" si="39"/>
        <v>2</v>
      </c>
      <c r="F394" s="2" t="s">
        <v>479</v>
      </c>
      <c r="G394" s="2" t="s">
        <v>1491</v>
      </c>
      <c r="H394" s="2">
        <f t="shared" si="40"/>
        <v>16</v>
      </c>
      <c r="I394" s="3" t="str">
        <f t="shared" si="37"/>
        <v>-</v>
      </c>
      <c r="J394" s="2" t="str">
        <f t="shared" si="38"/>
        <v>PARTES RELACIONADAS</v>
      </c>
      <c r="K394" s="2" t="s">
        <v>498</v>
      </c>
      <c r="S394" s="6" t="b">
        <f>C394='Plano de Contas sem ponto'!C394</f>
        <v>1</v>
      </c>
    </row>
    <row r="395" spans="1:19" x14ac:dyDescent="0.2">
      <c r="A395" s="1" t="s">
        <v>749</v>
      </c>
      <c r="B395" s="1" t="s">
        <v>40</v>
      </c>
      <c r="C395" s="1" t="s">
        <v>750</v>
      </c>
      <c r="D395" s="2" t="s">
        <v>196</v>
      </c>
      <c r="E395" s="2" t="str">
        <f t="shared" si="39"/>
        <v>2</v>
      </c>
      <c r="F395" s="2" t="s">
        <v>479</v>
      </c>
      <c r="G395" s="2" t="s">
        <v>1491</v>
      </c>
      <c r="H395" s="2">
        <f t="shared" si="40"/>
        <v>5</v>
      </c>
      <c r="I395" s="3" t="str">
        <f t="shared" si="37"/>
        <v>-</v>
      </c>
      <c r="J395" s="2" t="str">
        <f t="shared" si="38"/>
        <v>RECEITAS DIFERIDAS</v>
      </c>
      <c r="K395" s="2" t="s">
        <v>440</v>
      </c>
      <c r="S395" s="6" t="b">
        <f>C395='Plano de Contas sem ponto'!C395</f>
        <v>1</v>
      </c>
    </row>
    <row r="396" spans="1:19" x14ac:dyDescent="0.2">
      <c r="A396" s="1" t="s">
        <v>751</v>
      </c>
      <c r="B396" s="1" t="s">
        <v>40</v>
      </c>
      <c r="C396" s="1" t="s">
        <v>750</v>
      </c>
      <c r="D396" s="2" t="s">
        <v>196</v>
      </c>
      <c r="E396" s="2" t="str">
        <f t="shared" si="39"/>
        <v>2</v>
      </c>
      <c r="F396" s="2" t="s">
        <v>479</v>
      </c>
      <c r="G396" s="2" t="s">
        <v>1491</v>
      </c>
      <c r="H396" s="2">
        <f t="shared" si="40"/>
        <v>8</v>
      </c>
      <c r="I396" s="3" t="str">
        <f t="shared" si="37"/>
        <v>-</v>
      </c>
      <c r="J396" s="2" t="str">
        <f t="shared" si="38"/>
        <v>RECEITAS DIFERIDAS</v>
      </c>
      <c r="K396" s="2" t="s">
        <v>440</v>
      </c>
      <c r="S396" s="6" t="b">
        <f>C396='Plano de Contas sem ponto'!C396</f>
        <v>1</v>
      </c>
    </row>
    <row r="397" spans="1:19" x14ac:dyDescent="0.2">
      <c r="A397" s="1" t="s">
        <v>752</v>
      </c>
      <c r="B397" s="1" t="s">
        <v>40</v>
      </c>
      <c r="C397" s="1" t="s">
        <v>750</v>
      </c>
      <c r="D397" s="2" t="s">
        <v>196</v>
      </c>
      <c r="E397" s="2" t="str">
        <f t="shared" si="39"/>
        <v>2</v>
      </c>
      <c r="F397" s="2" t="s">
        <v>479</v>
      </c>
      <c r="G397" s="2" t="s">
        <v>1491</v>
      </c>
      <c r="H397" s="2">
        <f t="shared" si="40"/>
        <v>11</v>
      </c>
      <c r="I397" s="3" t="str">
        <f t="shared" si="37"/>
        <v>2.2.3.01.01</v>
      </c>
      <c r="J397" s="2" t="str">
        <f t="shared" si="38"/>
        <v>RECEITAS DIFERIDAS</v>
      </c>
      <c r="K397" s="2" t="s">
        <v>440</v>
      </c>
      <c r="S397" s="6" t="b">
        <f>C397='Plano de Contas sem ponto'!C397</f>
        <v>1</v>
      </c>
    </row>
    <row r="398" spans="1:19" x14ac:dyDescent="0.2">
      <c r="A398" s="2" t="s">
        <v>753</v>
      </c>
      <c r="B398" s="2" t="s">
        <v>54</v>
      </c>
      <c r="C398" s="2" t="s">
        <v>754</v>
      </c>
      <c r="D398" s="2" t="s">
        <v>196</v>
      </c>
      <c r="E398" s="2" t="str">
        <f t="shared" si="39"/>
        <v>2</v>
      </c>
      <c r="F398" s="2" t="s">
        <v>479</v>
      </c>
      <c r="G398" s="2" t="s">
        <v>1491</v>
      </c>
      <c r="H398" s="2">
        <f t="shared" si="40"/>
        <v>16</v>
      </c>
      <c r="I398" s="3" t="str">
        <f t="shared" ref="I398:I462" si="45">IF(H398=11,A398,"-")</f>
        <v>-</v>
      </c>
      <c r="J398" s="2" t="str">
        <f t="shared" ref="J398:J462" si="46">IF(H398&lt;11,C398,IF(I398&lt;&gt;"-",C398,J397))</f>
        <v>RECEITAS DIFERIDAS</v>
      </c>
      <c r="K398" s="2" t="s">
        <v>440</v>
      </c>
      <c r="S398" s="6" t="b">
        <f>C398='Plano de Contas sem ponto'!C398</f>
        <v>1</v>
      </c>
    </row>
    <row r="399" spans="1:19" x14ac:dyDescent="0.2">
      <c r="A399" s="2" t="s">
        <v>755</v>
      </c>
      <c r="B399" s="2" t="s">
        <v>54</v>
      </c>
      <c r="C399" s="2" t="s">
        <v>756</v>
      </c>
      <c r="D399" s="2" t="s">
        <v>196</v>
      </c>
      <c r="E399" s="2" t="str">
        <f t="shared" ref="E399:E463" si="47">LEFT(A399,1)</f>
        <v>2</v>
      </c>
      <c r="F399" s="2" t="s">
        <v>479</v>
      </c>
      <c r="G399" s="2" t="s">
        <v>1491</v>
      </c>
      <c r="H399" s="2">
        <f t="shared" ref="H399:H463" si="48">LEN(A399)</f>
        <v>16</v>
      </c>
      <c r="I399" s="3" t="str">
        <f t="shared" si="45"/>
        <v>-</v>
      </c>
      <c r="J399" s="2" t="str">
        <f t="shared" si="46"/>
        <v>RECEITAS DIFERIDAS</v>
      </c>
      <c r="K399" s="2" t="s">
        <v>440</v>
      </c>
      <c r="S399" s="6" t="b">
        <f>C399='Plano de Contas sem ponto'!C399</f>
        <v>1</v>
      </c>
    </row>
    <row r="400" spans="1:19" x14ac:dyDescent="0.2">
      <c r="A400" s="12" t="s">
        <v>2848</v>
      </c>
      <c r="B400" s="12" t="s">
        <v>54</v>
      </c>
      <c r="C400" s="12" t="s">
        <v>2846</v>
      </c>
      <c r="D400" s="2" t="s">
        <v>196</v>
      </c>
      <c r="E400" s="2" t="str">
        <f t="shared" ref="E400" si="49">LEFT(A400,1)</f>
        <v>2</v>
      </c>
      <c r="F400" s="2" t="s">
        <v>479</v>
      </c>
      <c r="G400" s="2" t="s">
        <v>1491</v>
      </c>
      <c r="H400" s="2">
        <f t="shared" ref="H400" si="50">LEN(A400)</f>
        <v>16</v>
      </c>
      <c r="I400" s="3" t="str">
        <f t="shared" ref="I400" si="51">IF(H400=11,A400,"-")</f>
        <v>-</v>
      </c>
      <c r="J400" s="2" t="str">
        <f t="shared" ref="J400" si="52">IF(H400&lt;11,C400,IF(I400&lt;&gt;"-",C400,J399))</f>
        <v>RECEITAS DIFERIDAS</v>
      </c>
      <c r="K400" s="2" t="s">
        <v>440</v>
      </c>
      <c r="S400" s="6" t="b">
        <f>C400='Plano de Contas sem ponto'!C400</f>
        <v>1</v>
      </c>
    </row>
    <row r="401" spans="1:19" x14ac:dyDescent="0.2">
      <c r="A401" s="1" t="s">
        <v>757</v>
      </c>
      <c r="B401" s="1" t="s">
        <v>40</v>
      </c>
      <c r="C401" s="1" t="s">
        <v>758</v>
      </c>
      <c r="D401" s="2" t="s">
        <v>196</v>
      </c>
      <c r="E401" s="2" t="str">
        <f t="shared" si="47"/>
        <v>2</v>
      </c>
      <c r="F401" s="2" t="s">
        <v>479</v>
      </c>
      <c r="G401" s="2" t="s">
        <v>1491</v>
      </c>
      <c r="H401" s="2">
        <f t="shared" si="48"/>
        <v>5</v>
      </c>
      <c r="I401" s="3" t="str">
        <f t="shared" si="45"/>
        <v>-</v>
      </c>
      <c r="J401" s="2" t="str">
        <f>IF(H401&lt;11,C401,IF(I401&lt;&gt;"-",C401,J399))</f>
        <v>EMPRESTIMOS E FINANCIAMENTOS</v>
      </c>
      <c r="K401" s="2" t="s">
        <v>759</v>
      </c>
      <c r="S401" s="6" t="b">
        <f>C401='Plano de Contas sem ponto'!C401</f>
        <v>1</v>
      </c>
    </row>
    <row r="402" spans="1:19" x14ac:dyDescent="0.2">
      <c r="A402" s="1" t="s">
        <v>760</v>
      </c>
      <c r="B402" s="1" t="s">
        <v>40</v>
      </c>
      <c r="C402" s="1" t="s">
        <v>758</v>
      </c>
      <c r="D402" s="2" t="s">
        <v>196</v>
      </c>
      <c r="E402" s="2" t="str">
        <f t="shared" si="47"/>
        <v>2</v>
      </c>
      <c r="F402" s="2" t="s">
        <v>479</v>
      </c>
      <c r="G402" s="2" t="s">
        <v>1491</v>
      </c>
      <c r="H402" s="2">
        <f t="shared" si="48"/>
        <v>8</v>
      </c>
      <c r="I402" s="3" t="str">
        <f t="shared" si="45"/>
        <v>-</v>
      </c>
      <c r="J402" s="2" t="str">
        <f t="shared" si="46"/>
        <v>EMPRESTIMOS E FINANCIAMENTOS</v>
      </c>
      <c r="K402" s="2" t="s">
        <v>759</v>
      </c>
      <c r="S402" s="6" t="b">
        <f>C402='Plano de Contas sem ponto'!C402</f>
        <v>1</v>
      </c>
    </row>
    <row r="403" spans="1:19" x14ac:dyDescent="0.2">
      <c r="A403" s="1" t="s">
        <v>761</v>
      </c>
      <c r="B403" s="1" t="s">
        <v>40</v>
      </c>
      <c r="C403" s="1" t="s">
        <v>591</v>
      </c>
      <c r="D403" s="2" t="s">
        <v>196</v>
      </c>
      <c r="E403" s="2" t="str">
        <f t="shared" si="47"/>
        <v>2</v>
      </c>
      <c r="F403" s="2" t="s">
        <v>479</v>
      </c>
      <c r="G403" s="2" t="s">
        <v>1491</v>
      </c>
      <c r="H403" s="2">
        <f t="shared" si="48"/>
        <v>11</v>
      </c>
      <c r="I403" s="3" t="str">
        <f t="shared" si="45"/>
        <v>2.2.4.01.01</v>
      </c>
      <c r="J403" s="2" t="str">
        <f t="shared" si="46"/>
        <v>EMPRESTIMOS FINANCEIROS</v>
      </c>
      <c r="K403" s="2" t="s">
        <v>759</v>
      </c>
      <c r="S403" s="6" t="b">
        <f>C403='Plano de Contas sem ponto'!C403</f>
        <v>1</v>
      </c>
    </row>
    <row r="404" spans="1:19" x14ac:dyDescent="0.2">
      <c r="A404" s="2" t="s">
        <v>762</v>
      </c>
      <c r="B404" s="2" t="s">
        <v>54</v>
      </c>
      <c r="C404" s="2" t="s">
        <v>591</v>
      </c>
      <c r="D404" s="2" t="s">
        <v>196</v>
      </c>
      <c r="E404" s="2" t="str">
        <f t="shared" si="47"/>
        <v>2</v>
      </c>
      <c r="F404" s="2" t="s">
        <v>479</v>
      </c>
      <c r="G404" s="2" t="s">
        <v>1491</v>
      </c>
      <c r="H404" s="2">
        <f t="shared" si="48"/>
        <v>16</v>
      </c>
      <c r="I404" s="3" t="str">
        <f t="shared" si="45"/>
        <v>-</v>
      </c>
      <c r="J404" s="2" t="str">
        <f t="shared" si="46"/>
        <v>EMPRESTIMOS FINANCEIROS</v>
      </c>
      <c r="K404" s="2" t="s">
        <v>759</v>
      </c>
      <c r="S404" s="6" t="b">
        <f>C404='Plano de Contas sem ponto'!C404</f>
        <v>1</v>
      </c>
    </row>
    <row r="405" spans="1:19" x14ac:dyDescent="0.2">
      <c r="A405" s="1" t="s">
        <v>763</v>
      </c>
      <c r="B405" s="1" t="s">
        <v>40</v>
      </c>
      <c r="C405" s="1" t="s">
        <v>597</v>
      </c>
      <c r="D405" s="2" t="s">
        <v>196</v>
      </c>
      <c r="E405" s="2" t="str">
        <f t="shared" si="47"/>
        <v>2</v>
      </c>
      <c r="F405" s="2" t="s">
        <v>479</v>
      </c>
      <c r="G405" s="2" t="s">
        <v>1491</v>
      </c>
      <c r="H405" s="2">
        <f t="shared" si="48"/>
        <v>11</v>
      </c>
      <c r="I405" s="3" t="str">
        <f t="shared" si="45"/>
        <v>2.2.4.01.02</v>
      </c>
      <c r="J405" s="2" t="str">
        <f t="shared" si="46"/>
        <v>FINANCIAMENTOS</v>
      </c>
      <c r="K405" s="2" t="s">
        <v>759</v>
      </c>
      <c r="S405" s="6" t="b">
        <f>C405='Plano de Contas sem ponto'!C405</f>
        <v>1</v>
      </c>
    </row>
    <row r="406" spans="1:19" x14ac:dyDescent="0.2">
      <c r="A406" s="2" t="s">
        <v>764</v>
      </c>
      <c r="B406" s="2" t="s">
        <v>54</v>
      </c>
      <c r="C406" s="2" t="s">
        <v>599</v>
      </c>
      <c r="D406" s="2" t="s">
        <v>196</v>
      </c>
      <c r="E406" s="2" t="str">
        <f t="shared" si="47"/>
        <v>2</v>
      </c>
      <c r="F406" s="2" t="s">
        <v>479</v>
      </c>
      <c r="G406" s="2" t="s">
        <v>1491</v>
      </c>
      <c r="H406" s="2">
        <f t="shared" si="48"/>
        <v>16</v>
      </c>
      <c r="I406" s="3" t="str">
        <f t="shared" si="45"/>
        <v>-</v>
      </c>
      <c r="J406" s="2" t="str">
        <f t="shared" si="46"/>
        <v>FINANCIAMENTOS</v>
      </c>
      <c r="K406" s="2" t="s">
        <v>759</v>
      </c>
      <c r="S406" s="6" t="b">
        <f>C406='Plano de Contas sem ponto'!C406</f>
        <v>1</v>
      </c>
    </row>
    <row r="407" spans="1:19" x14ac:dyDescent="0.2">
      <c r="A407" s="1" t="s">
        <v>765</v>
      </c>
      <c r="B407" s="1" t="s">
        <v>40</v>
      </c>
      <c r="C407" s="1" t="s">
        <v>601</v>
      </c>
      <c r="D407" s="2" t="s">
        <v>42</v>
      </c>
      <c r="E407" s="2" t="str">
        <f t="shared" si="47"/>
        <v>2</v>
      </c>
      <c r="F407" s="2" t="s">
        <v>479</v>
      </c>
      <c r="G407" s="2" t="s">
        <v>1491</v>
      </c>
      <c r="H407" s="2">
        <f t="shared" si="48"/>
        <v>11</v>
      </c>
      <c r="I407" s="3" t="str">
        <f t="shared" si="45"/>
        <v>2.2.4.01.03</v>
      </c>
      <c r="J407" s="2" t="str">
        <f t="shared" si="46"/>
        <v>ENCARGOS A APROPRIAR S/ FINANCIAMENTOS</v>
      </c>
      <c r="K407" s="2" t="s">
        <v>759</v>
      </c>
      <c r="S407" s="6" t="b">
        <f>C407='Plano de Contas sem ponto'!C407</f>
        <v>1</v>
      </c>
    </row>
    <row r="408" spans="1:19" x14ac:dyDescent="0.2">
      <c r="A408" s="2" t="s">
        <v>766</v>
      </c>
      <c r="B408" s="2" t="s">
        <v>54</v>
      </c>
      <c r="C408" s="2" t="s">
        <v>601</v>
      </c>
      <c r="D408" s="2" t="s">
        <v>42</v>
      </c>
      <c r="E408" s="2" t="str">
        <f t="shared" si="47"/>
        <v>2</v>
      </c>
      <c r="F408" s="2" t="s">
        <v>479</v>
      </c>
      <c r="G408" s="2" t="s">
        <v>1491</v>
      </c>
      <c r="H408" s="2">
        <f t="shared" si="48"/>
        <v>16</v>
      </c>
      <c r="I408" s="3" t="str">
        <f t="shared" si="45"/>
        <v>-</v>
      </c>
      <c r="J408" s="2" t="str">
        <f t="shared" si="46"/>
        <v>ENCARGOS A APROPRIAR S/ FINANCIAMENTOS</v>
      </c>
      <c r="K408" s="2" t="s">
        <v>759</v>
      </c>
      <c r="S408" s="6" t="b">
        <f>C408='Plano de Contas sem ponto'!C408</f>
        <v>1</v>
      </c>
    </row>
    <row r="409" spans="1:19" x14ac:dyDescent="0.2">
      <c r="A409" s="1" t="s">
        <v>767</v>
      </c>
      <c r="B409" s="1" t="s">
        <v>40</v>
      </c>
      <c r="C409" s="1" t="s">
        <v>768</v>
      </c>
      <c r="D409" s="2" t="s">
        <v>196</v>
      </c>
      <c r="E409" s="2" t="str">
        <f t="shared" si="47"/>
        <v>2</v>
      </c>
      <c r="F409" s="2" t="s">
        <v>769</v>
      </c>
      <c r="G409" s="4" t="s">
        <v>1492</v>
      </c>
      <c r="H409" s="2">
        <f t="shared" si="48"/>
        <v>3</v>
      </c>
      <c r="I409" s="3" t="str">
        <f t="shared" si="45"/>
        <v>-</v>
      </c>
      <c r="J409" s="2" t="str">
        <f t="shared" si="46"/>
        <v>PATRIMONIO SOCIAL</v>
      </c>
      <c r="K409" s="2" t="s">
        <v>769</v>
      </c>
      <c r="S409" s="6" t="b">
        <f>C409='Plano de Contas sem ponto'!C409</f>
        <v>1</v>
      </c>
    </row>
    <row r="410" spans="1:19" x14ac:dyDescent="0.2">
      <c r="A410" s="1" t="s">
        <v>770</v>
      </c>
      <c r="B410" s="1" t="s">
        <v>40</v>
      </c>
      <c r="C410" s="1" t="s">
        <v>768</v>
      </c>
      <c r="D410" s="2" t="s">
        <v>196</v>
      </c>
      <c r="E410" s="2" t="str">
        <f t="shared" si="47"/>
        <v>2</v>
      </c>
      <c r="F410" s="2" t="s">
        <v>769</v>
      </c>
      <c r="G410" s="4" t="s">
        <v>1492</v>
      </c>
      <c r="H410" s="2">
        <f t="shared" si="48"/>
        <v>5</v>
      </c>
      <c r="I410" s="3" t="str">
        <f t="shared" si="45"/>
        <v>-</v>
      </c>
      <c r="J410" s="2" t="str">
        <f t="shared" si="46"/>
        <v>PATRIMONIO SOCIAL</v>
      </c>
      <c r="K410" s="2" t="s">
        <v>769</v>
      </c>
      <c r="S410" s="6" t="b">
        <f>C410='Plano de Contas sem ponto'!C410</f>
        <v>1</v>
      </c>
    </row>
    <row r="411" spans="1:19" x14ac:dyDescent="0.2">
      <c r="A411" s="1" t="s">
        <v>771</v>
      </c>
      <c r="B411" s="1" t="s">
        <v>40</v>
      </c>
      <c r="C411" s="1" t="s">
        <v>768</v>
      </c>
      <c r="D411" s="2" t="s">
        <v>196</v>
      </c>
      <c r="E411" s="2" t="str">
        <f t="shared" si="47"/>
        <v>2</v>
      </c>
      <c r="F411" s="2" t="s">
        <v>769</v>
      </c>
      <c r="G411" s="4" t="s">
        <v>1492</v>
      </c>
      <c r="H411" s="2">
        <f t="shared" si="48"/>
        <v>8</v>
      </c>
      <c r="I411" s="3" t="str">
        <f t="shared" si="45"/>
        <v>-</v>
      </c>
      <c r="J411" s="2" t="str">
        <f t="shared" si="46"/>
        <v>PATRIMONIO SOCIAL</v>
      </c>
      <c r="K411" s="2" t="s">
        <v>769</v>
      </c>
      <c r="S411" s="6" t="b">
        <f>C411='Plano de Contas sem ponto'!C411</f>
        <v>1</v>
      </c>
    </row>
    <row r="412" spans="1:19" x14ac:dyDescent="0.2">
      <c r="A412" s="1" t="s">
        <v>772</v>
      </c>
      <c r="B412" s="1" t="s">
        <v>40</v>
      </c>
      <c r="C412" s="1" t="s">
        <v>768</v>
      </c>
      <c r="D412" s="2" t="s">
        <v>196</v>
      </c>
      <c r="E412" s="2" t="str">
        <f t="shared" si="47"/>
        <v>2</v>
      </c>
      <c r="F412" s="2" t="s">
        <v>769</v>
      </c>
      <c r="G412" s="4" t="s">
        <v>1492</v>
      </c>
      <c r="H412" s="2">
        <f t="shared" si="48"/>
        <v>11</v>
      </c>
      <c r="I412" s="3" t="str">
        <f t="shared" si="45"/>
        <v>2.4.1.01.01</v>
      </c>
      <c r="J412" s="2" t="str">
        <f t="shared" si="46"/>
        <v>PATRIMONIO SOCIAL</v>
      </c>
      <c r="K412" s="2" t="s">
        <v>769</v>
      </c>
      <c r="S412" s="6" t="b">
        <f>C412='Plano de Contas sem ponto'!C412</f>
        <v>1</v>
      </c>
    </row>
    <row r="413" spans="1:19" x14ac:dyDescent="0.2">
      <c r="A413" s="2" t="s">
        <v>773</v>
      </c>
      <c r="B413" s="2" t="s">
        <v>54</v>
      </c>
      <c r="C413" s="2" t="s">
        <v>768</v>
      </c>
      <c r="D413" s="2" t="s">
        <v>196</v>
      </c>
      <c r="E413" s="2" t="str">
        <f t="shared" si="47"/>
        <v>2</v>
      </c>
      <c r="F413" s="2" t="s">
        <v>769</v>
      </c>
      <c r="G413" s="4" t="s">
        <v>1492</v>
      </c>
      <c r="H413" s="2">
        <f t="shared" si="48"/>
        <v>16</v>
      </c>
      <c r="I413" s="3" t="str">
        <f t="shared" si="45"/>
        <v>-</v>
      </c>
      <c r="J413" s="2" t="str">
        <f t="shared" si="46"/>
        <v>PATRIMONIO SOCIAL</v>
      </c>
      <c r="K413" s="2" t="s">
        <v>769</v>
      </c>
      <c r="S413" s="6" t="b">
        <f>C413='Plano de Contas sem ponto'!C413</f>
        <v>1</v>
      </c>
    </row>
    <row r="414" spans="1:19" x14ac:dyDescent="0.2">
      <c r="A414" s="2" t="s">
        <v>774</v>
      </c>
      <c r="B414" s="2" t="s">
        <v>54</v>
      </c>
      <c r="C414" s="2" t="s">
        <v>775</v>
      </c>
      <c r="D414" s="2" t="s">
        <v>196</v>
      </c>
      <c r="E414" s="2" t="str">
        <f t="shared" si="47"/>
        <v>2</v>
      </c>
      <c r="F414" s="2" t="s">
        <v>769</v>
      </c>
      <c r="G414" s="4" t="s">
        <v>1492</v>
      </c>
      <c r="H414" s="2">
        <f t="shared" si="48"/>
        <v>16</v>
      </c>
      <c r="I414" s="3" t="str">
        <f t="shared" si="45"/>
        <v>-</v>
      </c>
      <c r="J414" s="2" t="str">
        <f t="shared" si="46"/>
        <v>PATRIMONIO SOCIAL</v>
      </c>
      <c r="K414" s="2" t="s">
        <v>776</v>
      </c>
      <c r="S414" s="6" t="b">
        <f>C414='Plano de Contas sem ponto'!C414</f>
        <v>1</v>
      </c>
    </row>
    <row r="415" spans="1:19" x14ac:dyDescent="0.2">
      <c r="A415" s="2" t="s">
        <v>777</v>
      </c>
      <c r="B415" s="2" t="s">
        <v>54</v>
      </c>
      <c r="C415" s="2" t="s">
        <v>778</v>
      </c>
      <c r="D415" s="2" t="s">
        <v>196</v>
      </c>
      <c r="E415" s="2" t="str">
        <f t="shared" si="47"/>
        <v>2</v>
      </c>
      <c r="F415" s="2" t="s">
        <v>769</v>
      </c>
      <c r="G415" s="4" t="s">
        <v>1492</v>
      </c>
      <c r="H415" s="2">
        <f t="shared" si="48"/>
        <v>16</v>
      </c>
      <c r="I415" s="3" t="str">
        <f t="shared" si="45"/>
        <v>-</v>
      </c>
      <c r="J415" s="2" t="str">
        <f t="shared" si="46"/>
        <v>PATRIMONIO SOCIAL</v>
      </c>
      <c r="K415" s="2" t="s">
        <v>779</v>
      </c>
      <c r="S415" s="6" t="b">
        <f>C415='Plano de Contas sem ponto'!C415</f>
        <v>1</v>
      </c>
    </row>
    <row r="416" spans="1:19" x14ac:dyDescent="0.2">
      <c r="A416" s="1" t="s">
        <v>780</v>
      </c>
      <c r="B416" s="1" t="s">
        <v>40</v>
      </c>
      <c r="C416" s="1" t="s">
        <v>781</v>
      </c>
      <c r="D416" s="2" t="s">
        <v>196</v>
      </c>
      <c r="E416" s="2" t="str">
        <f t="shared" si="47"/>
        <v>2</v>
      </c>
      <c r="F416" s="2" t="s">
        <v>769</v>
      </c>
      <c r="G416" s="4" t="s">
        <v>1492</v>
      </c>
      <c r="H416" s="2">
        <f t="shared" si="48"/>
        <v>8</v>
      </c>
      <c r="I416" s="3" t="str">
        <f t="shared" si="45"/>
        <v>-</v>
      </c>
      <c r="J416" s="2" t="str">
        <f t="shared" si="46"/>
        <v>RESERVAS</v>
      </c>
      <c r="K416" s="2" t="s">
        <v>782</v>
      </c>
      <c r="S416" s="6" t="b">
        <f>C416='Plano de Contas sem ponto'!C416</f>
        <v>1</v>
      </c>
    </row>
    <row r="417" spans="1:19" x14ac:dyDescent="0.2">
      <c r="A417" s="1" t="s">
        <v>783</v>
      </c>
      <c r="B417" s="1" t="s">
        <v>40</v>
      </c>
      <c r="C417" s="1" t="s">
        <v>784</v>
      </c>
      <c r="D417" s="2" t="s">
        <v>196</v>
      </c>
      <c r="E417" s="2" t="str">
        <f t="shared" si="47"/>
        <v>2</v>
      </c>
      <c r="F417" s="2" t="s">
        <v>769</v>
      </c>
      <c r="G417" s="4" t="s">
        <v>1492</v>
      </c>
      <c r="H417" s="2">
        <f t="shared" si="48"/>
        <v>11</v>
      </c>
      <c r="I417" s="3" t="str">
        <f t="shared" si="45"/>
        <v>2.4.1.02.01</v>
      </c>
      <c r="J417" s="2" t="str">
        <f t="shared" si="46"/>
        <v>RESERVAS DE CAPITAL</v>
      </c>
      <c r="K417" s="2" t="s">
        <v>782</v>
      </c>
      <c r="S417" s="6" t="b">
        <f>C417='Plano de Contas sem ponto'!C417</f>
        <v>1</v>
      </c>
    </row>
    <row r="418" spans="1:19" x14ac:dyDescent="0.2">
      <c r="A418" s="2" t="s">
        <v>785</v>
      </c>
      <c r="B418" s="2" t="s">
        <v>54</v>
      </c>
      <c r="C418" s="6" t="s">
        <v>786</v>
      </c>
      <c r="D418" s="2" t="s">
        <v>196</v>
      </c>
      <c r="E418" s="2" t="str">
        <f t="shared" si="47"/>
        <v>2</v>
      </c>
      <c r="F418" s="2" t="s">
        <v>769</v>
      </c>
      <c r="G418" s="4" t="s">
        <v>1492</v>
      </c>
      <c r="H418" s="2">
        <f t="shared" si="48"/>
        <v>16</v>
      </c>
      <c r="I418" s="3" t="str">
        <f t="shared" si="45"/>
        <v>-</v>
      </c>
      <c r="J418" s="2" t="str">
        <f t="shared" si="46"/>
        <v>RESERVAS DE CAPITAL</v>
      </c>
      <c r="K418" s="2" t="s">
        <v>787</v>
      </c>
      <c r="S418" s="6" t="b">
        <f>C418='Plano de Contas sem ponto'!C418</f>
        <v>1</v>
      </c>
    </row>
    <row r="419" spans="1:19" x14ac:dyDescent="0.2">
      <c r="A419" s="2" t="s">
        <v>788</v>
      </c>
      <c r="B419" s="2" t="s">
        <v>54</v>
      </c>
      <c r="C419" s="2" t="s">
        <v>789</v>
      </c>
      <c r="D419" s="2" t="s">
        <v>196</v>
      </c>
      <c r="E419" s="2" t="str">
        <f t="shared" si="47"/>
        <v>2</v>
      </c>
      <c r="F419" s="2" t="s">
        <v>769</v>
      </c>
      <c r="G419" s="4" t="s">
        <v>1492</v>
      </c>
      <c r="H419" s="2">
        <f t="shared" si="48"/>
        <v>16</v>
      </c>
      <c r="I419" s="3" t="str">
        <f t="shared" si="45"/>
        <v>-</v>
      </c>
      <c r="J419" s="2" t="str">
        <f t="shared" si="46"/>
        <v>RESERVAS DE CAPITAL</v>
      </c>
      <c r="K419" s="2" t="s">
        <v>790</v>
      </c>
      <c r="S419" s="6" t="b">
        <f>C419='Plano de Contas sem ponto'!C419</f>
        <v>1</v>
      </c>
    </row>
    <row r="420" spans="1:19" x14ac:dyDescent="0.2">
      <c r="A420" s="1" t="s">
        <v>791</v>
      </c>
      <c r="B420" s="1" t="s">
        <v>40</v>
      </c>
      <c r="C420" s="1" t="s">
        <v>792</v>
      </c>
      <c r="D420" s="2" t="s">
        <v>793</v>
      </c>
      <c r="E420" s="2" t="str">
        <f t="shared" si="47"/>
        <v>2</v>
      </c>
      <c r="F420" s="2" t="s">
        <v>769</v>
      </c>
      <c r="G420" s="4" t="s">
        <v>1492</v>
      </c>
      <c r="H420" s="2">
        <f t="shared" si="48"/>
        <v>8</v>
      </c>
      <c r="I420" s="3" t="str">
        <f t="shared" si="45"/>
        <v>-</v>
      </c>
      <c r="J420" s="2" t="str">
        <f t="shared" si="46"/>
        <v>SUPERAVIT OU DEFICIT DO EXERCICIO</v>
      </c>
      <c r="K420" s="2" t="s">
        <v>794</v>
      </c>
      <c r="S420" s="6" t="b">
        <f>C420='Plano de Contas sem ponto'!C420</f>
        <v>1</v>
      </c>
    </row>
    <row r="421" spans="1:19" x14ac:dyDescent="0.2">
      <c r="A421" s="1" t="s">
        <v>795</v>
      </c>
      <c r="B421" s="1" t="s">
        <v>40</v>
      </c>
      <c r="C421" s="1" t="s">
        <v>792</v>
      </c>
      <c r="D421" s="2" t="s">
        <v>793</v>
      </c>
      <c r="E421" s="2" t="str">
        <f t="shared" si="47"/>
        <v>2</v>
      </c>
      <c r="F421" s="2" t="s">
        <v>769</v>
      </c>
      <c r="G421" s="4" t="s">
        <v>1492</v>
      </c>
      <c r="H421" s="2">
        <f t="shared" si="48"/>
        <v>11</v>
      </c>
      <c r="I421" s="3" t="str">
        <f t="shared" si="45"/>
        <v>2.4.1.03.01</v>
      </c>
      <c r="J421" s="2" t="str">
        <f t="shared" si="46"/>
        <v>SUPERAVIT OU DEFICIT DO EXERCICIO</v>
      </c>
      <c r="K421" s="2" t="s">
        <v>794</v>
      </c>
      <c r="S421" s="6" t="b">
        <f>C421='Plano de Contas sem ponto'!C421</f>
        <v>1</v>
      </c>
    </row>
    <row r="422" spans="1:19" x14ac:dyDescent="0.2">
      <c r="A422" s="2" t="s">
        <v>796</v>
      </c>
      <c r="B422" s="2" t="s">
        <v>54</v>
      </c>
      <c r="C422" s="2" t="s">
        <v>797</v>
      </c>
      <c r="D422" s="2" t="s">
        <v>793</v>
      </c>
      <c r="E422" s="2" t="str">
        <f t="shared" si="47"/>
        <v>2</v>
      </c>
      <c r="F422" s="2" t="s">
        <v>769</v>
      </c>
      <c r="G422" s="4" t="s">
        <v>1492</v>
      </c>
      <c r="H422" s="2">
        <f t="shared" si="48"/>
        <v>16</v>
      </c>
      <c r="I422" s="3" t="str">
        <f t="shared" si="45"/>
        <v>-</v>
      </c>
      <c r="J422" s="2" t="str">
        <f t="shared" si="46"/>
        <v>SUPERAVIT OU DEFICIT DO EXERCICIO</v>
      </c>
      <c r="K422" s="2" t="s">
        <v>794</v>
      </c>
      <c r="S422" s="6" t="b">
        <f>C422='Plano de Contas sem ponto'!C422</f>
        <v>1</v>
      </c>
    </row>
    <row r="423" spans="1:19" x14ac:dyDescent="0.2">
      <c r="A423" s="2" t="s">
        <v>798</v>
      </c>
      <c r="B423" s="2" t="s">
        <v>54</v>
      </c>
      <c r="C423" s="2" t="s">
        <v>799</v>
      </c>
      <c r="D423" s="2" t="s">
        <v>793</v>
      </c>
      <c r="E423" s="2" t="str">
        <f t="shared" si="47"/>
        <v>2</v>
      </c>
      <c r="F423" s="2" t="s">
        <v>769</v>
      </c>
      <c r="G423" s="4" t="s">
        <v>1492</v>
      </c>
      <c r="H423" s="2">
        <f t="shared" si="48"/>
        <v>16</v>
      </c>
      <c r="I423" s="3" t="str">
        <f t="shared" si="45"/>
        <v>-</v>
      </c>
      <c r="J423" s="2" t="str">
        <f t="shared" si="46"/>
        <v>SUPERAVIT OU DEFICIT DO EXERCICIO</v>
      </c>
      <c r="K423" s="2" t="s">
        <v>800</v>
      </c>
      <c r="S423" s="6" t="b">
        <f>C423='Plano de Contas sem ponto'!C423</f>
        <v>1</v>
      </c>
    </row>
    <row r="424" spans="1:19" x14ac:dyDescent="0.2">
      <c r="A424" s="1" t="s">
        <v>801</v>
      </c>
      <c r="B424" s="1" t="s">
        <v>40</v>
      </c>
      <c r="C424" s="1" t="s">
        <v>802</v>
      </c>
      <c r="D424" s="2" t="s">
        <v>196</v>
      </c>
      <c r="E424" s="2" t="str">
        <f t="shared" si="47"/>
        <v>2</v>
      </c>
      <c r="F424" s="2" t="s">
        <v>1493</v>
      </c>
      <c r="G424" s="4" t="s">
        <v>1492</v>
      </c>
      <c r="H424" s="2">
        <f t="shared" si="48"/>
        <v>3</v>
      </c>
      <c r="I424" s="3" t="str">
        <f t="shared" si="45"/>
        <v>-</v>
      </c>
      <c r="J424" s="2" t="str">
        <f t="shared" si="46"/>
        <v>PATRIMONIO LIQUIDO</v>
      </c>
      <c r="K424" s="2" t="s">
        <v>440</v>
      </c>
      <c r="S424" s="6" t="b">
        <f>C424='Plano de Contas sem ponto'!C424</f>
        <v>1</v>
      </c>
    </row>
    <row r="425" spans="1:19" x14ac:dyDescent="0.2">
      <c r="A425" s="1" t="s">
        <v>803</v>
      </c>
      <c r="B425" s="1" t="s">
        <v>40</v>
      </c>
      <c r="C425" s="1" t="s">
        <v>804</v>
      </c>
      <c r="D425" s="2" t="s">
        <v>196</v>
      </c>
      <c r="E425" s="2" t="str">
        <f t="shared" si="47"/>
        <v>2</v>
      </c>
      <c r="F425" s="2" t="s">
        <v>1493</v>
      </c>
      <c r="G425" s="4" t="s">
        <v>1492</v>
      </c>
      <c r="H425" s="2">
        <f t="shared" si="48"/>
        <v>5</v>
      </c>
      <c r="I425" s="3" t="str">
        <f t="shared" si="45"/>
        <v>-</v>
      </c>
      <c r="J425" s="2" t="str">
        <f t="shared" si="46"/>
        <v>CAPITAL</v>
      </c>
      <c r="K425" s="2" t="s">
        <v>440</v>
      </c>
      <c r="S425" s="6" t="b">
        <f>C425='Plano de Contas sem ponto'!C425</f>
        <v>1</v>
      </c>
    </row>
    <row r="426" spans="1:19" x14ac:dyDescent="0.2">
      <c r="A426" s="1" t="s">
        <v>805</v>
      </c>
      <c r="B426" s="1" t="s">
        <v>40</v>
      </c>
      <c r="C426" s="1" t="s">
        <v>806</v>
      </c>
      <c r="D426" s="2" t="s">
        <v>196</v>
      </c>
      <c r="E426" s="2" t="str">
        <f t="shared" si="47"/>
        <v>2</v>
      </c>
      <c r="F426" s="2" t="s">
        <v>1493</v>
      </c>
      <c r="G426" s="4" t="s">
        <v>1492</v>
      </c>
      <c r="H426" s="2">
        <f t="shared" si="48"/>
        <v>8</v>
      </c>
      <c r="I426" s="3" t="str">
        <f t="shared" si="45"/>
        <v>-</v>
      </c>
      <c r="J426" s="2" t="str">
        <f t="shared" si="46"/>
        <v>CAPITAL SOCIAL</v>
      </c>
      <c r="K426" s="2" t="s">
        <v>440</v>
      </c>
      <c r="S426" s="6" t="b">
        <f>C426='Plano de Contas sem ponto'!C426</f>
        <v>1</v>
      </c>
    </row>
    <row r="427" spans="1:19" x14ac:dyDescent="0.2">
      <c r="A427" s="1" t="s">
        <v>807</v>
      </c>
      <c r="B427" s="1" t="s">
        <v>40</v>
      </c>
      <c r="C427" s="1" t="s">
        <v>806</v>
      </c>
      <c r="D427" s="2" t="s">
        <v>196</v>
      </c>
      <c r="E427" s="2" t="str">
        <f t="shared" si="47"/>
        <v>2</v>
      </c>
      <c r="F427" s="2" t="s">
        <v>1493</v>
      </c>
      <c r="G427" s="4" t="s">
        <v>1492</v>
      </c>
      <c r="H427" s="2">
        <f t="shared" si="48"/>
        <v>11</v>
      </c>
      <c r="I427" s="3" t="str">
        <f t="shared" si="45"/>
        <v>2.5.1.01.01</v>
      </c>
      <c r="J427" s="2" t="str">
        <f t="shared" si="46"/>
        <v>CAPITAL SOCIAL</v>
      </c>
      <c r="K427" s="2" t="s">
        <v>440</v>
      </c>
      <c r="S427" s="6" t="b">
        <f>C427='Plano de Contas sem ponto'!C427</f>
        <v>1</v>
      </c>
    </row>
    <row r="428" spans="1:19" x14ac:dyDescent="0.2">
      <c r="A428" s="2" t="s">
        <v>808</v>
      </c>
      <c r="B428" s="2" t="s">
        <v>54</v>
      </c>
      <c r="C428" s="2" t="s">
        <v>809</v>
      </c>
      <c r="D428" s="2" t="s">
        <v>196</v>
      </c>
      <c r="E428" s="2" t="str">
        <f t="shared" si="47"/>
        <v>2</v>
      </c>
      <c r="F428" s="2" t="s">
        <v>1493</v>
      </c>
      <c r="G428" s="4" t="s">
        <v>1492</v>
      </c>
      <c r="H428" s="2">
        <f t="shared" si="48"/>
        <v>16</v>
      </c>
      <c r="I428" s="3" t="str">
        <f t="shared" si="45"/>
        <v>-</v>
      </c>
      <c r="J428" s="2" t="str">
        <f t="shared" si="46"/>
        <v>CAPITAL SOCIAL</v>
      </c>
      <c r="K428" s="2" t="s">
        <v>440</v>
      </c>
      <c r="S428" s="6" t="b">
        <f>C428='Plano de Contas sem ponto'!C428</f>
        <v>1</v>
      </c>
    </row>
    <row r="429" spans="1:19" x14ac:dyDescent="0.2">
      <c r="A429" s="1" t="s">
        <v>810</v>
      </c>
      <c r="B429" s="1" t="s">
        <v>40</v>
      </c>
      <c r="C429" s="1" t="s">
        <v>811</v>
      </c>
      <c r="D429" s="2" t="s">
        <v>196</v>
      </c>
      <c r="E429" s="2" t="str">
        <f t="shared" si="47"/>
        <v>2</v>
      </c>
      <c r="F429" s="2" t="s">
        <v>1493</v>
      </c>
      <c r="G429" s="4" t="s">
        <v>1492</v>
      </c>
      <c r="H429" s="2">
        <f t="shared" si="48"/>
        <v>8</v>
      </c>
      <c r="I429" s="3" t="str">
        <f t="shared" si="45"/>
        <v>-</v>
      </c>
      <c r="J429" s="2" t="str">
        <f t="shared" si="46"/>
        <v>AUMENTO DE CAPITAL SOCIAL</v>
      </c>
      <c r="K429" s="2" t="s">
        <v>440</v>
      </c>
      <c r="S429" s="6" t="b">
        <f>C429='Plano de Contas sem ponto'!C429</f>
        <v>1</v>
      </c>
    </row>
    <row r="430" spans="1:19" x14ac:dyDescent="0.2">
      <c r="A430" s="1" t="s">
        <v>812</v>
      </c>
      <c r="B430" s="1" t="s">
        <v>40</v>
      </c>
      <c r="C430" s="1" t="s">
        <v>811</v>
      </c>
      <c r="D430" s="2" t="s">
        <v>196</v>
      </c>
      <c r="E430" s="2" t="str">
        <f t="shared" si="47"/>
        <v>2</v>
      </c>
      <c r="F430" s="2" t="s">
        <v>1493</v>
      </c>
      <c r="G430" s="4" t="s">
        <v>1492</v>
      </c>
      <c r="H430" s="2">
        <f t="shared" si="48"/>
        <v>11</v>
      </c>
      <c r="I430" s="3" t="str">
        <f t="shared" si="45"/>
        <v>2.5.1.02.01</v>
      </c>
      <c r="J430" s="2" t="str">
        <f t="shared" si="46"/>
        <v>AUMENTO DE CAPITAL SOCIAL</v>
      </c>
      <c r="K430" s="2" t="s">
        <v>440</v>
      </c>
      <c r="S430" s="6" t="b">
        <f>C430='Plano de Contas sem ponto'!C430</f>
        <v>1</v>
      </c>
    </row>
    <row r="431" spans="1:19" x14ac:dyDescent="0.2">
      <c r="A431" s="2" t="s">
        <v>813</v>
      </c>
      <c r="B431" s="2" t="s">
        <v>54</v>
      </c>
      <c r="C431" s="2" t="s">
        <v>811</v>
      </c>
      <c r="D431" s="2" t="s">
        <v>196</v>
      </c>
      <c r="E431" s="2" t="str">
        <f t="shared" si="47"/>
        <v>2</v>
      </c>
      <c r="F431" s="2" t="s">
        <v>1493</v>
      </c>
      <c r="G431" s="4" t="s">
        <v>1492</v>
      </c>
      <c r="H431" s="2">
        <f t="shared" si="48"/>
        <v>16</v>
      </c>
      <c r="I431" s="3" t="str">
        <f t="shared" si="45"/>
        <v>-</v>
      </c>
      <c r="J431" s="2" t="str">
        <f t="shared" si="46"/>
        <v>AUMENTO DE CAPITAL SOCIAL</v>
      </c>
      <c r="K431" s="2" t="s">
        <v>440</v>
      </c>
      <c r="S431" s="6" t="b">
        <f>C431='Plano de Contas sem ponto'!C431</f>
        <v>1</v>
      </c>
    </row>
    <row r="432" spans="1:19" x14ac:dyDescent="0.2">
      <c r="A432" s="2" t="s">
        <v>814</v>
      </c>
      <c r="B432" s="2" t="s">
        <v>54</v>
      </c>
      <c r="C432" s="2" t="s">
        <v>815</v>
      </c>
      <c r="D432" s="2" t="s">
        <v>196</v>
      </c>
      <c r="E432" s="2" t="str">
        <f t="shared" si="47"/>
        <v>2</v>
      </c>
      <c r="F432" s="2" t="s">
        <v>1493</v>
      </c>
      <c r="G432" s="4" t="s">
        <v>1492</v>
      </c>
      <c r="H432" s="2">
        <f t="shared" si="48"/>
        <v>16</v>
      </c>
      <c r="I432" s="3" t="str">
        <f t="shared" si="45"/>
        <v>-</v>
      </c>
      <c r="J432" s="2" t="str">
        <f t="shared" si="46"/>
        <v>AUMENTO DE CAPITAL SOCIAL</v>
      </c>
      <c r="K432" s="2" t="s">
        <v>440</v>
      </c>
      <c r="S432" s="6" t="b">
        <f>C432='Plano de Contas sem ponto'!C432</f>
        <v>1</v>
      </c>
    </row>
    <row r="433" spans="1:19" x14ac:dyDescent="0.2">
      <c r="A433" s="1" t="s">
        <v>816</v>
      </c>
      <c r="B433" s="1" t="s">
        <v>40</v>
      </c>
      <c r="C433" s="1" t="s">
        <v>781</v>
      </c>
      <c r="D433" s="2" t="s">
        <v>196</v>
      </c>
      <c r="E433" s="2" t="str">
        <f t="shared" si="47"/>
        <v>2</v>
      </c>
      <c r="F433" s="2" t="s">
        <v>1493</v>
      </c>
      <c r="G433" s="4" t="s">
        <v>1492</v>
      </c>
      <c r="H433" s="2">
        <f t="shared" si="48"/>
        <v>5</v>
      </c>
      <c r="I433" s="3" t="str">
        <f t="shared" si="45"/>
        <v>-</v>
      </c>
      <c r="J433" s="2" t="str">
        <f t="shared" si="46"/>
        <v>RESERVAS</v>
      </c>
      <c r="K433" s="2" t="s">
        <v>440</v>
      </c>
      <c r="S433" s="6" t="b">
        <f>C433='Plano de Contas sem ponto'!C433</f>
        <v>1</v>
      </c>
    </row>
    <row r="434" spans="1:19" x14ac:dyDescent="0.2">
      <c r="A434" s="1" t="s">
        <v>817</v>
      </c>
      <c r="B434" s="1" t="s">
        <v>40</v>
      </c>
      <c r="C434" s="1" t="s">
        <v>784</v>
      </c>
      <c r="D434" s="2" t="s">
        <v>196</v>
      </c>
      <c r="E434" s="2" t="str">
        <f t="shared" si="47"/>
        <v>2</v>
      </c>
      <c r="F434" s="2" t="s">
        <v>1493</v>
      </c>
      <c r="G434" s="4" t="s">
        <v>1492</v>
      </c>
      <c r="H434" s="2">
        <f t="shared" si="48"/>
        <v>8</v>
      </c>
      <c r="I434" s="3" t="str">
        <f t="shared" si="45"/>
        <v>-</v>
      </c>
      <c r="J434" s="2" t="str">
        <f t="shared" si="46"/>
        <v>RESERVAS DE CAPITAL</v>
      </c>
      <c r="K434" s="2" t="s">
        <v>440</v>
      </c>
      <c r="S434" s="6" t="b">
        <f>C434='Plano de Contas sem ponto'!C434</f>
        <v>1</v>
      </c>
    </row>
    <row r="435" spans="1:19" x14ac:dyDescent="0.2">
      <c r="A435" s="1" t="s">
        <v>818</v>
      </c>
      <c r="B435" s="1" t="s">
        <v>40</v>
      </c>
      <c r="C435" s="1" t="s">
        <v>784</v>
      </c>
      <c r="D435" s="2" t="s">
        <v>196</v>
      </c>
      <c r="E435" s="2" t="str">
        <f t="shared" si="47"/>
        <v>2</v>
      </c>
      <c r="F435" s="2" t="s">
        <v>1493</v>
      </c>
      <c r="G435" s="4" t="s">
        <v>1492</v>
      </c>
      <c r="H435" s="2">
        <f t="shared" si="48"/>
        <v>11</v>
      </c>
      <c r="I435" s="3" t="str">
        <f t="shared" si="45"/>
        <v>2.5.2.01.01</v>
      </c>
      <c r="J435" s="2" t="str">
        <f t="shared" si="46"/>
        <v>RESERVAS DE CAPITAL</v>
      </c>
      <c r="K435" s="2" t="s">
        <v>440</v>
      </c>
      <c r="S435" s="6" t="b">
        <f>C435='Plano de Contas sem ponto'!C435</f>
        <v>1</v>
      </c>
    </row>
    <row r="436" spans="1:19" x14ac:dyDescent="0.2">
      <c r="A436" s="2" t="s">
        <v>819</v>
      </c>
      <c r="B436" s="2" t="s">
        <v>54</v>
      </c>
      <c r="C436" s="2" t="s">
        <v>784</v>
      </c>
      <c r="D436" s="2" t="s">
        <v>196</v>
      </c>
      <c r="E436" s="2" t="str">
        <f t="shared" si="47"/>
        <v>2</v>
      </c>
      <c r="F436" s="2" t="s">
        <v>1493</v>
      </c>
      <c r="G436" s="4" t="s">
        <v>1492</v>
      </c>
      <c r="H436" s="2">
        <f t="shared" si="48"/>
        <v>16</v>
      </c>
      <c r="I436" s="3" t="str">
        <f t="shared" si="45"/>
        <v>-</v>
      </c>
      <c r="J436" s="2" t="str">
        <f t="shared" si="46"/>
        <v>RESERVAS DE CAPITAL</v>
      </c>
      <c r="K436" s="2" t="s">
        <v>440</v>
      </c>
      <c r="S436" s="6" t="b">
        <f>C436='Plano de Contas sem ponto'!C436</f>
        <v>1</v>
      </c>
    </row>
    <row r="437" spans="1:19" x14ac:dyDescent="0.2">
      <c r="A437" s="1" t="s">
        <v>820</v>
      </c>
      <c r="B437" s="1" t="s">
        <v>40</v>
      </c>
      <c r="C437" s="1" t="s">
        <v>821</v>
      </c>
      <c r="D437" s="2" t="s">
        <v>196</v>
      </c>
      <c r="E437" s="2" t="str">
        <f t="shared" si="47"/>
        <v>2</v>
      </c>
      <c r="F437" s="2" t="s">
        <v>1493</v>
      </c>
      <c r="G437" s="4" t="s">
        <v>1492</v>
      </c>
      <c r="H437" s="2">
        <f t="shared" si="48"/>
        <v>8</v>
      </c>
      <c r="I437" s="3" t="str">
        <f t="shared" si="45"/>
        <v>-</v>
      </c>
      <c r="J437" s="2" t="str">
        <f t="shared" si="46"/>
        <v>RESERVAS DE LUCROS</v>
      </c>
      <c r="K437" s="2" t="s">
        <v>440</v>
      </c>
      <c r="S437" s="6" t="b">
        <f>C437='Plano de Contas sem ponto'!C437</f>
        <v>1</v>
      </c>
    </row>
    <row r="438" spans="1:19" x14ac:dyDescent="0.2">
      <c r="A438" s="1" t="s">
        <v>822</v>
      </c>
      <c r="B438" s="1" t="s">
        <v>40</v>
      </c>
      <c r="C438" s="1" t="s">
        <v>821</v>
      </c>
      <c r="D438" s="2" t="s">
        <v>196</v>
      </c>
      <c r="E438" s="2" t="str">
        <f t="shared" si="47"/>
        <v>2</v>
      </c>
      <c r="F438" s="2" t="s">
        <v>1493</v>
      </c>
      <c r="G438" s="4" t="s">
        <v>1492</v>
      </c>
      <c r="H438" s="2">
        <f t="shared" si="48"/>
        <v>11</v>
      </c>
      <c r="I438" s="3" t="str">
        <f t="shared" si="45"/>
        <v>2.5.2.02.01</v>
      </c>
      <c r="J438" s="2" t="str">
        <f t="shared" si="46"/>
        <v>RESERVAS DE LUCROS</v>
      </c>
      <c r="K438" s="2" t="s">
        <v>440</v>
      </c>
      <c r="S438" s="6" t="b">
        <f>C438='Plano de Contas sem ponto'!C438</f>
        <v>1</v>
      </c>
    </row>
    <row r="439" spans="1:19" x14ac:dyDescent="0.2">
      <c r="A439" s="2" t="s">
        <v>823</v>
      </c>
      <c r="B439" s="2" t="s">
        <v>54</v>
      </c>
      <c r="C439" s="2" t="s">
        <v>824</v>
      </c>
      <c r="D439" s="2" t="s">
        <v>196</v>
      </c>
      <c r="E439" s="2" t="str">
        <f t="shared" si="47"/>
        <v>2</v>
      </c>
      <c r="F439" s="2" t="s">
        <v>1493</v>
      </c>
      <c r="G439" s="4" t="s">
        <v>1492</v>
      </c>
      <c r="H439" s="2">
        <f t="shared" si="48"/>
        <v>16</v>
      </c>
      <c r="I439" s="3" t="str">
        <f t="shared" si="45"/>
        <v>-</v>
      </c>
      <c r="J439" s="2" t="str">
        <f t="shared" si="46"/>
        <v>RESERVAS DE LUCROS</v>
      </c>
      <c r="K439" s="2" t="s">
        <v>440</v>
      </c>
      <c r="S439" s="6" t="b">
        <f>C439='Plano de Contas sem ponto'!C439</f>
        <v>1</v>
      </c>
    </row>
    <row r="440" spans="1:19" x14ac:dyDescent="0.2">
      <c r="A440" s="2" t="s">
        <v>825</v>
      </c>
      <c r="B440" s="2" t="s">
        <v>54</v>
      </c>
      <c r="C440" s="2" t="s">
        <v>826</v>
      </c>
      <c r="D440" s="2" t="s">
        <v>196</v>
      </c>
      <c r="E440" s="2" t="str">
        <f t="shared" si="47"/>
        <v>2</v>
      </c>
      <c r="F440" s="2" t="s">
        <v>1493</v>
      </c>
      <c r="G440" s="4" t="s">
        <v>1492</v>
      </c>
      <c r="H440" s="2">
        <f t="shared" si="48"/>
        <v>16</v>
      </c>
      <c r="I440" s="3" t="str">
        <f t="shared" si="45"/>
        <v>-</v>
      </c>
      <c r="J440" s="2" t="str">
        <f t="shared" si="46"/>
        <v>RESERVAS DE LUCROS</v>
      </c>
      <c r="K440" s="2" t="s">
        <v>440</v>
      </c>
      <c r="S440" s="6" t="b">
        <f>C440='Plano de Contas sem ponto'!C440</f>
        <v>1</v>
      </c>
    </row>
    <row r="441" spans="1:19" x14ac:dyDescent="0.2">
      <c r="A441" s="2" t="s">
        <v>827</v>
      </c>
      <c r="B441" s="2" t="s">
        <v>54</v>
      </c>
      <c r="C441" s="2" t="s">
        <v>828</v>
      </c>
      <c r="D441" s="2" t="s">
        <v>196</v>
      </c>
      <c r="E441" s="2" t="str">
        <f t="shared" si="47"/>
        <v>2</v>
      </c>
      <c r="F441" s="2" t="s">
        <v>1493</v>
      </c>
      <c r="G441" s="4" t="s">
        <v>1492</v>
      </c>
      <c r="H441" s="2">
        <f t="shared" si="48"/>
        <v>16</v>
      </c>
      <c r="I441" s="3" t="str">
        <f t="shared" si="45"/>
        <v>-</v>
      </c>
      <c r="J441" s="2" t="str">
        <f t="shared" si="46"/>
        <v>RESERVAS DE LUCROS</v>
      </c>
      <c r="K441" s="2" t="s">
        <v>440</v>
      </c>
      <c r="S441" s="6" t="b">
        <f>C441='Plano de Contas sem ponto'!C441</f>
        <v>1</v>
      </c>
    </row>
    <row r="442" spans="1:19" x14ac:dyDescent="0.2">
      <c r="A442" s="2" t="s">
        <v>829</v>
      </c>
      <c r="B442" s="2" t="s">
        <v>54</v>
      </c>
      <c r="C442" s="2" t="s">
        <v>830</v>
      </c>
      <c r="D442" s="2" t="s">
        <v>196</v>
      </c>
      <c r="E442" s="2" t="str">
        <f t="shared" si="47"/>
        <v>2</v>
      </c>
      <c r="F442" s="2" t="s">
        <v>1493</v>
      </c>
      <c r="G442" s="4" t="s">
        <v>1492</v>
      </c>
      <c r="H442" s="2">
        <f t="shared" si="48"/>
        <v>16</v>
      </c>
      <c r="I442" s="3" t="str">
        <f t="shared" si="45"/>
        <v>-</v>
      </c>
      <c r="J442" s="2" t="str">
        <f t="shared" si="46"/>
        <v>RESERVAS DE LUCROS</v>
      </c>
      <c r="K442" s="2" t="s">
        <v>440</v>
      </c>
      <c r="S442" s="6" t="b">
        <f>C442='Plano de Contas sem ponto'!C442</f>
        <v>1</v>
      </c>
    </row>
    <row r="443" spans="1:19" x14ac:dyDescent="0.2">
      <c r="A443" s="2" t="s">
        <v>831</v>
      </c>
      <c r="B443" s="2" t="s">
        <v>54</v>
      </c>
      <c r="C443" s="2" t="s">
        <v>832</v>
      </c>
      <c r="D443" s="2" t="s">
        <v>196</v>
      </c>
      <c r="E443" s="2" t="str">
        <f t="shared" si="47"/>
        <v>2</v>
      </c>
      <c r="F443" s="2" t="s">
        <v>1493</v>
      </c>
      <c r="G443" s="4" t="s">
        <v>1492</v>
      </c>
      <c r="H443" s="2">
        <f t="shared" si="48"/>
        <v>16</v>
      </c>
      <c r="I443" s="3" t="str">
        <f t="shared" si="45"/>
        <v>-</v>
      </c>
      <c r="J443" s="2" t="str">
        <f t="shared" si="46"/>
        <v>RESERVAS DE LUCROS</v>
      </c>
      <c r="K443" s="2" t="s">
        <v>440</v>
      </c>
      <c r="S443" s="6" t="b">
        <f>C443='Plano de Contas sem ponto'!C443</f>
        <v>1</v>
      </c>
    </row>
    <row r="444" spans="1:19" x14ac:dyDescent="0.2">
      <c r="A444" s="2" t="s">
        <v>833</v>
      </c>
      <c r="B444" s="2" t="s">
        <v>54</v>
      </c>
      <c r="C444" s="2" t="s">
        <v>834</v>
      </c>
      <c r="D444" s="2" t="s">
        <v>196</v>
      </c>
      <c r="E444" s="2" t="str">
        <f t="shared" si="47"/>
        <v>2</v>
      </c>
      <c r="F444" s="2" t="s">
        <v>1493</v>
      </c>
      <c r="G444" s="4" t="s">
        <v>1492</v>
      </c>
      <c r="H444" s="2">
        <f t="shared" si="48"/>
        <v>16</v>
      </c>
      <c r="I444" s="3" t="str">
        <f t="shared" si="45"/>
        <v>-</v>
      </c>
      <c r="J444" s="2" t="str">
        <f t="shared" si="46"/>
        <v>RESERVAS DE LUCROS</v>
      </c>
      <c r="K444" s="2" t="s">
        <v>440</v>
      </c>
      <c r="S444" s="6" t="b">
        <f>C444='Plano de Contas sem ponto'!C444</f>
        <v>1</v>
      </c>
    </row>
    <row r="445" spans="1:19" x14ac:dyDescent="0.2">
      <c r="A445" s="1" t="s">
        <v>835</v>
      </c>
      <c r="B445" s="1" t="s">
        <v>40</v>
      </c>
      <c r="C445" s="1" t="s">
        <v>836</v>
      </c>
      <c r="D445" s="2" t="s">
        <v>196</v>
      </c>
      <c r="E445" s="2" t="str">
        <f t="shared" si="47"/>
        <v>2</v>
      </c>
      <c r="F445" s="2" t="s">
        <v>1493</v>
      </c>
      <c r="G445" s="4" t="s">
        <v>1492</v>
      </c>
      <c r="H445" s="2">
        <f t="shared" si="48"/>
        <v>5</v>
      </c>
      <c r="I445" s="3" t="str">
        <f t="shared" si="45"/>
        <v>-</v>
      </c>
      <c r="J445" s="2" t="str">
        <f t="shared" si="46"/>
        <v>LUCROS OU PREJUIZOS ACUMULADOS</v>
      </c>
      <c r="K445" s="2" t="s">
        <v>440</v>
      </c>
      <c r="S445" s="6" t="b">
        <f>C445='Plano de Contas sem ponto'!C445</f>
        <v>1</v>
      </c>
    </row>
    <row r="446" spans="1:19" x14ac:dyDescent="0.2">
      <c r="A446" s="1" t="s">
        <v>837</v>
      </c>
      <c r="B446" s="1" t="s">
        <v>40</v>
      </c>
      <c r="C446" s="1" t="s">
        <v>836</v>
      </c>
      <c r="D446" s="2" t="s">
        <v>196</v>
      </c>
      <c r="E446" s="2" t="str">
        <f t="shared" si="47"/>
        <v>2</v>
      </c>
      <c r="F446" s="2" t="s">
        <v>1493</v>
      </c>
      <c r="G446" s="4" t="s">
        <v>1492</v>
      </c>
      <c r="H446" s="2">
        <f t="shared" si="48"/>
        <v>8</v>
      </c>
      <c r="I446" s="3" t="str">
        <f t="shared" si="45"/>
        <v>-</v>
      </c>
      <c r="J446" s="2" t="str">
        <f t="shared" si="46"/>
        <v>LUCROS OU PREJUIZOS ACUMULADOS</v>
      </c>
      <c r="K446" s="2" t="s">
        <v>440</v>
      </c>
      <c r="S446" s="6" t="b">
        <f>C446='Plano de Contas sem ponto'!C446</f>
        <v>1</v>
      </c>
    </row>
    <row r="447" spans="1:19" x14ac:dyDescent="0.2">
      <c r="A447" s="1" t="s">
        <v>838</v>
      </c>
      <c r="B447" s="1" t="s">
        <v>40</v>
      </c>
      <c r="C447" s="1" t="s">
        <v>836</v>
      </c>
      <c r="D447" s="2" t="s">
        <v>196</v>
      </c>
      <c r="E447" s="2" t="str">
        <f t="shared" si="47"/>
        <v>2</v>
      </c>
      <c r="F447" s="2" t="s">
        <v>1493</v>
      </c>
      <c r="G447" s="4" t="s">
        <v>1492</v>
      </c>
      <c r="H447" s="2">
        <f t="shared" si="48"/>
        <v>11</v>
      </c>
      <c r="I447" s="3" t="str">
        <f t="shared" si="45"/>
        <v>2.5.3.01.01</v>
      </c>
      <c r="J447" s="2" t="str">
        <f t="shared" si="46"/>
        <v>LUCROS OU PREJUIZOS ACUMULADOS</v>
      </c>
      <c r="K447" s="2" t="s">
        <v>440</v>
      </c>
      <c r="S447" s="6" t="b">
        <f>C447='Plano de Contas sem ponto'!C447</f>
        <v>1</v>
      </c>
    </row>
    <row r="448" spans="1:19" x14ac:dyDescent="0.2">
      <c r="A448" s="2" t="s">
        <v>839</v>
      </c>
      <c r="B448" s="2" t="s">
        <v>54</v>
      </c>
      <c r="C448" s="2" t="s">
        <v>840</v>
      </c>
      <c r="D448" s="2" t="s">
        <v>196</v>
      </c>
      <c r="E448" s="2" t="str">
        <f t="shared" si="47"/>
        <v>2</v>
      </c>
      <c r="F448" s="2" t="s">
        <v>1493</v>
      </c>
      <c r="G448" s="4" t="s">
        <v>1492</v>
      </c>
      <c r="H448" s="2">
        <f t="shared" si="48"/>
        <v>16</v>
      </c>
      <c r="I448" s="3" t="str">
        <f t="shared" si="45"/>
        <v>-</v>
      </c>
      <c r="J448" s="2" t="str">
        <f t="shared" si="46"/>
        <v>LUCROS OU PREJUIZOS ACUMULADOS</v>
      </c>
      <c r="K448" s="2" t="s">
        <v>440</v>
      </c>
      <c r="S448" s="6" t="b">
        <f>C448='Plano de Contas sem ponto'!C448</f>
        <v>1</v>
      </c>
    </row>
    <row r="449" spans="1:19" x14ac:dyDescent="0.2">
      <c r="A449" s="2" t="s">
        <v>841</v>
      </c>
      <c r="B449" s="2" t="s">
        <v>54</v>
      </c>
      <c r="C449" s="2" t="s">
        <v>842</v>
      </c>
      <c r="D449" s="2" t="s">
        <v>42</v>
      </c>
      <c r="E449" s="2" t="str">
        <f t="shared" si="47"/>
        <v>2</v>
      </c>
      <c r="F449" s="2" t="s">
        <v>1493</v>
      </c>
      <c r="G449" s="4" t="s">
        <v>1492</v>
      </c>
      <c r="H449" s="2">
        <f t="shared" si="48"/>
        <v>16</v>
      </c>
      <c r="I449" s="3" t="str">
        <f t="shared" si="45"/>
        <v>-</v>
      </c>
      <c r="J449" s="2" t="str">
        <f t="shared" si="46"/>
        <v>LUCROS OU PREJUIZOS ACUMULADOS</v>
      </c>
      <c r="K449" s="2" t="s">
        <v>440</v>
      </c>
      <c r="S449" s="6" t="b">
        <f>C449='Plano de Contas sem ponto'!C449</f>
        <v>1</v>
      </c>
    </row>
    <row r="450" spans="1:19" x14ac:dyDescent="0.2">
      <c r="A450" s="1" t="s">
        <v>843</v>
      </c>
      <c r="B450" s="1" t="s">
        <v>40</v>
      </c>
      <c r="C450" s="1" t="s">
        <v>844</v>
      </c>
      <c r="D450" s="2" t="s">
        <v>196</v>
      </c>
      <c r="E450" s="2" t="str">
        <f t="shared" si="47"/>
        <v>2</v>
      </c>
      <c r="F450" s="2" t="s">
        <v>1493</v>
      </c>
      <c r="G450" s="4" t="s">
        <v>1492</v>
      </c>
      <c r="H450" s="2">
        <f t="shared" si="48"/>
        <v>5</v>
      </c>
      <c r="I450" s="3" t="str">
        <f t="shared" si="45"/>
        <v>-</v>
      </c>
      <c r="J450" s="2" t="str">
        <f t="shared" si="46"/>
        <v>AJUSTES DE AVALIAÇÃO PATRIMONIAL</v>
      </c>
      <c r="K450" s="2" t="s">
        <v>440</v>
      </c>
      <c r="S450" s="6" t="b">
        <f>C450='Plano de Contas sem ponto'!C450</f>
        <v>1</v>
      </c>
    </row>
    <row r="451" spans="1:19" x14ac:dyDescent="0.2">
      <c r="A451" s="1" t="s">
        <v>845</v>
      </c>
      <c r="B451" s="1" t="s">
        <v>40</v>
      </c>
      <c r="C451" s="1" t="s">
        <v>844</v>
      </c>
      <c r="D451" s="2" t="s">
        <v>196</v>
      </c>
      <c r="E451" s="2" t="str">
        <f t="shared" si="47"/>
        <v>2</v>
      </c>
      <c r="F451" s="2" t="s">
        <v>1493</v>
      </c>
      <c r="G451" s="4" t="s">
        <v>1492</v>
      </c>
      <c r="H451" s="2">
        <f t="shared" si="48"/>
        <v>8</v>
      </c>
      <c r="I451" s="3" t="str">
        <f t="shared" si="45"/>
        <v>-</v>
      </c>
      <c r="J451" s="2" t="str">
        <f t="shared" si="46"/>
        <v>AJUSTES DE AVALIAÇÃO PATRIMONIAL</v>
      </c>
      <c r="K451" s="2" t="s">
        <v>440</v>
      </c>
      <c r="S451" s="6" t="b">
        <f>C451='Plano de Contas sem ponto'!C451</f>
        <v>1</v>
      </c>
    </row>
    <row r="452" spans="1:19" x14ac:dyDescent="0.2">
      <c r="A452" s="1" t="s">
        <v>846</v>
      </c>
      <c r="B452" s="1" t="s">
        <v>40</v>
      </c>
      <c r="C452" s="1" t="s">
        <v>844</v>
      </c>
      <c r="D452" s="2" t="s">
        <v>196</v>
      </c>
      <c r="E452" s="2" t="str">
        <f t="shared" si="47"/>
        <v>2</v>
      </c>
      <c r="F452" s="2" t="s">
        <v>1493</v>
      </c>
      <c r="G452" s="4" t="s">
        <v>1492</v>
      </c>
      <c r="H452" s="2">
        <f t="shared" si="48"/>
        <v>11</v>
      </c>
      <c r="I452" s="3" t="str">
        <f t="shared" si="45"/>
        <v>2.5.4.01.01</v>
      </c>
      <c r="J452" s="2" t="str">
        <f t="shared" si="46"/>
        <v>AJUSTES DE AVALIAÇÃO PATRIMONIAL</v>
      </c>
      <c r="K452" s="2" t="s">
        <v>440</v>
      </c>
      <c r="S452" s="6" t="b">
        <f>C452='Plano de Contas sem ponto'!C452</f>
        <v>1</v>
      </c>
    </row>
    <row r="453" spans="1:19" x14ac:dyDescent="0.2">
      <c r="A453" s="2" t="s">
        <v>847</v>
      </c>
      <c r="B453" s="2" t="s">
        <v>54</v>
      </c>
      <c r="C453" s="2" t="s">
        <v>844</v>
      </c>
      <c r="D453" s="2" t="s">
        <v>196</v>
      </c>
      <c r="E453" s="2" t="str">
        <f t="shared" si="47"/>
        <v>2</v>
      </c>
      <c r="F453" s="2" t="s">
        <v>1493</v>
      </c>
      <c r="G453" s="4" t="s">
        <v>1492</v>
      </c>
      <c r="H453" s="2">
        <f t="shared" si="48"/>
        <v>16</v>
      </c>
      <c r="I453" s="3" t="str">
        <f t="shared" si="45"/>
        <v>-</v>
      </c>
      <c r="J453" s="2" t="str">
        <f t="shared" si="46"/>
        <v>AJUSTES DE AVALIAÇÃO PATRIMONIAL</v>
      </c>
      <c r="K453" s="2" t="s">
        <v>440</v>
      </c>
      <c r="S453" s="6" t="b">
        <f>C453='Plano de Contas sem ponto'!C453</f>
        <v>1</v>
      </c>
    </row>
    <row r="454" spans="1:19" x14ac:dyDescent="0.2">
      <c r="A454" s="1" t="s">
        <v>848</v>
      </c>
      <c r="B454" s="1" t="s">
        <v>40</v>
      </c>
      <c r="C454" s="1" t="s">
        <v>849</v>
      </c>
      <c r="D454" s="2" t="s">
        <v>196</v>
      </c>
      <c r="E454" s="2" t="str">
        <f t="shared" si="47"/>
        <v>2</v>
      </c>
      <c r="F454" s="2" t="s">
        <v>479</v>
      </c>
      <c r="G454" s="4" t="s">
        <v>1492</v>
      </c>
      <c r="H454" s="2">
        <f t="shared" si="48"/>
        <v>3</v>
      </c>
      <c r="I454" s="3" t="str">
        <f t="shared" si="45"/>
        <v>-</v>
      </c>
      <c r="J454" s="2" t="str">
        <f t="shared" si="46"/>
        <v>PASSIVO COMPENSACAO</v>
      </c>
      <c r="K454" s="2" t="s">
        <v>440</v>
      </c>
      <c r="S454" s="6" t="b">
        <f>C454='Plano de Contas sem ponto'!C454</f>
        <v>1</v>
      </c>
    </row>
    <row r="455" spans="1:19" x14ac:dyDescent="0.2">
      <c r="A455" s="1" t="s">
        <v>850</v>
      </c>
      <c r="B455" s="1" t="s">
        <v>40</v>
      </c>
      <c r="C455" s="1" t="s">
        <v>442</v>
      </c>
      <c r="D455" s="2" t="s">
        <v>196</v>
      </c>
      <c r="E455" s="2" t="str">
        <f t="shared" si="47"/>
        <v>2</v>
      </c>
      <c r="F455" s="2" t="s">
        <v>479</v>
      </c>
      <c r="G455" s="4" t="s">
        <v>1492</v>
      </c>
      <c r="H455" s="2">
        <f t="shared" si="48"/>
        <v>5</v>
      </c>
      <c r="I455" s="3" t="str">
        <f t="shared" si="45"/>
        <v>-</v>
      </c>
      <c r="J455" s="2" t="str">
        <f t="shared" si="46"/>
        <v>CONVENIO DPVAT / CRMS</v>
      </c>
      <c r="K455" s="2" t="s">
        <v>440</v>
      </c>
      <c r="S455" s="6" t="b">
        <f>C455='Plano de Contas sem ponto'!C455</f>
        <v>1</v>
      </c>
    </row>
    <row r="456" spans="1:19" x14ac:dyDescent="0.2">
      <c r="A456" s="1" t="s">
        <v>851</v>
      </c>
      <c r="B456" s="1" t="s">
        <v>40</v>
      </c>
      <c r="C456" s="1" t="s">
        <v>852</v>
      </c>
      <c r="D456" s="2" t="s">
        <v>196</v>
      </c>
      <c r="E456" s="2" t="str">
        <f t="shared" si="47"/>
        <v>2</v>
      </c>
      <c r="F456" s="2" t="s">
        <v>479</v>
      </c>
      <c r="G456" s="4" t="s">
        <v>1492</v>
      </c>
      <c r="H456" s="2">
        <f t="shared" si="48"/>
        <v>8</v>
      </c>
      <c r="I456" s="3" t="str">
        <f t="shared" si="45"/>
        <v>-</v>
      </c>
      <c r="J456" s="2" t="str">
        <f t="shared" si="46"/>
        <v>CREDITOS OPERACIONAIS</v>
      </c>
      <c r="K456" s="2" t="s">
        <v>440</v>
      </c>
      <c r="S456" s="6" t="b">
        <f>C456='Plano de Contas sem ponto'!C456</f>
        <v>1</v>
      </c>
    </row>
    <row r="457" spans="1:19" x14ac:dyDescent="0.2">
      <c r="A457" s="1" t="s">
        <v>853</v>
      </c>
      <c r="B457" s="1" t="s">
        <v>40</v>
      </c>
      <c r="C457" s="1" t="s">
        <v>852</v>
      </c>
      <c r="D457" s="2" t="s">
        <v>196</v>
      </c>
      <c r="E457" s="2" t="str">
        <f t="shared" si="47"/>
        <v>2</v>
      </c>
      <c r="F457" s="2" t="s">
        <v>479</v>
      </c>
      <c r="G457" s="4" t="s">
        <v>1492</v>
      </c>
      <c r="H457" s="2">
        <f t="shared" si="48"/>
        <v>11</v>
      </c>
      <c r="I457" s="3" t="str">
        <f t="shared" si="45"/>
        <v>2.9.1.01.01</v>
      </c>
      <c r="J457" s="2" t="str">
        <f t="shared" si="46"/>
        <v>CREDITOS OPERACIONAIS</v>
      </c>
      <c r="K457" s="2" t="s">
        <v>440</v>
      </c>
      <c r="S457" s="6" t="b">
        <f>C457='Plano de Contas sem ponto'!C457</f>
        <v>1</v>
      </c>
    </row>
    <row r="458" spans="1:19" x14ac:dyDescent="0.2">
      <c r="A458" s="2" t="s">
        <v>854</v>
      </c>
      <c r="B458" s="2" t="s">
        <v>54</v>
      </c>
      <c r="C458" s="2" t="s">
        <v>447</v>
      </c>
      <c r="D458" s="2" t="s">
        <v>196</v>
      </c>
      <c r="E458" s="2" t="str">
        <f t="shared" si="47"/>
        <v>2</v>
      </c>
      <c r="F458" s="2" t="s">
        <v>479</v>
      </c>
      <c r="G458" s="4" t="s">
        <v>1492</v>
      </c>
      <c r="H458" s="2">
        <f t="shared" si="48"/>
        <v>16</v>
      </c>
      <c r="I458" s="3" t="str">
        <f t="shared" si="45"/>
        <v>-</v>
      </c>
      <c r="J458" s="2" t="str">
        <f t="shared" si="46"/>
        <v>CREDITOS OPERACIONAIS</v>
      </c>
      <c r="K458" s="2" t="s">
        <v>440</v>
      </c>
      <c r="S458" s="6" t="b">
        <f>C458='Plano de Contas sem ponto'!C458</f>
        <v>1</v>
      </c>
    </row>
    <row r="459" spans="1:19" x14ac:dyDescent="0.2">
      <c r="A459" s="1" t="s">
        <v>855</v>
      </c>
      <c r="B459" s="1" t="s">
        <v>40</v>
      </c>
      <c r="C459" s="1" t="s">
        <v>449</v>
      </c>
      <c r="D459" s="2" t="s">
        <v>196</v>
      </c>
      <c r="E459" s="2" t="str">
        <f t="shared" si="47"/>
        <v>2</v>
      </c>
      <c r="F459" s="2" t="s">
        <v>479</v>
      </c>
      <c r="G459" s="4" t="s">
        <v>1492</v>
      </c>
      <c r="H459" s="2">
        <f t="shared" si="48"/>
        <v>5</v>
      </c>
      <c r="I459" s="3" t="str">
        <f t="shared" si="45"/>
        <v>-</v>
      </c>
      <c r="J459" s="2" t="str">
        <f t="shared" si="46"/>
        <v>APOLICE DE SEGUROS</v>
      </c>
      <c r="K459" s="2" t="s">
        <v>440</v>
      </c>
      <c r="S459" s="6" t="b">
        <f>C459='Plano de Contas sem ponto'!C459</f>
        <v>1</v>
      </c>
    </row>
    <row r="460" spans="1:19" x14ac:dyDescent="0.2">
      <c r="A460" s="1" t="s">
        <v>856</v>
      </c>
      <c r="B460" s="1" t="s">
        <v>40</v>
      </c>
      <c r="C460" s="1" t="s">
        <v>451</v>
      </c>
      <c r="D460" s="2" t="s">
        <v>196</v>
      </c>
      <c r="E460" s="2" t="str">
        <f t="shared" si="47"/>
        <v>2</v>
      </c>
      <c r="F460" s="2" t="s">
        <v>479</v>
      </c>
      <c r="G460" s="4" t="s">
        <v>1492</v>
      </c>
      <c r="H460" s="2">
        <f t="shared" si="48"/>
        <v>8</v>
      </c>
      <c r="I460" s="3" t="str">
        <f t="shared" si="45"/>
        <v>-</v>
      </c>
      <c r="J460" s="2" t="str">
        <f t="shared" si="46"/>
        <v>MODALIDADES DE SEGUROS</v>
      </c>
      <c r="K460" s="2" t="s">
        <v>440</v>
      </c>
      <c r="S460" s="6" t="b">
        <f>C460='Plano de Contas sem ponto'!C460</f>
        <v>1</v>
      </c>
    </row>
    <row r="461" spans="1:19" x14ac:dyDescent="0.2">
      <c r="A461" s="1" t="s">
        <v>857</v>
      </c>
      <c r="B461" s="1" t="s">
        <v>40</v>
      </c>
      <c r="C461" s="1" t="s">
        <v>451</v>
      </c>
      <c r="D461" s="2" t="s">
        <v>196</v>
      </c>
      <c r="E461" s="2" t="str">
        <f t="shared" si="47"/>
        <v>2</v>
      </c>
      <c r="F461" s="2" t="s">
        <v>479</v>
      </c>
      <c r="G461" s="4" t="s">
        <v>1492</v>
      </c>
      <c r="H461" s="2">
        <f t="shared" si="48"/>
        <v>11</v>
      </c>
      <c r="I461" s="3" t="str">
        <f t="shared" si="45"/>
        <v>2.9.2.01.01</v>
      </c>
      <c r="J461" s="2" t="str">
        <f t="shared" si="46"/>
        <v>MODALIDADES DE SEGUROS</v>
      </c>
      <c r="K461" s="2" t="s">
        <v>440</v>
      </c>
      <c r="S461" s="6" t="b">
        <f>C461='Plano de Contas sem ponto'!C461</f>
        <v>1</v>
      </c>
    </row>
    <row r="462" spans="1:19" x14ac:dyDescent="0.2">
      <c r="A462" s="2" t="s">
        <v>858</v>
      </c>
      <c r="B462" s="2" t="s">
        <v>54</v>
      </c>
      <c r="C462" s="2" t="s">
        <v>454</v>
      </c>
      <c r="D462" s="2" t="s">
        <v>196</v>
      </c>
      <c r="E462" s="2" t="str">
        <f t="shared" si="47"/>
        <v>2</v>
      </c>
      <c r="F462" s="2" t="s">
        <v>479</v>
      </c>
      <c r="G462" s="4" t="s">
        <v>1492</v>
      </c>
      <c r="H462" s="2">
        <f t="shared" si="48"/>
        <v>16</v>
      </c>
      <c r="I462" s="3" t="str">
        <f t="shared" si="45"/>
        <v>-</v>
      </c>
      <c r="J462" s="2" t="str">
        <f t="shared" si="46"/>
        <v>MODALIDADES DE SEGUROS</v>
      </c>
      <c r="K462" s="2" t="s">
        <v>440</v>
      </c>
      <c r="S462" s="6" t="b">
        <f>C462='Plano de Contas sem ponto'!C462</f>
        <v>1</v>
      </c>
    </row>
    <row r="463" spans="1:19" x14ac:dyDescent="0.2">
      <c r="A463" s="2" t="s">
        <v>859</v>
      </c>
      <c r="B463" s="2" t="s">
        <v>54</v>
      </c>
      <c r="C463" s="2" t="s">
        <v>456</v>
      </c>
      <c r="D463" s="2" t="s">
        <v>196</v>
      </c>
      <c r="E463" s="2" t="str">
        <f t="shared" si="47"/>
        <v>2</v>
      </c>
      <c r="F463" s="2" t="s">
        <v>479</v>
      </c>
      <c r="G463" s="4" t="s">
        <v>1492</v>
      </c>
      <c r="H463" s="2">
        <f t="shared" si="48"/>
        <v>16</v>
      </c>
      <c r="I463" s="3" t="str">
        <f t="shared" ref="I463:I527" si="53">IF(H463=11,A463,"-")</f>
        <v>-</v>
      </c>
      <c r="J463" s="2" t="str">
        <f t="shared" ref="J463:J527" si="54">IF(H463&lt;11,C463,IF(I463&lt;&gt;"-",C463,J462))</f>
        <v>MODALIDADES DE SEGUROS</v>
      </c>
      <c r="K463" s="2" t="s">
        <v>440</v>
      </c>
      <c r="S463" s="6" t="b">
        <f>C463='Plano de Contas sem ponto'!C463</f>
        <v>1</v>
      </c>
    </row>
    <row r="464" spans="1:19" x14ac:dyDescent="0.2">
      <c r="A464" s="2" t="s">
        <v>860</v>
      </c>
      <c r="B464" s="2" t="s">
        <v>54</v>
      </c>
      <c r="C464" s="2" t="s">
        <v>458</v>
      </c>
      <c r="D464" s="2" t="s">
        <v>196</v>
      </c>
      <c r="E464" s="2" t="str">
        <f t="shared" ref="E464:E528" si="55">LEFT(A464,1)</f>
        <v>2</v>
      </c>
      <c r="F464" s="2" t="s">
        <v>479</v>
      </c>
      <c r="G464" s="4" t="s">
        <v>1492</v>
      </c>
      <c r="H464" s="2">
        <f t="shared" ref="H464:H528" si="56">LEN(A464)</f>
        <v>16</v>
      </c>
      <c r="I464" s="3" t="str">
        <f t="shared" si="53"/>
        <v>-</v>
      </c>
      <c r="J464" s="2" t="str">
        <f t="shared" si="54"/>
        <v>MODALIDADES DE SEGUROS</v>
      </c>
      <c r="K464" s="2" t="s">
        <v>440</v>
      </c>
      <c r="S464" s="6" t="b">
        <f>C464='Plano de Contas sem ponto'!C464</f>
        <v>1</v>
      </c>
    </row>
    <row r="465" spans="1:19" x14ac:dyDescent="0.2">
      <c r="A465" s="2" t="s">
        <v>861</v>
      </c>
      <c r="B465" s="2" t="s">
        <v>54</v>
      </c>
      <c r="C465" s="2" t="s">
        <v>460</v>
      </c>
      <c r="D465" s="2" t="s">
        <v>196</v>
      </c>
      <c r="E465" s="2" t="str">
        <f t="shared" si="55"/>
        <v>2</v>
      </c>
      <c r="F465" s="2" t="s">
        <v>479</v>
      </c>
      <c r="G465" s="4" t="s">
        <v>1492</v>
      </c>
      <c r="H465" s="2">
        <f t="shared" si="56"/>
        <v>16</v>
      </c>
      <c r="I465" s="3" t="str">
        <f t="shared" si="53"/>
        <v>-</v>
      </c>
      <c r="J465" s="2" t="str">
        <f t="shared" si="54"/>
        <v>MODALIDADES DE SEGUROS</v>
      </c>
      <c r="K465" s="2" t="s">
        <v>440</v>
      </c>
      <c r="S465" s="6" t="b">
        <f>C465='Plano de Contas sem ponto'!C465</f>
        <v>1</v>
      </c>
    </row>
    <row r="466" spans="1:19" x14ac:dyDescent="0.2">
      <c r="A466" s="2" t="s">
        <v>862</v>
      </c>
      <c r="B466" s="2" t="s">
        <v>54</v>
      </c>
      <c r="C466" s="2" t="s">
        <v>462</v>
      </c>
      <c r="D466" s="2" t="s">
        <v>196</v>
      </c>
      <c r="E466" s="2" t="str">
        <f t="shared" si="55"/>
        <v>2</v>
      </c>
      <c r="F466" s="2" t="s">
        <v>479</v>
      </c>
      <c r="G466" s="4" t="s">
        <v>1492</v>
      </c>
      <c r="H466" s="2">
        <f t="shared" si="56"/>
        <v>16</v>
      </c>
      <c r="I466" s="3" t="str">
        <f t="shared" si="53"/>
        <v>-</v>
      </c>
      <c r="J466" s="2" t="str">
        <f t="shared" si="54"/>
        <v>MODALIDADES DE SEGUROS</v>
      </c>
      <c r="K466" s="2" t="s">
        <v>440</v>
      </c>
      <c r="S466" s="6" t="b">
        <f>C466='Plano de Contas sem ponto'!C466</f>
        <v>1</v>
      </c>
    </row>
    <row r="467" spans="1:19" x14ac:dyDescent="0.2">
      <c r="A467" s="2" t="s">
        <v>863</v>
      </c>
      <c r="B467" s="2" t="s">
        <v>54</v>
      </c>
      <c r="C467" s="2" t="s">
        <v>464</v>
      </c>
      <c r="D467" s="2" t="s">
        <v>196</v>
      </c>
      <c r="E467" s="2" t="str">
        <f t="shared" si="55"/>
        <v>2</v>
      </c>
      <c r="F467" s="2" t="s">
        <v>479</v>
      </c>
      <c r="G467" s="4" t="s">
        <v>1492</v>
      </c>
      <c r="H467" s="2">
        <f t="shared" si="56"/>
        <v>16</v>
      </c>
      <c r="I467" s="3" t="str">
        <f t="shared" si="53"/>
        <v>-</v>
      </c>
      <c r="J467" s="2" t="str">
        <f t="shared" si="54"/>
        <v>MODALIDADES DE SEGUROS</v>
      </c>
      <c r="K467" s="2" t="s">
        <v>440</v>
      </c>
      <c r="S467" s="6" t="b">
        <f>C467='Plano de Contas sem ponto'!C467</f>
        <v>1</v>
      </c>
    </row>
    <row r="468" spans="1:19" x14ac:dyDescent="0.2">
      <c r="A468" s="2" t="s">
        <v>864</v>
      </c>
      <c r="B468" s="2" t="s">
        <v>54</v>
      </c>
      <c r="C468" s="2" t="s">
        <v>466</v>
      </c>
      <c r="D468" s="2" t="s">
        <v>196</v>
      </c>
      <c r="E468" s="2" t="str">
        <f t="shared" si="55"/>
        <v>2</v>
      </c>
      <c r="F468" s="2" t="s">
        <v>479</v>
      </c>
      <c r="G468" s="4" t="s">
        <v>1492</v>
      </c>
      <c r="H468" s="2">
        <f t="shared" si="56"/>
        <v>16</v>
      </c>
      <c r="I468" s="3" t="str">
        <f t="shared" si="53"/>
        <v>-</v>
      </c>
      <c r="J468" s="2" t="str">
        <f t="shared" si="54"/>
        <v>MODALIDADES DE SEGUROS</v>
      </c>
      <c r="K468" s="2" t="s">
        <v>440</v>
      </c>
      <c r="S468" s="6" t="b">
        <f>C468='Plano de Contas sem ponto'!C468</f>
        <v>1</v>
      </c>
    </row>
    <row r="469" spans="1:19" x14ac:dyDescent="0.2">
      <c r="A469" s="2" t="s">
        <v>865</v>
      </c>
      <c r="B469" s="2" t="s">
        <v>54</v>
      </c>
      <c r="C469" s="2" t="s">
        <v>866</v>
      </c>
      <c r="D469" s="2" t="s">
        <v>196</v>
      </c>
      <c r="E469" s="2" t="str">
        <f t="shared" si="55"/>
        <v>2</v>
      </c>
      <c r="F469" s="2" t="s">
        <v>479</v>
      </c>
      <c r="G469" s="4" t="s">
        <v>1492</v>
      </c>
      <c r="H469" s="2">
        <f t="shared" si="56"/>
        <v>16</v>
      </c>
      <c r="I469" s="3" t="str">
        <f t="shared" si="53"/>
        <v>-</v>
      </c>
      <c r="J469" s="2" t="str">
        <f t="shared" si="54"/>
        <v>MODALIDADES DE SEGUROS</v>
      </c>
      <c r="K469" s="2" t="s">
        <v>440</v>
      </c>
      <c r="S469" s="6" t="b">
        <f>C469='Plano de Contas sem ponto'!C469</f>
        <v>1</v>
      </c>
    </row>
    <row r="470" spans="1:19" x14ac:dyDescent="0.2">
      <c r="A470" s="2" t="s">
        <v>867</v>
      </c>
      <c r="B470" s="2" t="s">
        <v>54</v>
      </c>
      <c r="C470" s="2" t="s">
        <v>470</v>
      </c>
      <c r="D470" s="2" t="s">
        <v>196</v>
      </c>
      <c r="E470" s="2" t="str">
        <f t="shared" si="55"/>
        <v>2</v>
      </c>
      <c r="F470" s="2" t="s">
        <v>479</v>
      </c>
      <c r="G470" s="4" t="s">
        <v>1492</v>
      </c>
      <c r="H470" s="2">
        <f t="shared" si="56"/>
        <v>16</v>
      </c>
      <c r="I470" s="3" t="str">
        <f t="shared" si="53"/>
        <v>-</v>
      </c>
      <c r="J470" s="2" t="str">
        <f t="shared" si="54"/>
        <v>MODALIDADES DE SEGUROS</v>
      </c>
      <c r="K470" s="2" t="s">
        <v>440</v>
      </c>
      <c r="S470" s="6" t="b">
        <f>C470='Plano de Contas sem ponto'!C470</f>
        <v>1</v>
      </c>
    </row>
    <row r="471" spans="1:19" x14ac:dyDescent="0.2">
      <c r="A471" s="2" t="s">
        <v>868</v>
      </c>
      <c r="B471" s="2" t="s">
        <v>54</v>
      </c>
      <c r="C471" s="2" t="s">
        <v>472</v>
      </c>
      <c r="D471" s="2" t="s">
        <v>196</v>
      </c>
      <c r="E471" s="2" t="str">
        <f t="shared" si="55"/>
        <v>2</v>
      </c>
      <c r="F471" s="2" t="s">
        <v>479</v>
      </c>
      <c r="G471" s="4" t="s">
        <v>1492</v>
      </c>
      <c r="H471" s="2">
        <f t="shared" si="56"/>
        <v>16</v>
      </c>
      <c r="I471" s="3" t="str">
        <f t="shared" si="53"/>
        <v>-</v>
      </c>
      <c r="J471" s="2" t="str">
        <f t="shared" si="54"/>
        <v>MODALIDADES DE SEGUROS</v>
      </c>
      <c r="K471" s="2" t="s">
        <v>440</v>
      </c>
      <c r="S471" s="6" t="b">
        <f>C471='Plano de Contas sem ponto'!C471</f>
        <v>1</v>
      </c>
    </row>
    <row r="472" spans="1:19" x14ac:dyDescent="0.2">
      <c r="A472" s="2" t="s">
        <v>869</v>
      </c>
      <c r="B472" s="2" t="s">
        <v>54</v>
      </c>
      <c r="C472" s="2" t="s">
        <v>474</v>
      </c>
      <c r="D472" s="2" t="s">
        <v>196</v>
      </c>
      <c r="E472" s="2" t="str">
        <f t="shared" si="55"/>
        <v>2</v>
      </c>
      <c r="F472" s="2" t="s">
        <v>479</v>
      </c>
      <c r="G472" s="4" t="s">
        <v>1492</v>
      </c>
      <c r="H472" s="2">
        <f t="shared" si="56"/>
        <v>16</v>
      </c>
      <c r="I472" s="3" t="str">
        <f t="shared" si="53"/>
        <v>-</v>
      </c>
      <c r="J472" s="2" t="str">
        <f t="shared" si="54"/>
        <v>MODALIDADES DE SEGUROS</v>
      </c>
      <c r="K472" s="2" t="s">
        <v>440</v>
      </c>
      <c r="S472" s="6" t="b">
        <f>C472='Plano de Contas sem ponto'!C472</f>
        <v>1</v>
      </c>
    </row>
    <row r="473" spans="1:19" x14ac:dyDescent="0.2">
      <c r="A473" s="2" t="s">
        <v>870</v>
      </c>
      <c r="B473" s="2" t="s">
        <v>54</v>
      </c>
      <c r="C473" s="2" t="s">
        <v>476</v>
      </c>
      <c r="D473" s="2" t="s">
        <v>196</v>
      </c>
      <c r="E473" s="2" t="str">
        <f t="shared" si="55"/>
        <v>2</v>
      </c>
      <c r="F473" s="2" t="s">
        <v>479</v>
      </c>
      <c r="G473" s="4" t="s">
        <v>1492</v>
      </c>
      <c r="H473" s="2">
        <f t="shared" si="56"/>
        <v>16</v>
      </c>
      <c r="I473" s="3" t="str">
        <f t="shared" si="53"/>
        <v>-</v>
      </c>
      <c r="J473" s="2" t="str">
        <f t="shared" si="54"/>
        <v>MODALIDADES DE SEGUROS</v>
      </c>
      <c r="K473" s="2" t="s">
        <v>440</v>
      </c>
      <c r="S473" s="6" t="b">
        <f>C473='Plano de Contas sem ponto'!C473</f>
        <v>1</v>
      </c>
    </row>
    <row r="474" spans="1:19" x14ac:dyDescent="0.2">
      <c r="A474" s="1" t="s">
        <v>871</v>
      </c>
      <c r="B474" s="1" t="s">
        <v>40</v>
      </c>
      <c r="C474" s="1" t="s">
        <v>872</v>
      </c>
      <c r="D474" s="2" t="s">
        <v>196</v>
      </c>
      <c r="E474" s="2" t="str">
        <f t="shared" si="55"/>
        <v>3</v>
      </c>
      <c r="F474" s="2" t="s">
        <v>873</v>
      </c>
      <c r="G474" s="4" t="s">
        <v>1492</v>
      </c>
      <c r="H474" s="2">
        <f t="shared" si="56"/>
        <v>1</v>
      </c>
      <c r="I474" s="3" t="str">
        <f t="shared" si="53"/>
        <v>-</v>
      </c>
      <c r="J474" s="2" t="str">
        <f t="shared" si="54"/>
        <v>RESULTADO OPERACIONAL</v>
      </c>
      <c r="S474" s="6" t="b">
        <f>C474='Plano de Contas sem ponto'!C474</f>
        <v>1</v>
      </c>
    </row>
    <row r="475" spans="1:19" x14ac:dyDescent="0.2">
      <c r="A475" s="1" t="s">
        <v>874</v>
      </c>
      <c r="B475" s="1" t="s">
        <v>40</v>
      </c>
      <c r="C475" s="1" t="s">
        <v>875</v>
      </c>
      <c r="D475" s="2" t="s">
        <v>196</v>
      </c>
      <c r="E475" s="2" t="str">
        <f t="shared" si="55"/>
        <v>3</v>
      </c>
      <c r="F475" s="2" t="s">
        <v>873</v>
      </c>
      <c r="G475" s="4" t="s">
        <v>1492</v>
      </c>
      <c r="H475" s="2">
        <f t="shared" si="56"/>
        <v>3</v>
      </c>
      <c r="I475" s="3" t="str">
        <f t="shared" si="53"/>
        <v>-</v>
      </c>
      <c r="J475" s="2" t="str">
        <f t="shared" si="54"/>
        <v>RECEITAS</v>
      </c>
      <c r="K475" s="2" t="s">
        <v>876</v>
      </c>
      <c r="S475" s="6" t="b">
        <f>C475='Plano de Contas sem ponto'!C475</f>
        <v>1</v>
      </c>
    </row>
    <row r="476" spans="1:19" x14ac:dyDescent="0.2">
      <c r="A476" s="1" t="s">
        <v>877</v>
      </c>
      <c r="B476" s="1" t="s">
        <v>40</v>
      </c>
      <c r="C476" s="1" t="s">
        <v>878</v>
      </c>
      <c r="D476" s="2" t="s">
        <v>196</v>
      </c>
      <c r="E476" s="2" t="str">
        <f t="shared" si="55"/>
        <v>3</v>
      </c>
      <c r="F476" s="2" t="s">
        <v>873</v>
      </c>
      <c r="G476" s="4" t="s">
        <v>1492</v>
      </c>
      <c r="H476" s="2">
        <f t="shared" si="56"/>
        <v>5</v>
      </c>
      <c r="I476" s="3" t="str">
        <f t="shared" si="53"/>
        <v>-</v>
      </c>
      <c r="J476" s="2" t="str">
        <f t="shared" si="54"/>
        <v>RECEITAS OPERACIONAIS</v>
      </c>
      <c r="K476" s="2" t="s">
        <v>876</v>
      </c>
      <c r="S476" s="6" t="b">
        <f>C476='Plano de Contas sem ponto'!C476</f>
        <v>1</v>
      </c>
    </row>
    <row r="477" spans="1:19" x14ac:dyDescent="0.2">
      <c r="A477" s="1" t="s">
        <v>879</v>
      </c>
      <c r="B477" s="1" t="s">
        <v>40</v>
      </c>
      <c r="C477" s="1" t="s">
        <v>880</v>
      </c>
      <c r="D477" s="2" t="s">
        <v>196</v>
      </c>
      <c r="E477" s="2" t="str">
        <f t="shared" si="55"/>
        <v>3</v>
      </c>
      <c r="F477" s="2" t="s">
        <v>873</v>
      </c>
      <c r="G477" s="4" t="s">
        <v>1492</v>
      </c>
      <c r="H477" s="2">
        <f t="shared" si="56"/>
        <v>8</v>
      </c>
      <c r="I477" s="3" t="str">
        <f t="shared" si="53"/>
        <v>-</v>
      </c>
      <c r="J477" s="2" t="str">
        <f t="shared" si="54"/>
        <v>RECEITAS SINDICAIS</v>
      </c>
      <c r="K477" s="2" t="s">
        <v>876</v>
      </c>
      <c r="L477" s="6" t="s">
        <v>1574</v>
      </c>
      <c r="M477" s="6" t="s">
        <v>1577</v>
      </c>
      <c r="S477" s="6" t="b">
        <f>C477='Plano de Contas sem ponto'!C477</f>
        <v>1</v>
      </c>
    </row>
    <row r="478" spans="1:19" x14ac:dyDescent="0.2">
      <c r="A478" s="1" t="s">
        <v>881</v>
      </c>
      <c r="B478" s="1" t="s">
        <v>40</v>
      </c>
      <c r="C478" s="1" t="s">
        <v>880</v>
      </c>
      <c r="D478" s="2" t="s">
        <v>196</v>
      </c>
      <c r="E478" s="2" t="str">
        <f t="shared" si="55"/>
        <v>3</v>
      </c>
      <c r="F478" s="2" t="s">
        <v>873</v>
      </c>
      <c r="G478" s="4" t="s">
        <v>1492</v>
      </c>
      <c r="H478" s="2">
        <f t="shared" si="56"/>
        <v>11</v>
      </c>
      <c r="I478" s="3" t="str">
        <f t="shared" si="53"/>
        <v>3.1.1.01.01</v>
      </c>
      <c r="J478" s="2" t="str">
        <f t="shared" si="54"/>
        <v>RECEITAS SINDICAIS</v>
      </c>
      <c r="K478" s="2" t="s">
        <v>876</v>
      </c>
      <c r="L478" s="6" t="s">
        <v>1574</v>
      </c>
      <c r="M478" s="6" t="s">
        <v>1577</v>
      </c>
      <c r="S478" s="6" t="b">
        <f>C478='Plano de Contas sem ponto'!C478</f>
        <v>1</v>
      </c>
    </row>
    <row r="479" spans="1:19" x14ac:dyDescent="0.2">
      <c r="A479" s="2" t="s">
        <v>882</v>
      </c>
      <c r="B479" s="2" t="s">
        <v>54</v>
      </c>
      <c r="C479" s="2" t="s">
        <v>880</v>
      </c>
      <c r="D479" s="2" t="s">
        <v>196</v>
      </c>
      <c r="E479" s="2" t="str">
        <f t="shared" si="55"/>
        <v>3</v>
      </c>
      <c r="F479" s="2" t="s">
        <v>873</v>
      </c>
      <c r="G479" s="4" t="s">
        <v>1492</v>
      </c>
      <c r="H479" s="2">
        <f t="shared" si="56"/>
        <v>16</v>
      </c>
      <c r="I479" s="3" t="str">
        <f t="shared" si="53"/>
        <v>-</v>
      </c>
      <c r="J479" s="2" t="str">
        <f t="shared" si="54"/>
        <v>RECEITAS SINDICAIS</v>
      </c>
      <c r="K479" s="2" t="s">
        <v>876</v>
      </c>
      <c r="L479" s="6" t="s">
        <v>1574</v>
      </c>
      <c r="M479" s="6" t="s">
        <v>1577</v>
      </c>
      <c r="S479" s="6" t="b">
        <f>C479='Plano de Contas sem ponto'!C479</f>
        <v>1</v>
      </c>
    </row>
    <row r="480" spans="1:19" x14ac:dyDescent="0.2">
      <c r="A480" s="2" t="s">
        <v>883</v>
      </c>
      <c r="B480" s="2" t="s">
        <v>54</v>
      </c>
      <c r="C480" s="2" t="s">
        <v>884</v>
      </c>
      <c r="D480" s="2" t="s">
        <v>196</v>
      </c>
      <c r="E480" s="2" t="str">
        <f t="shared" si="55"/>
        <v>3</v>
      </c>
      <c r="F480" s="2" t="s">
        <v>873</v>
      </c>
      <c r="G480" s="4" t="s">
        <v>1492</v>
      </c>
      <c r="H480" s="2">
        <f t="shared" si="56"/>
        <v>16</v>
      </c>
      <c r="I480" s="3" t="str">
        <f t="shared" si="53"/>
        <v>-</v>
      </c>
      <c r="J480" s="2" t="str">
        <f t="shared" si="54"/>
        <v>RECEITAS SINDICAIS</v>
      </c>
      <c r="K480" s="2" t="s">
        <v>876</v>
      </c>
      <c r="L480" s="6" t="s">
        <v>1574</v>
      </c>
      <c r="M480" s="6" t="s">
        <v>1577</v>
      </c>
      <c r="S480" s="6" t="b">
        <f>C480='Plano de Contas sem ponto'!C480</f>
        <v>1</v>
      </c>
    </row>
    <row r="481" spans="1:19" x14ac:dyDescent="0.2">
      <c r="A481" s="1" t="s">
        <v>885</v>
      </c>
      <c r="B481" s="1" t="s">
        <v>40</v>
      </c>
      <c r="C481" s="1" t="s">
        <v>886</v>
      </c>
      <c r="D481" s="2" t="s">
        <v>196</v>
      </c>
      <c r="E481" s="2" t="str">
        <f t="shared" si="55"/>
        <v>3</v>
      </c>
      <c r="F481" s="2" t="s">
        <v>873</v>
      </c>
      <c r="G481" s="4" t="s">
        <v>1492</v>
      </c>
      <c r="H481" s="2">
        <f t="shared" si="56"/>
        <v>8</v>
      </c>
      <c r="I481" s="3" t="str">
        <f t="shared" si="53"/>
        <v>-</v>
      </c>
      <c r="J481" s="2" t="str">
        <f t="shared" si="54"/>
        <v>RECEITAS ADMINISTRATIVAS</v>
      </c>
      <c r="K481" s="2" t="s">
        <v>876</v>
      </c>
      <c r="L481" s="6" t="s">
        <v>1574</v>
      </c>
      <c r="M481" s="6" t="s">
        <v>1577</v>
      </c>
      <c r="S481" s="6" t="b">
        <f>C481='Plano de Contas sem ponto'!C481</f>
        <v>1</v>
      </c>
    </row>
    <row r="482" spans="1:19" x14ac:dyDescent="0.2">
      <c r="A482" s="1" t="s">
        <v>887</v>
      </c>
      <c r="B482" s="1" t="s">
        <v>40</v>
      </c>
      <c r="C482" s="1" t="s">
        <v>525</v>
      </c>
      <c r="D482" s="2" t="s">
        <v>196</v>
      </c>
      <c r="E482" s="2" t="str">
        <f t="shared" si="55"/>
        <v>3</v>
      </c>
      <c r="F482" s="2" t="s">
        <v>873</v>
      </c>
      <c r="G482" s="4" t="s">
        <v>1492</v>
      </c>
      <c r="H482" s="2">
        <f t="shared" si="56"/>
        <v>11</v>
      </c>
      <c r="I482" s="3" t="str">
        <f t="shared" si="53"/>
        <v>3.1.1.02.01</v>
      </c>
      <c r="J482" s="2" t="str">
        <f t="shared" si="54"/>
        <v>CONTRIBUICOES</v>
      </c>
      <c r="K482" s="2" t="s">
        <v>876</v>
      </c>
      <c r="L482" s="6" t="s">
        <v>1574</v>
      </c>
      <c r="M482" s="6" t="s">
        <v>1577</v>
      </c>
      <c r="S482" s="6" t="b">
        <f>C482='Plano de Contas sem ponto'!C482</f>
        <v>1</v>
      </c>
    </row>
    <row r="483" spans="1:19" x14ac:dyDescent="0.2">
      <c r="A483" s="2" t="s">
        <v>888</v>
      </c>
      <c r="B483" s="2" t="s">
        <v>54</v>
      </c>
      <c r="C483" s="2" t="s">
        <v>889</v>
      </c>
      <c r="D483" s="2" t="s">
        <v>196</v>
      </c>
      <c r="E483" s="2" t="str">
        <f t="shared" si="55"/>
        <v>3</v>
      </c>
      <c r="F483" s="2" t="s">
        <v>873</v>
      </c>
      <c r="G483" s="4" t="s">
        <v>1492</v>
      </c>
      <c r="H483" s="2">
        <f t="shared" si="56"/>
        <v>16</v>
      </c>
      <c r="I483" s="3" t="str">
        <f t="shared" si="53"/>
        <v>-</v>
      </c>
      <c r="J483" s="2" t="str">
        <f t="shared" si="54"/>
        <v>CONTRIBUICOES</v>
      </c>
      <c r="K483" s="2" t="s">
        <v>876</v>
      </c>
      <c r="L483" s="6" t="s">
        <v>1574</v>
      </c>
      <c r="M483" s="6" t="s">
        <v>1577</v>
      </c>
      <c r="S483" s="6" t="b">
        <f>C483='Plano de Contas sem ponto'!C483</f>
        <v>1</v>
      </c>
    </row>
    <row r="484" spans="1:19" x14ac:dyDescent="0.2">
      <c r="A484" s="2" t="s">
        <v>890</v>
      </c>
      <c r="B484" s="2" t="s">
        <v>54</v>
      </c>
      <c r="C484" s="2" t="s">
        <v>891</v>
      </c>
      <c r="D484" s="2" t="s">
        <v>196</v>
      </c>
      <c r="E484" s="2" t="str">
        <f t="shared" si="55"/>
        <v>3</v>
      </c>
      <c r="F484" s="2" t="s">
        <v>873</v>
      </c>
      <c r="G484" s="4" t="s">
        <v>1492</v>
      </c>
      <c r="H484" s="2">
        <f t="shared" si="56"/>
        <v>16</v>
      </c>
      <c r="I484" s="3" t="str">
        <f t="shared" si="53"/>
        <v>-</v>
      </c>
      <c r="J484" s="2" t="str">
        <f t="shared" si="54"/>
        <v>CONTRIBUICOES</v>
      </c>
      <c r="K484" s="2" t="s">
        <v>876</v>
      </c>
      <c r="L484" s="6" t="s">
        <v>1574</v>
      </c>
      <c r="M484" s="6" t="s">
        <v>1577</v>
      </c>
      <c r="S484" s="6" t="b">
        <f>C484='Plano de Contas sem ponto'!C484</f>
        <v>1</v>
      </c>
    </row>
    <row r="485" spans="1:19" x14ac:dyDescent="0.2">
      <c r="A485" s="1" t="s">
        <v>892</v>
      </c>
      <c r="B485" s="1" t="s">
        <v>40</v>
      </c>
      <c r="C485" s="1" t="s">
        <v>893</v>
      </c>
      <c r="D485" s="2" t="s">
        <v>196</v>
      </c>
      <c r="E485" s="2" t="str">
        <f t="shared" si="55"/>
        <v>3</v>
      </c>
      <c r="F485" s="2" t="s">
        <v>873</v>
      </c>
      <c r="G485" s="4" t="s">
        <v>1492</v>
      </c>
      <c r="H485" s="2">
        <f t="shared" si="56"/>
        <v>8</v>
      </c>
      <c r="I485" s="3" t="str">
        <f t="shared" si="53"/>
        <v>-</v>
      </c>
      <c r="J485" s="2" t="str">
        <f t="shared" si="54"/>
        <v>CONSULTAS / REGISTROS</v>
      </c>
      <c r="K485" s="2" t="s">
        <v>876</v>
      </c>
      <c r="L485" s="10" t="s">
        <v>1579</v>
      </c>
      <c r="M485" s="10" t="s">
        <v>1579</v>
      </c>
      <c r="S485" s="6" t="b">
        <f>C485='Plano de Contas sem ponto'!C485</f>
        <v>1</v>
      </c>
    </row>
    <row r="486" spans="1:19" x14ac:dyDescent="0.2">
      <c r="A486" s="1" t="s">
        <v>894</v>
      </c>
      <c r="B486" s="1" t="s">
        <v>40</v>
      </c>
      <c r="C486" s="1" t="s">
        <v>893</v>
      </c>
      <c r="D486" s="2" t="s">
        <v>196</v>
      </c>
      <c r="E486" s="2" t="str">
        <f t="shared" si="55"/>
        <v>3</v>
      </c>
      <c r="F486" s="2" t="s">
        <v>873</v>
      </c>
      <c r="G486" s="4" t="s">
        <v>1492</v>
      </c>
      <c r="H486" s="2">
        <f t="shared" si="56"/>
        <v>11</v>
      </c>
      <c r="I486" s="3" t="str">
        <f t="shared" si="53"/>
        <v>3.1.1.03.01</v>
      </c>
      <c r="J486" s="2" t="str">
        <f t="shared" si="54"/>
        <v>CONSULTAS / REGISTROS</v>
      </c>
      <c r="K486" s="2" t="s">
        <v>876</v>
      </c>
      <c r="L486" s="10" t="s">
        <v>1579</v>
      </c>
      <c r="M486" s="10" t="s">
        <v>1579</v>
      </c>
      <c r="S486" s="6" t="b">
        <f>C486='Plano de Contas sem ponto'!C486</f>
        <v>1</v>
      </c>
    </row>
    <row r="487" spans="1:19" x14ac:dyDescent="0.2">
      <c r="A487" s="2" t="s">
        <v>895</v>
      </c>
      <c r="B487" s="2" t="s">
        <v>54</v>
      </c>
      <c r="C487" s="2" t="s">
        <v>896</v>
      </c>
      <c r="D487" s="2" t="s">
        <v>196</v>
      </c>
      <c r="E487" s="2" t="str">
        <f t="shared" si="55"/>
        <v>3</v>
      </c>
      <c r="F487" s="2" t="s">
        <v>873</v>
      </c>
      <c r="G487" s="4" t="s">
        <v>1492</v>
      </c>
      <c r="H487" s="2">
        <f t="shared" si="56"/>
        <v>16</v>
      </c>
      <c r="I487" s="3" t="str">
        <f t="shared" si="53"/>
        <v>-</v>
      </c>
      <c r="J487" s="2" t="str">
        <f t="shared" si="54"/>
        <v>CONSULTAS / REGISTROS</v>
      </c>
      <c r="K487" s="2" t="s">
        <v>876</v>
      </c>
      <c r="L487" s="10" t="s">
        <v>1579</v>
      </c>
      <c r="M487" s="10" t="s">
        <v>1579</v>
      </c>
      <c r="S487" s="6" t="b">
        <f>C487='Plano de Contas sem ponto'!C487</f>
        <v>1</v>
      </c>
    </row>
    <row r="488" spans="1:19" x14ac:dyDescent="0.2">
      <c r="A488" s="1" t="s">
        <v>897</v>
      </c>
      <c r="B488" s="1" t="s">
        <v>40</v>
      </c>
      <c r="C488" s="1" t="s">
        <v>898</v>
      </c>
      <c r="D488" s="2" t="s">
        <v>196</v>
      </c>
      <c r="E488" s="2" t="str">
        <f t="shared" si="55"/>
        <v>3</v>
      </c>
      <c r="F488" s="2" t="s">
        <v>873</v>
      </c>
      <c r="G488" s="4" t="s">
        <v>1492</v>
      </c>
      <c r="H488" s="2">
        <f t="shared" si="56"/>
        <v>8</v>
      </c>
      <c r="I488" s="3" t="str">
        <f t="shared" si="53"/>
        <v>-</v>
      </c>
      <c r="J488" s="2" t="str">
        <f t="shared" si="54"/>
        <v>EVENTOS</v>
      </c>
      <c r="K488" s="2" t="s">
        <v>876</v>
      </c>
      <c r="L488" s="6" t="s">
        <v>1574</v>
      </c>
      <c r="M488" s="6" t="s">
        <v>1575</v>
      </c>
      <c r="S488" s="6" t="b">
        <f>C488='Plano de Contas sem ponto'!C488</f>
        <v>1</v>
      </c>
    </row>
    <row r="489" spans="1:19" x14ac:dyDescent="0.2">
      <c r="A489" s="1" t="s">
        <v>899</v>
      </c>
      <c r="B489" s="1" t="s">
        <v>40</v>
      </c>
      <c r="C489" s="1" t="s">
        <v>898</v>
      </c>
      <c r="D489" s="2" t="s">
        <v>196</v>
      </c>
      <c r="E489" s="2" t="str">
        <f t="shared" si="55"/>
        <v>3</v>
      </c>
      <c r="F489" s="2" t="s">
        <v>873</v>
      </c>
      <c r="G489" s="4" t="s">
        <v>1492</v>
      </c>
      <c r="H489" s="2">
        <f t="shared" si="56"/>
        <v>11</v>
      </c>
      <c r="I489" s="3" t="str">
        <f t="shared" si="53"/>
        <v>3.1.1.06.01</v>
      </c>
      <c r="J489" s="2" t="str">
        <f t="shared" si="54"/>
        <v>EVENTOS</v>
      </c>
      <c r="K489" s="2" t="s">
        <v>876</v>
      </c>
      <c r="L489" s="6" t="s">
        <v>1574</v>
      </c>
      <c r="M489" s="6" t="s">
        <v>1575</v>
      </c>
      <c r="S489" s="6" t="b">
        <f>C489='Plano de Contas sem ponto'!C489</f>
        <v>1</v>
      </c>
    </row>
    <row r="490" spans="1:19" x14ac:dyDescent="0.2">
      <c r="A490" s="2" t="s">
        <v>900</v>
      </c>
      <c r="B490" s="2" t="s">
        <v>54</v>
      </c>
      <c r="C490" s="2" t="s">
        <v>901</v>
      </c>
      <c r="D490" s="2" t="s">
        <v>196</v>
      </c>
      <c r="E490" s="2" t="str">
        <f t="shared" si="55"/>
        <v>3</v>
      </c>
      <c r="F490" s="2" t="s">
        <v>873</v>
      </c>
      <c r="G490" s="4" t="s">
        <v>1492</v>
      </c>
      <c r="H490" s="2">
        <f t="shared" si="56"/>
        <v>16</v>
      </c>
      <c r="I490" s="3" t="str">
        <f t="shared" si="53"/>
        <v>-</v>
      </c>
      <c r="J490" s="2" t="str">
        <f t="shared" si="54"/>
        <v>EVENTOS</v>
      </c>
      <c r="K490" s="6" t="s">
        <v>1015</v>
      </c>
      <c r="L490" s="6" t="s">
        <v>1575</v>
      </c>
      <c r="M490" s="6" t="s">
        <v>1575</v>
      </c>
      <c r="S490" s="6" t="b">
        <f>C490='Plano de Contas sem ponto'!C490</f>
        <v>1</v>
      </c>
    </row>
    <row r="491" spans="1:19" x14ac:dyDescent="0.2">
      <c r="A491" s="2" t="s">
        <v>902</v>
      </c>
      <c r="B491" s="2" t="s">
        <v>54</v>
      </c>
      <c r="C491" s="2" t="s">
        <v>903</v>
      </c>
      <c r="D491" s="2" t="s">
        <v>196</v>
      </c>
      <c r="E491" s="2" t="str">
        <f t="shared" si="55"/>
        <v>3</v>
      </c>
      <c r="F491" s="2" t="s">
        <v>873</v>
      </c>
      <c r="G491" s="4" t="s">
        <v>1492</v>
      </c>
      <c r="H491" s="2">
        <f t="shared" si="56"/>
        <v>16</v>
      </c>
      <c r="I491" s="3" t="str">
        <f t="shared" si="53"/>
        <v>-</v>
      </c>
      <c r="J491" s="2" t="str">
        <f t="shared" si="54"/>
        <v>EVENTOS</v>
      </c>
      <c r="K491" s="13" t="s">
        <v>1015</v>
      </c>
      <c r="L491" s="6" t="s">
        <v>1575</v>
      </c>
      <c r="M491" s="14" t="s">
        <v>1611</v>
      </c>
      <c r="S491" s="6" t="b">
        <f>C491='Plano de Contas sem ponto'!C491</f>
        <v>1</v>
      </c>
    </row>
    <row r="492" spans="1:19" x14ac:dyDescent="0.2">
      <c r="A492" s="2" t="s">
        <v>904</v>
      </c>
      <c r="B492" s="2" t="s">
        <v>54</v>
      </c>
      <c r="C492" s="2" t="s">
        <v>905</v>
      </c>
      <c r="D492" s="2" t="s">
        <v>196</v>
      </c>
      <c r="E492" s="2" t="str">
        <f t="shared" si="55"/>
        <v>3</v>
      </c>
      <c r="F492" s="2" t="s">
        <v>873</v>
      </c>
      <c r="G492" s="4" t="s">
        <v>1492</v>
      </c>
      <c r="H492" s="2">
        <f t="shared" si="56"/>
        <v>16</v>
      </c>
      <c r="I492" s="3" t="str">
        <f t="shared" si="53"/>
        <v>-</v>
      </c>
      <c r="J492" s="2" t="str">
        <f t="shared" si="54"/>
        <v>EVENTOS</v>
      </c>
      <c r="K492" s="13" t="s">
        <v>1015</v>
      </c>
      <c r="L492" s="6" t="s">
        <v>1575</v>
      </c>
      <c r="M492" s="14" t="s">
        <v>1611</v>
      </c>
      <c r="S492" s="6" t="b">
        <f>C492='Plano de Contas sem ponto'!C492</f>
        <v>1</v>
      </c>
    </row>
    <row r="493" spans="1:19" s="45" customFormat="1" x14ac:dyDescent="0.2">
      <c r="A493" s="42" t="s">
        <v>2896</v>
      </c>
      <c r="B493" s="42" t="s">
        <v>54</v>
      </c>
      <c r="C493" s="42" t="s">
        <v>2897</v>
      </c>
      <c r="D493" s="42" t="s">
        <v>196</v>
      </c>
      <c r="E493" s="42" t="str">
        <f t="shared" ref="E493" si="57">LEFT(A493,1)</f>
        <v>3</v>
      </c>
      <c r="F493" s="42" t="s">
        <v>873</v>
      </c>
      <c r="G493" s="43" t="s">
        <v>1492</v>
      </c>
      <c r="H493" s="42">
        <f t="shared" ref="H493" si="58">LEN(A493)</f>
        <v>16</v>
      </c>
      <c r="I493" s="44" t="str">
        <f t="shared" ref="I493" si="59">IF(H493=11,A493,"-")</f>
        <v>-</v>
      </c>
      <c r="J493" s="42" t="str">
        <f t="shared" ref="J493" si="60">IF(H493&lt;11,C493,IF(I493&lt;&gt;"-",C493,J492))</f>
        <v>EVENTOS</v>
      </c>
      <c r="K493" s="42" t="s">
        <v>1015</v>
      </c>
      <c r="L493" s="45" t="s">
        <v>1575</v>
      </c>
      <c r="M493" s="45" t="s">
        <v>1611</v>
      </c>
      <c r="S493" s="45" t="b">
        <f>C493='Plano de Contas sem ponto'!C493</f>
        <v>1</v>
      </c>
    </row>
    <row r="494" spans="1:19" x14ac:dyDescent="0.2">
      <c r="A494" s="1" t="s">
        <v>906</v>
      </c>
      <c r="B494" s="1" t="s">
        <v>40</v>
      </c>
      <c r="C494" s="1" t="s">
        <v>907</v>
      </c>
      <c r="D494" s="2" t="s">
        <v>196</v>
      </c>
      <c r="E494" s="2" t="str">
        <f t="shared" si="55"/>
        <v>3</v>
      </c>
      <c r="F494" s="2" t="s">
        <v>873</v>
      </c>
      <c r="G494" s="4" t="s">
        <v>1492</v>
      </c>
      <c r="H494" s="2">
        <f t="shared" si="56"/>
        <v>8</v>
      </c>
      <c r="I494" s="3" t="str">
        <f t="shared" si="53"/>
        <v>-</v>
      </c>
      <c r="J494" s="2" t="str">
        <f>IF(H494&lt;11,C494,IF(I494&lt;&gt;"-",C494,J492))</f>
        <v>PUBLICIDADE</v>
      </c>
      <c r="K494" s="2" t="s">
        <v>876</v>
      </c>
      <c r="L494" s="6" t="s">
        <v>1574</v>
      </c>
      <c r="M494" s="6" t="s">
        <v>1728</v>
      </c>
      <c r="S494" s="6" t="b">
        <f>C494='Plano de Contas sem ponto'!C494</f>
        <v>1</v>
      </c>
    </row>
    <row r="495" spans="1:19" x14ac:dyDescent="0.2">
      <c r="A495" s="1" t="s">
        <v>908</v>
      </c>
      <c r="B495" s="1" t="s">
        <v>40</v>
      </c>
      <c r="C495" s="1" t="s">
        <v>909</v>
      </c>
      <c r="D495" s="2" t="s">
        <v>196</v>
      </c>
      <c r="E495" s="2" t="str">
        <f t="shared" si="55"/>
        <v>3</v>
      </c>
      <c r="F495" s="2" t="s">
        <v>873</v>
      </c>
      <c r="G495" s="4" t="s">
        <v>1492</v>
      </c>
      <c r="H495" s="2">
        <f t="shared" si="56"/>
        <v>11</v>
      </c>
      <c r="I495" s="3" t="str">
        <f t="shared" si="53"/>
        <v>3.1.1.07.01</v>
      </c>
      <c r="J495" s="2" t="str">
        <f t="shared" si="54"/>
        <v>ESPACO NA REVISTA</v>
      </c>
      <c r="K495" s="2" t="s">
        <v>876</v>
      </c>
      <c r="L495" s="6" t="s">
        <v>1574</v>
      </c>
      <c r="M495" s="6" t="s">
        <v>1728</v>
      </c>
      <c r="S495" s="6" t="b">
        <f>C495='Plano de Contas sem ponto'!C495</f>
        <v>1</v>
      </c>
    </row>
    <row r="496" spans="1:19" x14ac:dyDescent="0.2">
      <c r="A496" s="2" t="s">
        <v>910</v>
      </c>
      <c r="B496" s="2" t="s">
        <v>54</v>
      </c>
      <c r="C496" s="2" t="s">
        <v>911</v>
      </c>
      <c r="D496" s="2" t="s">
        <v>196</v>
      </c>
      <c r="E496" s="2" t="str">
        <f t="shared" si="55"/>
        <v>3</v>
      </c>
      <c r="F496" s="2" t="s">
        <v>873</v>
      </c>
      <c r="G496" s="4" t="s">
        <v>1492</v>
      </c>
      <c r="H496" s="2">
        <f t="shared" si="56"/>
        <v>16</v>
      </c>
      <c r="I496" s="3" t="str">
        <f t="shared" si="53"/>
        <v>-</v>
      </c>
      <c r="J496" s="2" t="str">
        <f t="shared" si="54"/>
        <v>ESPACO NA REVISTA</v>
      </c>
      <c r="K496" s="2" t="s">
        <v>876</v>
      </c>
      <c r="L496" s="6" t="s">
        <v>1574</v>
      </c>
      <c r="M496" s="6" t="s">
        <v>1728</v>
      </c>
      <c r="S496" s="6" t="b">
        <f>C496='Plano de Contas sem ponto'!C496</f>
        <v>1</v>
      </c>
    </row>
    <row r="497" spans="1:19" x14ac:dyDescent="0.2">
      <c r="A497" s="1" t="s">
        <v>912</v>
      </c>
      <c r="B497" s="1" t="s">
        <v>40</v>
      </c>
      <c r="C497" s="1" t="s">
        <v>913</v>
      </c>
      <c r="D497" s="2" t="s">
        <v>196</v>
      </c>
      <c r="E497" s="2" t="str">
        <f t="shared" si="55"/>
        <v>3</v>
      </c>
      <c r="F497" s="2" t="s">
        <v>873</v>
      </c>
      <c r="G497" s="4" t="s">
        <v>1492</v>
      </c>
      <c r="H497" s="2">
        <f t="shared" si="56"/>
        <v>8</v>
      </c>
      <c r="I497" s="3" t="str">
        <f t="shared" si="53"/>
        <v>-</v>
      </c>
      <c r="J497" s="2" t="str">
        <f t="shared" si="54"/>
        <v>OUTRAS RECEITAS</v>
      </c>
      <c r="K497" s="2" t="s">
        <v>876</v>
      </c>
      <c r="L497" s="6" t="s">
        <v>1574</v>
      </c>
      <c r="S497" s="6" t="b">
        <f>C497='Plano de Contas sem ponto'!C497</f>
        <v>1</v>
      </c>
    </row>
    <row r="498" spans="1:19" x14ac:dyDescent="0.2">
      <c r="A498" s="1" t="s">
        <v>914</v>
      </c>
      <c r="B498" s="1" t="s">
        <v>40</v>
      </c>
      <c r="C498" s="1" t="s">
        <v>913</v>
      </c>
      <c r="D498" s="2" t="s">
        <v>196</v>
      </c>
      <c r="E498" s="2" t="str">
        <f t="shared" si="55"/>
        <v>3</v>
      </c>
      <c r="F498" s="2" t="s">
        <v>873</v>
      </c>
      <c r="G498" s="4" t="s">
        <v>1492</v>
      </c>
      <c r="H498" s="2">
        <f t="shared" si="56"/>
        <v>11</v>
      </c>
      <c r="I498" s="3" t="str">
        <f t="shared" si="53"/>
        <v>3.1.1.08.01</v>
      </c>
      <c r="J498" s="2" t="str">
        <f t="shared" si="54"/>
        <v>OUTRAS RECEITAS</v>
      </c>
      <c r="K498" s="2" t="s">
        <v>876</v>
      </c>
      <c r="L498" s="6" t="s">
        <v>1574</v>
      </c>
      <c r="S498" s="6" t="b">
        <f>C498='Plano de Contas sem ponto'!C498</f>
        <v>1</v>
      </c>
    </row>
    <row r="499" spans="1:19" x14ac:dyDescent="0.2">
      <c r="A499" s="2" t="s">
        <v>915</v>
      </c>
      <c r="B499" s="2" t="s">
        <v>54</v>
      </c>
      <c r="C499" s="2" t="s">
        <v>916</v>
      </c>
      <c r="D499" s="2" t="s">
        <v>196</v>
      </c>
      <c r="E499" s="2" t="str">
        <f t="shared" si="55"/>
        <v>3</v>
      </c>
      <c r="F499" s="2" t="s">
        <v>873</v>
      </c>
      <c r="G499" s="4" t="s">
        <v>1492</v>
      </c>
      <c r="H499" s="2">
        <f t="shared" si="56"/>
        <v>16</v>
      </c>
      <c r="I499" s="3" t="str">
        <f t="shared" si="53"/>
        <v>-</v>
      </c>
      <c r="J499" s="2" t="str">
        <f t="shared" si="54"/>
        <v>OUTRAS RECEITAS</v>
      </c>
      <c r="K499" s="2" t="s">
        <v>876</v>
      </c>
      <c r="L499" s="6" t="s">
        <v>1574</v>
      </c>
      <c r="M499" s="10" t="s">
        <v>1574</v>
      </c>
      <c r="S499" s="6" t="b">
        <f>C499='Plano de Contas sem ponto'!C499</f>
        <v>1</v>
      </c>
    </row>
    <row r="500" spans="1:19" x14ac:dyDescent="0.2">
      <c r="A500" s="2" t="s">
        <v>917</v>
      </c>
      <c r="B500" s="2" t="s">
        <v>54</v>
      </c>
      <c r="C500" s="2" t="s">
        <v>918</v>
      </c>
      <c r="D500" s="2" t="s">
        <v>196</v>
      </c>
      <c r="E500" s="2" t="str">
        <f t="shared" si="55"/>
        <v>3</v>
      </c>
      <c r="F500" s="2" t="s">
        <v>873</v>
      </c>
      <c r="G500" s="4" t="s">
        <v>1492</v>
      </c>
      <c r="H500" s="2">
        <f t="shared" si="56"/>
        <v>16</v>
      </c>
      <c r="I500" s="3" t="str">
        <f t="shared" si="53"/>
        <v>-</v>
      </c>
      <c r="J500" s="2" t="str">
        <f t="shared" si="54"/>
        <v>OUTRAS RECEITAS</v>
      </c>
      <c r="K500" s="2" t="s">
        <v>876</v>
      </c>
      <c r="L500" s="6" t="s">
        <v>1574</v>
      </c>
      <c r="M500" s="10" t="s">
        <v>1578</v>
      </c>
      <c r="S500" s="6" t="b">
        <f>C500='Plano de Contas sem ponto'!C500</f>
        <v>1</v>
      </c>
    </row>
    <row r="501" spans="1:19" x14ac:dyDescent="0.2">
      <c r="A501" s="2" t="s">
        <v>919</v>
      </c>
      <c r="B501" s="2" t="s">
        <v>54</v>
      </c>
      <c r="C501" s="2" t="s">
        <v>920</v>
      </c>
      <c r="D501" s="2" t="s">
        <v>196</v>
      </c>
      <c r="E501" s="2" t="str">
        <f t="shared" si="55"/>
        <v>3</v>
      </c>
      <c r="F501" s="2" t="s">
        <v>873</v>
      </c>
      <c r="G501" s="4" t="s">
        <v>1492</v>
      </c>
      <c r="H501" s="2">
        <f t="shared" si="56"/>
        <v>16</v>
      </c>
      <c r="I501" s="3" t="str">
        <f t="shared" si="53"/>
        <v>-</v>
      </c>
      <c r="J501" s="2" t="str">
        <f t="shared" si="54"/>
        <v>OUTRAS RECEITAS</v>
      </c>
      <c r="K501" s="2" t="s">
        <v>876</v>
      </c>
      <c r="L501" s="6" t="s">
        <v>1574</v>
      </c>
      <c r="M501" s="10" t="s">
        <v>1574</v>
      </c>
      <c r="S501" s="6" t="b">
        <f>C501='Plano de Contas sem ponto'!C501</f>
        <v>1</v>
      </c>
    </row>
    <row r="502" spans="1:19" x14ac:dyDescent="0.2">
      <c r="A502" s="2" t="s">
        <v>921</v>
      </c>
      <c r="B502" s="2" t="s">
        <v>54</v>
      </c>
      <c r="C502" s="2" t="s">
        <v>922</v>
      </c>
      <c r="D502" s="2" t="s">
        <v>196</v>
      </c>
      <c r="E502" s="2" t="str">
        <f t="shared" si="55"/>
        <v>3</v>
      </c>
      <c r="F502" s="2" t="s">
        <v>873</v>
      </c>
      <c r="G502" s="4" t="s">
        <v>1492</v>
      </c>
      <c r="H502" s="2">
        <f t="shared" si="56"/>
        <v>16</v>
      </c>
      <c r="I502" s="3" t="str">
        <f t="shared" si="53"/>
        <v>-</v>
      </c>
      <c r="J502" s="2" t="str">
        <f t="shared" si="54"/>
        <v>OUTRAS RECEITAS</v>
      </c>
      <c r="K502" s="2" t="s">
        <v>876</v>
      </c>
      <c r="L502" s="6" t="s">
        <v>1574</v>
      </c>
      <c r="M502" s="10" t="s">
        <v>1574</v>
      </c>
      <c r="S502" s="6" t="b">
        <f>C502='Plano de Contas sem ponto'!C502</f>
        <v>1</v>
      </c>
    </row>
    <row r="503" spans="1:19" x14ac:dyDescent="0.2">
      <c r="A503" s="2" t="s">
        <v>923</v>
      </c>
      <c r="B503" s="2" t="s">
        <v>54</v>
      </c>
      <c r="C503" s="2" t="s">
        <v>913</v>
      </c>
      <c r="D503" s="2" t="s">
        <v>196</v>
      </c>
      <c r="E503" s="2" t="str">
        <f t="shared" si="55"/>
        <v>3</v>
      </c>
      <c r="F503" s="2" t="s">
        <v>873</v>
      </c>
      <c r="G503" s="4" t="s">
        <v>1492</v>
      </c>
      <c r="H503" s="2">
        <f t="shared" si="56"/>
        <v>16</v>
      </c>
      <c r="I503" s="3" t="str">
        <f t="shared" si="53"/>
        <v>-</v>
      </c>
      <c r="J503" s="2" t="str">
        <f t="shared" si="54"/>
        <v>OUTRAS RECEITAS</v>
      </c>
      <c r="K503" s="2" t="s">
        <v>876</v>
      </c>
      <c r="L503" s="6" t="s">
        <v>1574</v>
      </c>
      <c r="M503" s="10" t="s">
        <v>1574</v>
      </c>
      <c r="S503" s="6" t="b">
        <f>C503='Plano de Contas sem ponto'!C503</f>
        <v>1</v>
      </c>
    </row>
    <row r="504" spans="1:19" x14ac:dyDescent="0.2">
      <c r="A504" s="1" t="s">
        <v>924</v>
      </c>
      <c r="B504" s="1" t="s">
        <v>40</v>
      </c>
      <c r="C504" s="1" t="s">
        <v>925</v>
      </c>
      <c r="D504" s="2" t="s">
        <v>196</v>
      </c>
      <c r="E504" s="2" t="str">
        <f t="shared" si="55"/>
        <v>3</v>
      </c>
      <c r="F504" s="2" t="s">
        <v>873</v>
      </c>
      <c r="G504" s="4" t="s">
        <v>1492</v>
      </c>
      <c r="H504" s="2">
        <f t="shared" si="56"/>
        <v>8</v>
      </c>
      <c r="I504" s="3" t="str">
        <f t="shared" si="53"/>
        <v>-</v>
      </c>
      <c r="J504" s="2" t="str">
        <f t="shared" si="54"/>
        <v>PARTICIPACAO EM OUTRAS SOCIEDADES</v>
      </c>
      <c r="K504" s="2" t="s">
        <v>926</v>
      </c>
      <c r="S504" s="6" t="b">
        <f>C504='Plano de Contas sem ponto'!C504</f>
        <v>1</v>
      </c>
    </row>
    <row r="505" spans="1:19" x14ac:dyDescent="0.2">
      <c r="A505" s="1" t="s">
        <v>927</v>
      </c>
      <c r="B505" s="1" t="s">
        <v>40</v>
      </c>
      <c r="C505" s="1" t="s">
        <v>925</v>
      </c>
      <c r="D505" s="2" t="s">
        <v>196</v>
      </c>
      <c r="E505" s="2" t="str">
        <f t="shared" si="55"/>
        <v>3</v>
      </c>
      <c r="F505" s="2" t="s">
        <v>873</v>
      </c>
      <c r="G505" s="4" t="s">
        <v>1492</v>
      </c>
      <c r="H505" s="2">
        <f t="shared" si="56"/>
        <v>11</v>
      </c>
      <c r="I505" s="3" t="str">
        <f t="shared" si="53"/>
        <v>3.1.1.09.01</v>
      </c>
      <c r="J505" s="2" t="str">
        <f t="shared" si="54"/>
        <v>PARTICIPACAO EM OUTRAS SOCIEDADES</v>
      </c>
      <c r="K505" s="2" t="s">
        <v>926</v>
      </c>
      <c r="S505" s="6" t="b">
        <f>C505='Plano de Contas sem ponto'!C505</f>
        <v>1</v>
      </c>
    </row>
    <row r="506" spans="1:19" x14ac:dyDescent="0.2">
      <c r="A506" s="2" t="s">
        <v>928</v>
      </c>
      <c r="B506" s="2" t="s">
        <v>54</v>
      </c>
      <c r="C506" s="2" t="s">
        <v>363</v>
      </c>
      <c r="D506" s="2" t="s">
        <v>196</v>
      </c>
      <c r="E506" s="2" t="str">
        <f t="shared" si="55"/>
        <v>3</v>
      </c>
      <c r="F506" s="2" t="s">
        <v>873</v>
      </c>
      <c r="G506" s="4" t="s">
        <v>1492</v>
      </c>
      <c r="H506" s="2">
        <f t="shared" si="56"/>
        <v>16</v>
      </c>
      <c r="I506" s="3" t="str">
        <f t="shared" si="53"/>
        <v>-</v>
      </c>
      <c r="J506" s="2" t="str">
        <f t="shared" si="54"/>
        <v>PARTICIPACAO EM OUTRAS SOCIEDADES</v>
      </c>
      <c r="K506" s="2" t="s">
        <v>926</v>
      </c>
      <c r="S506" s="6" t="b">
        <f>C506='Plano de Contas sem ponto'!C506</f>
        <v>1</v>
      </c>
    </row>
    <row r="507" spans="1:19" x14ac:dyDescent="0.2">
      <c r="A507" s="1" t="s">
        <v>929</v>
      </c>
      <c r="B507" s="1" t="s">
        <v>40</v>
      </c>
      <c r="C507" s="1" t="s">
        <v>930</v>
      </c>
      <c r="D507" s="2" t="s">
        <v>196</v>
      </c>
      <c r="E507" s="2" t="str">
        <f t="shared" si="55"/>
        <v>3</v>
      </c>
      <c r="F507" s="2" t="s">
        <v>873</v>
      </c>
      <c r="G507" s="4" t="s">
        <v>1492</v>
      </c>
      <c r="H507" s="2">
        <f t="shared" si="56"/>
        <v>8</v>
      </c>
      <c r="I507" s="3" t="str">
        <f t="shared" si="53"/>
        <v>-</v>
      </c>
      <c r="J507" s="2" t="str">
        <f t="shared" si="54"/>
        <v>RECEITAS FINANCEIRAS</v>
      </c>
      <c r="K507" s="2" t="s">
        <v>2767</v>
      </c>
      <c r="L507" s="2" t="s">
        <v>931</v>
      </c>
      <c r="S507" s="6" t="b">
        <f>C507='Plano de Contas sem ponto'!C507</f>
        <v>1</v>
      </c>
    </row>
    <row r="508" spans="1:19" x14ac:dyDescent="0.2">
      <c r="A508" s="1" t="s">
        <v>932</v>
      </c>
      <c r="B508" s="1" t="s">
        <v>40</v>
      </c>
      <c r="C508" s="1" t="s">
        <v>933</v>
      </c>
      <c r="D508" s="2" t="s">
        <v>196</v>
      </c>
      <c r="E508" s="2" t="str">
        <f t="shared" si="55"/>
        <v>3</v>
      </c>
      <c r="F508" s="2" t="s">
        <v>873</v>
      </c>
      <c r="G508" s="4" t="s">
        <v>1492</v>
      </c>
      <c r="H508" s="2">
        <f t="shared" si="56"/>
        <v>11</v>
      </c>
      <c r="I508" s="3" t="str">
        <f t="shared" si="53"/>
        <v>3.1.1.10.01</v>
      </c>
      <c r="J508" s="2" t="str">
        <f t="shared" si="54"/>
        <v>RECEITAS DE APLICACOES FINANCEIRAS</v>
      </c>
      <c r="K508" s="2" t="s">
        <v>2767</v>
      </c>
      <c r="L508" s="2" t="s">
        <v>931</v>
      </c>
      <c r="M508" s="6" t="s">
        <v>1564</v>
      </c>
      <c r="S508" s="6" t="b">
        <f>C508='Plano de Contas sem ponto'!C508</f>
        <v>1</v>
      </c>
    </row>
    <row r="509" spans="1:19" x14ac:dyDescent="0.2">
      <c r="A509" s="2" t="s">
        <v>934</v>
      </c>
      <c r="B509" s="2" t="s">
        <v>54</v>
      </c>
      <c r="C509" s="2" t="s">
        <v>935</v>
      </c>
      <c r="D509" s="2" t="s">
        <v>196</v>
      </c>
      <c r="E509" s="2" t="str">
        <f t="shared" si="55"/>
        <v>3</v>
      </c>
      <c r="F509" s="2" t="s">
        <v>873</v>
      </c>
      <c r="G509" s="4" t="s">
        <v>1492</v>
      </c>
      <c r="H509" s="2">
        <f t="shared" si="56"/>
        <v>16</v>
      </c>
      <c r="I509" s="3" t="str">
        <f t="shared" si="53"/>
        <v>-</v>
      </c>
      <c r="J509" s="2" t="str">
        <f t="shared" si="54"/>
        <v>RECEITAS DE APLICACOES FINANCEIRAS</v>
      </c>
      <c r="K509" s="2" t="s">
        <v>2767</v>
      </c>
      <c r="L509" s="2" t="s">
        <v>931</v>
      </c>
      <c r="M509" s="6" t="s">
        <v>1564</v>
      </c>
      <c r="S509" s="6" t="b">
        <f>C509='Plano de Contas sem ponto'!C509</f>
        <v>1</v>
      </c>
    </row>
    <row r="510" spans="1:19" x14ac:dyDescent="0.2">
      <c r="A510" s="2" t="s">
        <v>936</v>
      </c>
      <c r="B510" s="2" t="s">
        <v>54</v>
      </c>
      <c r="C510" s="2" t="s">
        <v>937</v>
      </c>
      <c r="D510" s="2" t="s">
        <v>196</v>
      </c>
      <c r="E510" s="2" t="str">
        <f t="shared" si="55"/>
        <v>3</v>
      </c>
      <c r="F510" s="2" t="s">
        <v>873</v>
      </c>
      <c r="G510" s="4" t="s">
        <v>1492</v>
      </c>
      <c r="H510" s="2">
        <f t="shared" si="56"/>
        <v>16</v>
      </c>
      <c r="I510" s="3" t="str">
        <f t="shared" si="53"/>
        <v>-</v>
      </c>
      <c r="J510" s="2" t="str">
        <f t="shared" si="54"/>
        <v>RECEITAS DE APLICACOES FINANCEIRAS</v>
      </c>
      <c r="K510" s="2" t="s">
        <v>2767</v>
      </c>
      <c r="L510" s="2" t="s">
        <v>931</v>
      </c>
      <c r="M510" s="6" t="s">
        <v>1564</v>
      </c>
      <c r="S510" s="6" t="b">
        <f>C510='Plano de Contas sem ponto'!C510</f>
        <v>1</v>
      </c>
    </row>
    <row r="511" spans="1:19" x14ac:dyDescent="0.2">
      <c r="A511" s="2" t="s">
        <v>938</v>
      </c>
      <c r="B511" s="2" t="s">
        <v>54</v>
      </c>
      <c r="C511" s="2" t="s">
        <v>939</v>
      </c>
      <c r="D511" s="2" t="s">
        <v>196</v>
      </c>
      <c r="E511" s="2" t="str">
        <f t="shared" si="55"/>
        <v>3</v>
      </c>
      <c r="F511" s="2" t="s">
        <v>873</v>
      </c>
      <c r="G511" s="4" t="s">
        <v>1492</v>
      </c>
      <c r="H511" s="2">
        <f t="shared" si="56"/>
        <v>16</v>
      </c>
      <c r="I511" s="3" t="str">
        <f t="shared" si="53"/>
        <v>-</v>
      </c>
      <c r="J511" s="2" t="str">
        <f t="shared" si="54"/>
        <v>RECEITAS DE APLICACOES FINANCEIRAS</v>
      </c>
      <c r="K511" s="2" t="s">
        <v>2767</v>
      </c>
      <c r="L511" s="2" t="s">
        <v>931</v>
      </c>
      <c r="M511" s="6" t="s">
        <v>1564</v>
      </c>
      <c r="S511" s="6" t="b">
        <f>C511='Plano de Contas sem ponto'!C511</f>
        <v>1</v>
      </c>
    </row>
    <row r="512" spans="1:19" x14ac:dyDescent="0.2">
      <c r="A512" s="2" t="s">
        <v>940</v>
      </c>
      <c r="B512" s="2" t="s">
        <v>54</v>
      </c>
      <c r="C512" s="2" t="s">
        <v>182</v>
      </c>
      <c r="D512" s="2" t="s">
        <v>196</v>
      </c>
      <c r="E512" s="2" t="str">
        <f t="shared" si="55"/>
        <v>3</v>
      </c>
      <c r="F512" s="2" t="s">
        <v>873</v>
      </c>
      <c r="G512" s="4" t="s">
        <v>1492</v>
      </c>
      <c r="H512" s="2">
        <f t="shared" si="56"/>
        <v>16</v>
      </c>
      <c r="I512" s="3" t="str">
        <f t="shared" si="53"/>
        <v>-</v>
      </c>
      <c r="J512" s="2" t="str">
        <f t="shared" si="54"/>
        <v>RECEITAS DE APLICACOES FINANCEIRAS</v>
      </c>
      <c r="K512" s="2" t="s">
        <v>2767</v>
      </c>
      <c r="L512" s="2" t="s">
        <v>931</v>
      </c>
      <c r="M512" s="6" t="s">
        <v>1564</v>
      </c>
      <c r="S512" s="6" t="b">
        <f>C512='Plano de Contas sem ponto'!C512</f>
        <v>1</v>
      </c>
    </row>
    <row r="513" spans="1:19" x14ac:dyDescent="0.2">
      <c r="A513" s="1" t="s">
        <v>941</v>
      </c>
      <c r="B513" s="1" t="s">
        <v>40</v>
      </c>
      <c r="C513" s="1" t="s">
        <v>942</v>
      </c>
      <c r="D513" s="2" t="s">
        <v>196</v>
      </c>
      <c r="E513" s="2" t="str">
        <f t="shared" si="55"/>
        <v>3</v>
      </c>
      <c r="F513" s="2" t="s">
        <v>873</v>
      </c>
      <c r="G513" s="4" t="s">
        <v>1492</v>
      </c>
      <c r="H513" s="2">
        <f t="shared" si="56"/>
        <v>11</v>
      </c>
      <c r="I513" s="3" t="str">
        <f t="shared" si="53"/>
        <v>3.1.1.10.02</v>
      </c>
      <c r="J513" s="2" t="str">
        <f t="shared" si="54"/>
        <v>OUTRAS RECEITAS FINANCEIRAS</v>
      </c>
      <c r="K513" s="2" t="s">
        <v>2767</v>
      </c>
      <c r="L513" s="2" t="s">
        <v>931</v>
      </c>
      <c r="M513" s="6" t="s">
        <v>1567</v>
      </c>
      <c r="S513" s="6" t="b">
        <f>C513='Plano de Contas sem ponto'!C513</f>
        <v>1</v>
      </c>
    </row>
    <row r="514" spans="1:19" x14ac:dyDescent="0.2">
      <c r="A514" s="2" t="s">
        <v>943</v>
      </c>
      <c r="B514" s="2" t="s">
        <v>54</v>
      </c>
      <c r="C514" s="2" t="s">
        <v>944</v>
      </c>
      <c r="D514" s="2" t="s">
        <v>196</v>
      </c>
      <c r="E514" s="2" t="str">
        <f t="shared" si="55"/>
        <v>3</v>
      </c>
      <c r="F514" s="2" t="s">
        <v>873</v>
      </c>
      <c r="G514" s="4" t="s">
        <v>1492</v>
      </c>
      <c r="H514" s="2">
        <f t="shared" si="56"/>
        <v>16</v>
      </c>
      <c r="I514" s="3" t="str">
        <f t="shared" si="53"/>
        <v>-</v>
      </c>
      <c r="J514" s="2" t="str">
        <f t="shared" si="54"/>
        <v>OUTRAS RECEITAS FINANCEIRAS</v>
      </c>
      <c r="K514" s="2" t="s">
        <v>2767</v>
      </c>
      <c r="L514" s="2" t="s">
        <v>931</v>
      </c>
      <c r="M514" s="6" t="s">
        <v>1567</v>
      </c>
      <c r="S514" s="6" t="b">
        <f>C514='Plano de Contas sem ponto'!C514</f>
        <v>1</v>
      </c>
    </row>
    <row r="515" spans="1:19" x14ac:dyDescent="0.2">
      <c r="A515" s="2" t="s">
        <v>945</v>
      </c>
      <c r="B515" s="2" t="s">
        <v>54</v>
      </c>
      <c r="C515" s="2" t="s">
        <v>946</v>
      </c>
      <c r="D515" s="2" t="s">
        <v>196</v>
      </c>
      <c r="E515" s="2" t="str">
        <f t="shared" si="55"/>
        <v>3</v>
      </c>
      <c r="F515" s="2" t="s">
        <v>873</v>
      </c>
      <c r="G515" s="4" t="s">
        <v>1492</v>
      </c>
      <c r="H515" s="2">
        <f t="shared" si="56"/>
        <v>16</v>
      </c>
      <c r="I515" s="3" t="str">
        <f t="shared" si="53"/>
        <v>-</v>
      </c>
      <c r="J515" s="2" t="str">
        <f t="shared" si="54"/>
        <v>OUTRAS RECEITAS FINANCEIRAS</v>
      </c>
      <c r="K515" s="2" t="s">
        <v>2767</v>
      </c>
      <c r="L515" s="2" t="s">
        <v>931</v>
      </c>
      <c r="M515" s="6" t="s">
        <v>1567</v>
      </c>
      <c r="S515" s="6" t="b">
        <f>C515='Plano de Contas sem ponto'!C515</f>
        <v>1</v>
      </c>
    </row>
    <row r="516" spans="1:19" x14ac:dyDescent="0.2">
      <c r="A516" s="2" t="s">
        <v>947</v>
      </c>
      <c r="B516" s="2" t="s">
        <v>54</v>
      </c>
      <c r="C516" s="2" t="s">
        <v>948</v>
      </c>
      <c r="D516" s="2" t="s">
        <v>196</v>
      </c>
      <c r="E516" s="2" t="str">
        <f t="shared" si="55"/>
        <v>3</v>
      </c>
      <c r="F516" s="2" t="s">
        <v>873</v>
      </c>
      <c r="G516" s="4" t="s">
        <v>1492</v>
      </c>
      <c r="H516" s="2">
        <f t="shared" si="56"/>
        <v>16</v>
      </c>
      <c r="I516" s="3" t="str">
        <f t="shared" si="53"/>
        <v>-</v>
      </c>
      <c r="J516" s="2" t="str">
        <f t="shared" si="54"/>
        <v>OUTRAS RECEITAS FINANCEIRAS</v>
      </c>
      <c r="K516" s="2" t="s">
        <v>2767</v>
      </c>
      <c r="L516" s="2" t="s">
        <v>931</v>
      </c>
      <c r="M516" s="6" t="s">
        <v>1567</v>
      </c>
      <c r="S516" s="6" t="b">
        <f>C516='Plano de Contas sem ponto'!C516</f>
        <v>1</v>
      </c>
    </row>
    <row r="517" spans="1:19" x14ac:dyDescent="0.2">
      <c r="A517" s="2" t="s">
        <v>949</v>
      </c>
      <c r="B517" s="2" t="s">
        <v>54</v>
      </c>
      <c r="C517" s="2" t="s">
        <v>950</v>
      </c>
      <c r="D517" s="2" t="s">
        <v>196</v>
      </c>
      <c r="E517" s="2" t="str">
        <f t="shared" si="55"/>
        <v>3</v>
      </c>
      <c r="F517" s="2" t="s">
        <v>873</v>
      </c>
      <c r="G517" s="4" t="s">
        <v>1492</v>
      </c>
      <c r="H517" s="2">
        <f t="shared" si="56"/>
        <v>16</v>
      </c>
      <c r="I517" s="3" t="str">
        <f t="shared" si="53"/>
        <v>-</v>
      </c>
      <c r="J517" s="2" t="str">
        <f t="shared" si="54"/>
        <v>OUTRAS RECEITAS FINANCEIRAS</v>
      </c>
      <c r="K517" s="2" t="s">
        <v>2767</v>
      </c>
      <c r="L517" s="2" t="s">
        <v>931</v>
      </c>
      <c r="M517" s="6" t="s">
        <v>1567</v>
      </c>
      <c r="S517" s="6" t="b">
        <f>C517='Plano de Contas sem ponto'!C517</f>
        <v>1</v>
      </c>
    </row>
    <row r="518" spans="1:19" x14ac:dyDescent="0.2">
      <c r="A518" s="2" t="s">
        <v>951</v>
      </c>
      <c r="B518" s="2" t="s">
        <v>54</v>
      </c>
      <c r="C518" s="2" t="s">
        <v>942</v>
      </c>
      <c r="D518" s="2" t="s">
        <v>196</v>
      </c>
      <c r="E518" s="2" t="str">
        <f t="shared" si="55"/>
        <v>3</v>
      </c>
      <c r="F518" s="2" t="s">
        <v>873</v>
      </c>
      <c r="G518" s="4" t="s">
        <v>1492</v>
      </c>
      <c r="H518" s="2">
        <f t="shared" si="56"/>
        <v>16</v>
      </c>
      <c r="I518" s="3" t="str">
        <f t="shared" si="53"/>
        <v>-</v>
      </c>
      <c r="J518" s="2" t="str">
        <f t="shared" si="54"/>
        <v>OUTRAS RECEITAS FINANCEIRAS</v>
      </c>
      <c r="K518" s="2" t="s">
        <v>2767</v>
      </c>
      <c r="L518" s="2" t="s">
        <v>931</v>
      </c>
      <c r="M518" s="6" t="s">
        <v>1567</v>
      </c>
      <c r="S518" s="6" t="b">
        <f>C518='Plano de Contas sem ponto'!C518</f>
        <v>1</v>
      </c>
    </row>
    <row r="519" spans="1:19" x14ac:dyDescent="0.2">
      <c r="A519" s="2" t="s">
        <v>952</v>
      </c>
      <c r="B519" s="2" t="s">
        <v>54</v>
      </c>
      <c r="C519" s="2" t="s">
        <v>953</v>
      </c>
      <c r="D519" s="2" t="s">
        <v>196</v>
      </c>
      <c r="E519" s="2" t="str">
        <f t="shared" si="55"/>
        <v>3</v>
      </c>
      <c r="F519" s="2" t="s">
        <v>873</v>
      </c>
      <c r="G519" s="4" t="s">
        <v>1492</v>
      </c>
      <c r="H519" s="2">
        <f t="shared" si="56"/>
        <v>16</v>
      </c>
      <c r="I519" s="3" t="str">
        <f t="shared" si="53"/>
        <v>-</v>
      </c>
      <c r="J519" s="2" t="str">
        <f t="shared" si="54"/>
        <v>OUTRAS RECEITAS FINANCEIRAS</v>
      </c>
      <c r="K519" s="2" t="s">
        <v>2767</v>
      </c>
      <c r="L519" s="2" t="s">
        <v>931</v>
      </c>
      <c r="M519" s="6" t="s">
        <v>1565</v>
      </c>
      <c r="S519" s="6" t="b">
        <f>C519='Plano de Contas sem ponto'!C519</f>
        <v>1</v>
      </c>
    </row>
    <row r="520" spans="1:19" x14ac:dyDescent="0.2">
      <c r="A520" s="2" t="s">
        <v>954</v>
      </c>
      <c r="B520" s="2" t="s">
        <v>54</v>
      </c>
      <c r="C520" s="2" t="s">
        <v>955</v>
      </c>
      <c r="D520" s="2" t="s">
        <v>196</v>
      </c>
      <c r="E520" s="2" t="str">
        <f t="shared" si="55"/>
        <v>3</v>
      </c>
      <c r="F520" s="2" t="s">
        <v>873</v>
      </c>
      <c r="G520" s="4" t="s">
        <v>1492</v>
      </c>
      <c r="H520" s="2">
        <f t="shared" si="56"/>
        <v>16</v>
      </c>
      <c r="I520" s="3" t="str">
        <f t="shared" si="53"/>
        <v>-</v>
      </c>
      <c r="J520" s="2" t="str">
        <f t="shared" si="54"/>
        <v>OUTRAS RECEITAS FINANCEIRAS</v>
      </c>
      <c r="K520" s="2" t="s">
        <v>2767</v>
      </c>
      <c r="L520" s="2" t="s">
        <v>931</v>
      </c>
      <c r="M520" s="6" t="s">
        <v>1566</v>
      </c>
      <c r="S520" s="6" t="b">
        <f>C520='Plano de Contas sem ponto'!C520</f>
        <v>1</v>
      </c>
    </row>
    <row r="521" spans="1:19" x14ac:dyDescent="0.2">
      <c r="A521" s="1" t="s">
        <v>956</v>
      </c>
      <c r="B521" s="1" t="s">
        <v>40</v>
      </c>
      <c r="C521" s="1" t="s">
        <v>957</v>
      </c>
      <c r="D521" s="2" t="s">
        <v>196</v>
      </c>
      <c r="E521" s="2" t="str">
        <f t="shared" si="55"/>
        <v>3</v>
      </c>
      <c r="F521" s="2" t="s">
        <v>873</v>
      </c>
      <c r="G521" s="4" t="s">
        <v>1492</v>
      </c>
      <c r="H521" s="2">
        <f t="shared" si="56"/>
        <v>8</v>
      </c>
      <c r="I521" s="3" t="str">
        <f t="shared" si="53"/>
        <v>-</v>
      </c>
      <c r="J521" s="2" t="str">
        <f t="shared" si="54"/>
        <v>RECEITAS MOU</v>
      </c>
      <c r="K521" s="2" t="s">
        <v>876</v>
      </c>
      <c r="L521" s="6" t="s">
        <v>1574</v>
      </c>
      <c r="M521" s="10" t="s">
        <v>1574</v>
      </c>
      <c r="S521" s="6" t="b">
        <f>C521='Plano de Contas sem ponto'!C521</f>
        <v>1</v>
      </c>
    </row>
    <row r="522" spans="1:19" x14ac:dyDescent="0.2">
      <c r="A522" s="1" t="s">
        <v>958</v>
      </c>
      <c r="B522" s="1" t="s">
        <v>40</v>
      </c>
      <c r="C522" s="1" t="s">
        <v>957</v>
      </c>
      <c r="D522" s="2" t="s">
        <v>196</v>
      </c>
      <c r="E522" s="2" t="str">
        <f t="shared" si="55"/>
        <v>3</v>
      </c>
      <c r="F522" s="2" t="s">
        <v>873</v>
      </c>
      <c r="G522" s="4" t="s">
        <v>1492</v>
      </c>
      <c r="H522" s="2">
        <f t="shared" si="56"/>
        <v>11</v>
      </c>
      <c r="I522" s="3" t="str">
        <f t="shared" si="53"/>
        <v>3.1.1.11.01</v>
      </c>
      <c r="J522" s="2" t="str">
        <f t="shared" si="54"/>
        <v>RECEITAS MOU</v>
      </c>
      <c r="K522" s="2" t="s">
        <v>876</v>
      </c>
      <c r="L522" s="6" t="s">
        <v>1574</v>
      </c>
      <c r="M522" s="10" t="s">
        <v>1574</v>
      </c>
      <c r="S522" s="6" t="b">
        <f>C522='Plano de Contas sem ponto'!C522</f>
        <v>1</v>
      </c>
    </row>
    <row r="523" spans="1:19" x14ac:dyDescent="0.2">
      <c r="A523" s="2" t="s">
        <v>959</v>
      </c>
      <c r="B523" s="2" t="s">
        <v>54</v>
      </c>
      <c r="C523" s="2" t="s">
        <v>960</v>
      </c>
      <c r="D523" s="2" t="s">
        <v>196</v>
      </c>
      <c r="E523" s="2" t="str">
        <f t="shared" si="55"/>
        <v>3</v>
      </c>
      <c r="F523" s="2" t="s">
        <v>873</v>
      </c>
      <c r="G523" s="4" t="s">
        <v>1492</v>
      </c>
      <c r="H523" s="2">
        <f t="shared" si="56"/>
        <v>16</v>
      </c>
      <c r="I523" s="3" t="str">
        <f t="shared" si="53"/>
        <v>-</v>
      </c>
      <c r="J523" s="2" t="str">
        <f t="shared" si="54"/>
        <v>RECEITAS MOU</v>
      </c>
      <c r="K523" s="2" t="s">
        <v>876</v>
      </c>
      <c r="L523" s="6" t="s">
        <v>1574</v>
      </c>
      <c r="M523" s="10" t="s">
        <v>1574</v>
      </c>
      <c r="S523" s="6" t="b">
        <f>C523='Plano de Contas sem ponto'!C523</f>
        <v>1</v>
      </c>
    </row>
    <row r="524" spans="1:19" x14ac:dyDescent="0.2">
      <c r="A524" s="1" t="s">
        <v>961</v>
      </c>
      <c r="B524" s="1" t="s">
        <v>40</v>
      </c>
      <c r="C524" s="1" t="s">
        <v>962</v>
      </c>
      <c r="D524" s="2" t="s">
        <v>196</v>
      </c>
      <c r="E524" s="2" t="str">
        <f t="shared" si="55"/>
        <v>3</v>
      </c>
      <c r="F524" s="2" t="s">
        <v>873</v>
      </c>
      <c r="G524" s="4" t="s">
        <v>1492</v>
      </c>
      <c r="H524" s="2">
        <f t="shared" si="56"/>
        <v>5</v>
      </c>
      <c r="I524" s="3" t="str">
        <f t="shared" si="53"/>
        <v>-</v>
      </c>
      <c r="J524" s="2" t="str">
        <f t="shared" si="54"/>
        <v>RECEITAS NAO OPERACIONAIS</v>
      </c>
      <c r="K524" s="2" t="s">
        <v>963</v>
      </c>
      <c r="S524" s="6" t="b">
        <f>C524='Plano de Contas sem ponto'!C524</f>
        <v>1</v>
      </c>
    </row>
    <row r="525" spans="1:19" x14ac:dyDescent="0.2">
      <c r="A525" s="1" t="s">
        <v>964</v>
      </c>
      <c r="B525" s="1" t="s">
        <v>40</v>
      </c>
      <c r="C525" s="1" t="s">
        <v>962</v>
      </c>
      <c r="D525" s="2" t="s">
        <v>196</v>
      </c>
      <c r="E525" s="2" t="str">
        <f t="shared" si="55"/>
        <v>3</v>
      </c>
      <c r="F525" s="2" t="s">
        <v>873</v>
      </c>
      <c r="G525" s="4" t="s">
        <v>1492</v>
      </c>
      <c r="H525" s="2">
        <f t="shared" si="56"/>
        <v>8</v>
      </c>
      <c r="I525" s="3" t="str">
        <f t="shared" si="53"/>
        <v>-</v>
      </c>
      <c r="J525" s="2" t="str">
        <f t="shared" si="54"/>
        <v>RECEITAS NAO OPERACIONAIS</v>
      </c>
      <c r="K525" s="2" t="s">
        <v>963</v>
      </c>
      <c r="S525" s="6" t="b">
        <f>C525='Plano de Contas sem ponto'!C525</f>
        <v>1</v>
      </c>
    </row>
    <row r="526" spans="1:19" x14ac:dyDescent="0.2">
      <c r="A526" s="1" t="s">
        <v>965</v>
      </c>
      <c r="B526" s="1" t="s">
        <v>40</v>
      </c>
      <c r="C526" s="1" t="s">
        <v>962</v>
      </c>
      <c r="D526" s="2" t="s">
        <v>196</v>
      </c>
      <c r="E526" s="2" t="str">
        <f t="shared" si="55"/>
        <v>3</v>
      </c>
      <c r="F526" s="2" t="s">
        <v>873</v>
      </c>
      <c r="G526" s="4" t="s">
        <v>1492</v>
      </c>
      <c r="H526" s="2">
        <f t="shared" si="56"/>
        <v>11</v>
      </c>
      <c r="I526" s="3" t="str">
        <f t="shared" si="53"/>
        <v>3.1.2.01.01</v>
      </c>
      <c r="J526" s="2" t="str">
        <f t="shared" si="54"/>
        <v>RECEITAS NAO OPERACIONAIS</v>
      </c>
      <c r="K526" s="2" t="s">
        <v>963</v>
      </c>
      <c r="S526" s="6" t="b">
        <f>C526='Plano de Contas sem ponto'!C526</f>
        <v>1</v>
      </c>
    </row>
    <row r="527" spans="1:19" x14ac:dyDescent="0.2">
      <c r="A527" s="2" t="s">
        <v>966</v>
      </c>
      <c r="B527" s="2" t="s">
        <v>54</v>
      </c>
      <c r="C527" s="2" t="s">
        <v>967</v>
      </c>
      <c r="D527" s="2" t="s">
        <v>196</v>
      </c>
      <c r="E527" s="2" t="str">
        <f t="shared" si="55"/>
        <v>3</v>
      </c>
      <c r="F527" s="2" t="s">
        <v>873</v>
      </c>
      <c r="G527" s="4" t="s">
        <v>1492</v>
      </c>
      <c r="H527" s="2">
        <f t="shared" si="56"/>
        <v>16</v>
      </c>
      <c r="I527" s="3" t="str">
        <f t="shared" si="53"/>
        <v>-</v>
      </c>
      <c r="J527" s="2" t="str">
        <f t="shared" si="54"/>
        <v>RECEITAS NAO OPERACIONAIS</v>
      </c>
      <c r="K527" s="2" t="s">
        <v>963</v>
      </c>
      <c r="S527" s="6" t="b">
        <f>C527='Plano de Contas sem ponto'!C527</f>
        <v>1</v>
      </c>
    </row>
    <row r="528" spans="1:19" x14ac:dyDescent="0.2">
      <c r="A528" s="2" t="s">
        <v>968</v>
      </c>
      <c r="B528" s="2" t="s">
        <v>54</v>
      </c>
      <c r="C528" s="2" t="s">
        <v>969</v>
      </c>
      <c r="D528" s="2" t="s">
        <v>196</v>
      </c>
      <c r="E528" s="2" t="str">
        <f t="shared" si="55"/>
        <v>3</v>
      </c>
      <c r="F528" s="2" t="s">
        <v>873</v>
      </c>
      <c r="G528" s="4" t="s">
        <v>1492</v>
      </c>
      <c r="H528" s="2">
        <f t="shared" si="56"/>
        <v>16</v>
      </c>
      <c r="I528" s="3" t="str">
        <f t="shared" ref="I528:I595" si="61">IF(H528=11,A528,"-")</f>
        <v>-</v>
      </c>
      <c r="J528" s="2" t="str">
        <f t="shared" ref="J528:J595" si="62">IF(H528&lt;11,C528,IF(I528&lt;&gt;"-",C528,J527))</f>
        <v>RECEITAS NAO OPERACIONAIS</v>
      </c>
      <c r="K528" s="2" t="s">
        <v>963</v>
      </c>
      <c r="S528" s="6" t="b">
        <f>C528='Plano de Contas sem ponto'!C528</f>
        <v>1</v>
      </c>
    </row>
    <row r="529" spans="1:19" x14ac:dyDescent="0.2">
      <c r="A529" s="2" t="s">
        <v>970</v>
      </c>
      <c r="B529" s="2" t="s">
        <v>54</v>
      </c>
      <c r="C529" s="2" t="s">
        <v>971</v>
      </c>
      <c r="D529" s="2" t="s">
        <v>196</v>
      </c>
      <c r="E529" s="2" t="str">
        <f t="shared" ref="E529:E596" si="63">LEFT(A529,1)</f>
        <v>3</v>
      </c>
      <c r="F529" s="2" t="s">
        <v>873</v>
      </c>
      <c r="G529" s="4" t="s">
        <v>1492</v>
      </c>
      <c r="H529" s="2">
        <f t="shared" ref="H529:H596" si="64">LEN(A529)</f>
        <v>16</v>
      </c>
      <c r="I529" s="3" t="str">
        <f t="shared" si="61"/>
        <v>-</v>
      </c>
      <c r="J529" s="2" t="str">
        <f t="shared" si="62"/>
        <v>RECEITAS NAO OPERACIONAIS</v>
      </c>
      <c r="K529" s="2" t="s">
        <v>963</v>
      </c>
      <c r="S529" s="6" t="b">
        <f>C529='Plano de Contas sem ponto'!C529</f>
        <v>1</v>
      </c>
    </row>
    <row r="530" spans="1:19" x14ac:dyDescent="0.2">
      <c r="A530" s="1" t="s">
        <v>1700</v>
      </c>
      <c r="B530" s="1" t="s">
        <v>40</v>
      </c>
      <c r="C530" s="15" t="s">
        <v>1704</v>
      </c>
      <c r="D530" s="2" t="s">
        <v>196</v>
      </c>
      <c r="E530" s="2" t="str">
        <f t="shared" ref="E530:E531" si="65">LEFT(A530,1)</f>
        <v>3</v>
      </c>
      <c r="F530" s="2" t="s">
        <v>873</v>
      </c>
      <c r="G530" s="4" t="s">
        <v>1492</v>
      </c>
      <c r="H530" s="2">
        <f t="shared" ref="H530:H531" si="66">LEN(A530)</f>
        <v>11</v>
      </c>
      <c r="I530" s="3" t="str">
        <f t="shared" ref="I530:I531" si="67">IF(H530=11,A530,"-")</f>
        <v>3.1.2.01.02</v>
      </c>
      <c r="J530" s="2" t="str">
        <f t="shared" ref="J530:J531" si="68">IF(H530&lt;11,C530,IF(I530&lt;&gt;"-",C530,J529))</f>
        <v>RECEITAS DE VENDAS DO ATIVO PERMANENTE</v>
      </c>
      <c r="K530" s="2" t="s">
        <v>963</v>
      </c>
      <c r="S530" s="6" t="b">
        <f>C530='Plano de Contas sem ponto'!C530</f>
        <v>1</v>
      </c>
    </row>
    <row r="531" spans="1:19" x14ac:dyDescent="0.2">
      <c r="A531" s="2" t="s">
        <v>1701</v>
      </c>
      <c r="B531" s="2" t="s">
        <v>54</v>
      </c>
      <c r="C531" s="12" t="s">
        <v>1705</v>
      </c>
      <c r="D531" s="2" t="s">
        <v>196</v>
      </c>
      <c r="E531" s="2" t="str">
        <f t="shared" si="65"/>
        <v>3</v>
      </c>
      <c r="F531" s="2" t="s">
        <v>873</v>
      </c>
      <c r="G531" s="4" t="s">
        <v>1492</v>
      </c>
      <c r="H531" s="2">
        <f t="shared" si="66"/>
        <v>16</v>
      </c>
      <c r="I531" s="3" t="str">
        <f t="shared" si="67"/>
        <v>-</v>
      </c>
      <c r="J531" s="2" t="str">
        <f t="shared" si="68"/>
        <v>RECEITAS DE VENDAS DO ATIVO PERMANENTE</v>
      </c>
      <c r="K531" s="2" t="s">
        <v>963</v>
      </c>
      <c r="S531" s="6" t="b">
        <f>C531='Plano de Contas sem ponto'!C531</f>
        <v>1</v>
      </c>
    </row>
    <row r="532" spans="1:19" x14ac:dyDescent="0.2">
      <c r="A532" s="2" t="s">
        <v>1702</v>
      </c>
      <c r="B532" s="2" t="s">
        <v>54</v>
      </c>
      <c r="C532" s="12" t="s">
        <v>1703</v>
      </c>
      <c r="D532" s="2" t="s">
        <v>196</v>
      </c>
      <c r="E532" s="2" t="str">
        <f t="shared" ref="E532" si="69">LEFT(A532,1)</f>
        <v>3</v>
      </c>
      <c r="F532" s="2" t="s">
        <v>873</v>
      </c>
      <c r="G532" s="4" t="s">
        <v>1492</v>
      </c>
      <c r="H532" s="2">
        <f t="shared" ref="H532" si="70">LEN(A532)</f>
        <v>16</v>
      </c>
      <c r="I532" s="3" t="str">
        <f t="shared" ref="I532" si="71">IF(H532=11,A532,"-")</f>
        <v>-</v>
      </c>
      <c r="J532" s="2" t="str">
        <f>IF(H532&lt;11,C532,IF(I532&lt;&gt;"-",C532,J528))</f>
        <v>RECEITAS NAO OPERACIONAIS</v>
      </c>
      <c r="K532" s="2" t="s">
        <v>963</v>
      </c>
      <c r="S532" s="6" t="b">
        <f>C532='Plano de Contas sem ponto'!C532</f>
        <v>1</v>
      </c>
    </row>
    <row r="533" spans="1:19" x14ac:dyDescent="0.2">
      <c r="A533" s="2" t="s">
        <v>1707</v>
      </c>
      <c r="B533" s="2" t="s">
        <v>54</v>
      </c>
      <c r="C533" s="2" t="s">
        <v>1706</v>
      </c>
      <c r="D533" s="2" t="s">
        <v>196</v>
      </c>
      <c r="E533" s="2" t="str">
        <f t="shared" ref="E533" si="72">LEFT(A533,1)</f>
        <v>3</v>
      </c>
      <c r="F533" s="2" t="s">
        <v>873</v>
      </c>
      <c r="G533" s="4" t="s">
        <v>1492</v>
      </c>
      <c r="H533" s="2">
        <f t="shared" ref="H533" si="73">LEN(A533)</f>
        <v>16</v>
      </c>
      <c r="I533" s="3" t="str">
        <f t="shared" ref="I533" si="74">IF(H533=11,A533,"-")</f>
        <v>-</v>
      </c>
      <c r="J533" s="2" t="str">
        <f>IF(H533&lt;11,C533,IF(I533&lt;&gt;"-",C533,J529))</f>
        <v>RECEITAS NAO OPERACIONAIS</v>
      </c>
      <c r="K533" s="2" t="s">
        <v>963</v>
      </c>
      <c r="S533" s="6" t="b">
        <f>C533='Plano de Contas sem ponto'!C533</f>
        <v>1</v>
      </c>
    </row>
    <row r="534" spans="1:19" x14ac:dyDescent="0.2">
      <c r="A534" s="1" t="s">
        <v>972</v>
      </c>
      <c r="B534" s="1" t="s">
        <v>40</v>
      </c>
      <c r="C534" s="1" t="s">
        <v>505</v>
      </c>
      <c r="D534" s="2" t="s">
        <v>42</v>
      </c>
      <c r="E534" s="2" t="str">
        <f t="shared" si="63"/>
        <v>3</v>
      </c>
      <c r="F534" s="2" t="s">
        <v>873</v>
      </c>
      <c r="G534" s="4" t="s">
        <v>1492</v>
      </c>
      <c r="H534" s="2">
        <f t="shared" si="64"/>
        <v>3</v>
      </c>
      <c r="I534" s="3" t="str">
        <f t="shared" si="61"/>
        <v>-</v>
      </c>
      <c r="J534" s="2" t="str">
        <f>IF(H534&lt;11,C534,IF(I534&lt;&gt;"-",C534,J529))</f>
        <v>IMPOSTOS</v>
      </c>
      <c r="K534" s="2" t="s">
        <v>876</v>
      </c>
      <c r="L534" s="6" t="s">
        <v>1576</v>
      </c>
      <c r="S534" s="6" t="b">
        <f>C534='Plano de Contas sem ponto'!C534</f>
        <v>1</v>
      </c>
    </row>
    <row r="535" spans="1:19" x14ac:dyDescent="0.2">
      <c r="A535" s="1" t="s">
        <v>973</v>
      </c>
      <c r="B535" s="1" t="s">
        <v>40</v>
      </c>
      <c r="C535" s="1" t="s">
        <v>974</v>
      </c>
      <c r="D535" s="2" t="s">
        <v>42</v>
      </c>
      <c r="E535" s="2" t="str">
        <f t="shared" si="63"/>
        <v>3</v>
      </c>
      <c r="F535" s="2" t="s">
        <v>873</v>
      </c>
      <c r="G535" s="4" t="s">
        <v>1492</v>
      </c>
      <c r="H535" s="2">
        <f t="shared" si="64"/>
        <v>5</v>
      </c>
      <c r="I535" s="3" t="str">
        <f t="shared" si="61"/>
        <v>-</v>
      </c>
      <c r="J535" s="2" t="str">
        <f t="shared" si="62"/>
        <v>IMPOSTOS INCIDENTES</v>
      </c>
      <c r="K535" s="2" t="s">
        <v>876</v>
      </c>
      <c r="L535" s="6" t="s">
        <v>1576</v>
      </c>
      <c r="S535" s="6" t="b">
        <f>C535='Plano de Contas sem ponto'!C535</f>
        <v>1</v>
      </c>
    </row>
    <row r="536" spans="1:19" x14ac:dyDescent="0.2">
      <c r="A536" s="1" t="s">
        <v>975</v>
      </c>
      <c r="B536" s="1" t="s">
        <v>40</v>
      </c>
      <c r="C536" s="1" t="s">
        <v>527</v>
      </c>
      <c r="D536" s="2" t="s">
        <v>42</v>
      </c>
      <c r="E536" s="2" t="str">
        <f t="shared" si="63"/>
        <v>3</v>
      </c>
      <c r="F536" s="2" t="s">
        <v>873</v>
      </c>
      <c r="G536" s="4" t="s">
        <v>1492</v>
      </c>
      <c r="H536" s="2">
        <f t="shared" si="64"/>
        <v>8</v>
      </c>
      <c r="I536" s="3" t="str">
        <f t="shared" si="61"/>
        <v>-</v>
      </c>
      <c r="J536" s="2" t="str">
        <f t="shared" si="62"/>
        <v>COFINS</v>
      </c>
      <c r="K536" s="2" t="s">
        <v>876</v>
      </c>
      <c r="L536" s="6" t="s">
        <v>1576</v>
      </c>
      <c r="M536" s="6" t="s">
        <v>527</v>
      </c>
      <c r="S536" s="6" t="b">
        <f>C536='Plano de Contas sem ponto'!C536</f>
        <v>1</v>
      </c>
    </row>
    <row r="537" spans="1:19" x14ac:dyDescent="0.2">
      <c r="A537" s="1" t="s">
        <v>976</v>
      </c>
      <c r="B537" s="1" t="s">
        <v>40</v>
      </c>
      <c r="C537" s="1" t="s">
        <v>527</v>
      </c>
      <c r="D537" s="2" t="s">
        <v>42</v>
      </c>
      <c r="E537" s="2" t="str">
        <f t="shared" si="63"/>
        <v>3</v>
      </c>
      <c r="F537" s="2" t="s">
        <v>873</v>
      </c>
      <c r="G537" s="4" t="s">
        <v>1492</v>
      </c>
      <c r="H537" s="2">
        <f t="shared" si="64"/>
        <v>11</v>
      </c>
      <c r="I537" s="3" t="str">
        <f t="shared" si="61"/>
        <v>3.2.1.01.01</v>
      </c>
      <c r="J537" s="2" t="str">
        <f t="shared" si="62"/>
        <v>COFINS</v>
      </c>
      <c r="K537" s="2" t="s">
        <v>876</v>
      </c>
      <c r="L537" s="6" t="s">
        <v>1576</v>
      </c>
      <c r="M537" s="6" t="s">
        <v>527</v>
      </c>
      <c r="S537" s="6" t="b">
        <f>C537='Plano de Contas sem ponto'!C537</f>
        <v>1</v>
      </c>
    </row>
    <row r="538" spans="1:19" x14ac:dyDescent="0.2">
      <c r="A538" s="2" t="s">
        <v>977</v>
      </c>
      <c r="B538" s="2" t="s">
        <v>54</v>
      </c>
      <c r="C538" s="2" t="s">
        <v>978</v>
      </c>
      <c r="D538" s="2" t="s">
        <v>42</v>
      </c>
      <c r="E538" s="2" t="str">
        <f t="shared" si="63"/>
        <v>3</v>
      </c>
      <c r="F538" s="2" t="s">
        <v>873</v>
      </c>
      <c r="G538" s="4" t="s">
        <v>1492</v>
      </c>
      <c r="H538" s="2">
        <f t="shared" si="64"/>
        <v>16</v>
      </c>
      <c r="I538" s="3" t="str">
        <f t="shared" si="61"/>
        <v>-</v>
      </c>
      <c r="J538" s="2" t="str">
        <f t="shared" si="62"/>
        <v>COFINS</v>
      </c>
      <c r="K538" s="2" t="s">
        <v>876</v>
      </c>
      <c r="L538" s="6" t="s">
        <v>1576</v>
      </c>
      <c r="M538" s="6" t="s">
        <v>527</v>
      </c>
      <c r="S538" s="6" t="b">
        <f>C538='Plano de Contas sem ponto'!C538</f>
        <v>1</v>
      </c>
    </row>
    <row r="539" spans="1:19" x14ac:dyDescent="0.2">
      <c r="A539" s="2" t="s">
        <v>979</v>
      </c>
      <c r="B539" s="2" t="s">
        <v>54</v>
      </c>
      <c r="C539" s="2" t="s">
        <v>533</v>
      </c>
      <c r="D539" s="2" t="s">
        <v>42</v>
      </c>
      <c r="E539" s="2" t="str">
        <f t="shared" si="63"/>
        <v>3</v>
      </c>
      <c r="F539" s="2" t="s">
        <v>873</v>
      </c>
      <c r="G539" s="4" t="s">
        <v>1492</v>
      </c>
      <c r="H539" s="2">
        <f t="shared" si="64"/>
        <v>16</v>
      </c>
      <c r="I539" s="3" t="str">
        <f t="shared" si="61"/>
        <v>-</v>
      </c>
      <c r="J539" s="2" t="str">
        <f t="shared" si="62"/>
        <v>COFINS</v>
      </c>
      <c r="K539" s="2" t="s">
        <v>876</v>
      </c>
      <c r="L539" s="6" t="s">
        <v>1576</v>
      </c>
      <c r="M539" s="6" t="s">
        <v>527</v>
      </c>
      <c r="S539" s="6" t="b">
        <f>C539='Plano de Contas sem ponto'!C539</f>
        <v>1</v>
      </c>
    </row>
    <row r="540" spans="1:19" x14ac:dyDescent="0.2">
      <c r="A540" s="1" t="s">
        <v>980</v>
      </c>
      <c r="B540" s="1" t="s">
        <v>40</v>
      </c>
      <c r="C540" s="1" t="s">
        <v>981</v>
      </c>
      <c r="D540" s="2" t="s">
        <v>42</v>
      </c>
      <c r="E540" s="2" t="str">
        <f t="shared" si="63"/>
        <v>3</v>
      </c>
      <c r="F540" s="2" t="s">
        <v>873</v>
      </c>
      <c r="G540" s="4" t="s">
        <v>1492</v>
      </c>
      <c r="H540" s="2">
        <f t="shared" si="64"/>
        <v>11</v>
      </c>
      <c r="I540" s="3" t="str">
        <f t="shared" si="61"/>
        <v>3.2.1.01.02</v>
      </c>
      <c r="J540" s="2" t="str">
        <f t="shared" si="62"/>
        <v>COFINS - MOU</v>
      </c>
      <c r="K540" s="2" t="s">
        <v>876</v>
      </c>
      <c r="L540" s="6" t="s">
        <v>1576</v>
      </c>
      <c r="M540" s="6" t="s">
        <v>527</v>
      </c>
      <c r="S540" s="6" t="b">
        <f>C540='Plano de Contas sem ponto'!C540</f>
        <v>1</v>
      </c>
    </row>
    <row r="541" spans="1:19" x14ac:dyDescent="0.2">
      <c r="A541" s="2" t="s">
        <v>982</v>
      </c>
      <c r="B541" s="2" t="s">
        <v>54</v>
      </c>
      <c r="C541" s="2" t="s">
        <v>983</v>
      </c>
      <c r="D541" s="2" t="s">
        <v>42</v>
      </c>
      <c r="E541" s="2" t="str">
        <f t="shared" si="63"/>
        <v>3</v>
      </c>
      <c r="F541" s="2" t="s">
        <v>873</v>
      </c>
      <c r="G541" s="4" t="s">
        <v>1492</v>
      </c>
      <c r="H541" s="2">
        <f t="shared" si="64"/>
        <v>16</v>
      </c>
      <c r="I541" s="3" t="str">
        <f t="shared" si="61"/>
        <v>-</v>
      </c>
      <c r="J541" s="2" t="str">
        <f t="shared" si="62"/>
        <v>COFINS - MOU</v>
      </c>
      <c r="K541" s="2" t="s">
        <v>876</v>
      </c>
      <c r="L541" s="6" t="s">
        <v>1576</v>
      </c>
      <c r="M541" s="6" t="s">
        <v>527</v>
      </c>
      <c r="S541" s="6" t="b">
        <f>C541='Plano de Contas sem ponto'!C541</f>
        <v>1</v>
      </c>
    </row>
    <row r="542" spans="1:19" x14ac:dyDescent="0.2">
      <c r="A542" s="1" t="s">
        <v>984</v>
      </c>
      <c r="B542" s="1" t="s">
        <v>40</v>
      </c>
      <c r="C542" s="1" t="s">
        <v>519</v>
      </c>
      <c r="D542" s="2" t="s">
        <v>42</v>
      </c>
      <c r="E542" s="2" t="str">
        <f t="shared" si="63"/>
        <v>3</v>
      </c>
      <c r="F542" s="2" t="s">
        <v>873</v>
      </c>
      <c r="G542" s="4" t="s">
        <v>1492</v>
      </c>
      <c r="H542" s="2">
        <f t="shared" si="64"/>
        <v>8</v>
      </c>
      <c r="I542" s="3" t="str">
        <f t="shared" si="61"/>
        <v>-</v>
      </c>
      <c r="J542" s="2" t="str">
        <f t="shared" si="62"/>
        <v>ISS</v>
      </c>
      <c r="K542" s="2" t="s">
        <v>876</v>
      </c>
      <c r="L542" s="6" t="s">
        <v>1576</v>
      </c>
      <c r="M542" s="6" t="s">
        <v>519</v>
      </c>
      <c r="S542" s="6" t="b">
        <f>C542='Plano de Contas sem ponto'!C542</f>
        <v>1</v>
      </c>
    </row>
    <row r="543" spans="1:19" x14ac:dyDescent="0.2">
      <c r="A543" s="1" t="s">
        <v>985</v>
      </c>
      <c r="B543" s="1" t="s">
        <v>40</v>
      </c>
      <c r="C543" s="1" t="s">
        <v>519</v>
      </c>
      <c r="D543" s="2" t="s">
        <v>42</v>
      </c>
      <c r="E543" s="2" t="str">
        <f t="shared" si="63"/>
        <v>3</v>
      </c>
      <c r="F543" s="2" t="s">
        <v>873</v>
      </c>
      <c r="G543" s="4" t="s">
        <v>1492</v>
      </c>
      <c r="H543" s="2">
        <f t="shared" si="64"/>
        <v>11</v>
      </c>
      <c r="I543" s="3" t="str">
        <f t="shared" si="61"/>
        <v>3.2.1.02.01</v>
      </c>
      <c r="J543" s="2" t="str">
        <f t="shared" si="62"/>
        <v>ISS</v>
      </c>
      <c r="K543" s="2" t="s">
        <v>876</v>
      </c>
      <c r="L543" s="6" t="s">
        <v>1576</v>
      </c>
      <c r="M543" s="6" t="s">
        <v>519</v>
      </c>
      <c r="S543" s="6" t="b">
        <f>C543='Plano de Contas sem ponto'!C543</f>
        <v>1</v>
      </c>
    </row>
    <row r="544" spans="1:19" x14ac:dyDescent="0.2">
      <c r="A544" s="2" t="s">
        <v>986</v>
      </c>
      <c r="B544" s="2" t="s">
        <v>54</v>
      </c>
      <c r="C544" s="2" t="s">
        <v>987</v>
      </c>
      <c r="D544" s="2" t="s">
        <v>42</v>
      </c>
      <c r="E544" s="2" t="str">
        <f t="shared" si="63"/>
        <v>3</v>
      </c>
      <c r="F544" s="2" t="s">
        <v>873</v>
      </c>
      <c r="G544" s="4" t="s">
        <v>1492</v>
      </c>
      <c r="H544" s="2">
        <f t="shared" si="64"/>
        <v>16</v>
      </c>
      <c r="I544" s="3" t="str">
        <f t="shared" si="61"/>
        <v>-</v>
      </c>
      <c r="J544" s="2" t="str">
        <f t="shared" si="62"/>
        <v>ISS</v>
      </c>
      <c r="K544" s="2" t="s">
        <v>876</v>
      </c>
      <c r="L544" s="6" t="s">
        <v>1576</v>
      </c>
      <c r="M544" s="6" t="s">
        <v>519</v>
      </c>
      <c r="S544" s="6" t="b">
        <f>C544='Plano de Contas sem ponto'!C544</f>
        <v>1</v>
      </c>
    </row>
    <row r="545" spans="1:19" x14ac:dyDescent="0.2">
      <c r="A545" s="2" t="s">
        <v>988</v>
      </c>
      <c r="B545" s="2" t="s">
        <v>54</v>
      </c>
      <c r="C545" s="2" t="s">
        <v>989</v>
      </c>
      <c r="D545" s="2" t="s">
        <v>42</v>
      </c>
      <c r="E545" s="2" t="str">
        <f t="shared" si="63"/>
        <v>3</v>
      </c>
      <c r="F545" s="2" t="s">
        <v>873</v>
      </c>
      <c r="G545" s="4" t="s">
        <v>1492</v>
      </c>
      <c r="H545" s="2">
        <f t="shared" si="64"/>
        <v>16</v>
      </c>
      <c r="I545" s="3" t="str">
        <f t="shared" si="61"/>
        <v>-</v>
      </c>
      <c r="J545" s="2" t="str">
        <f t="shared" si="62"/>
        <v>ISS</v>
      </c>
      <c r="K545" s="2" t="s">
        <v>876</v>
      </c>
      <c r="L545" s="6" t="s">
        <v>1576</v>
      </c>
      <c r="M545" s="6" t="s">
        <v>519</v>
      </c>
      <c r="S545" s="6" t="b">
        <f>C545='Plano de Contas sem ponto'!C545</f>
        <v>1</v>
      </c>
    </row>
    <row r="546" spans="1:19" x14ac:dyDescent="0.2">
      <c r="A546" s="1" t="s">
        <v>990</v>
      </c>
      <c r="B546" s="1" t="s">
        <v>40</v>
      </c>
      <c r="C546" s="1" t="s">
        <v>991</v>
      </c>
      <c r="D546" s="2" t="s">
        <v>42</v>
      </c>
      <c r="E546" s="2" t="str">
        <f t="shared" si="63"/>
        <v>3</v>
      </c>
      <c r="F546" s="2" t="s">
        <v>873</v>
      </c>
      <c r="G546" s="4" t="s">
        <v>1492</v>
      </c>
      <c r="H546" s="2">
        <f t="shared" si="64"/>
        <v>11</v>
      </c>
      <c r="I546" s="3" t="str">
        <f t="shared" si="61"/>
        <v>3.2.1.02.02</v>
      </c>
      <c r="J546" s="2" t="str">
        <f t="shared" si="62"/>
        <v>ISS - MOU</v>
      </c>
      <c r="K546" s="2" t="s">
        <v>876</v>
      </c>
      <c r="L546" s="6" t="s">
        <v>1576</v>
      </c>
      <c r="M546" s="6" t="s">
        <v>519</v>
      </c>
      <c r="S546" s="6" t="b">
        <f>C546='Plano de Contas sem ponto'!C546</f>
        <v>1</v>
      </c>
    </row>
    <row r="547" spans="1:19" x14ac:dyDescent="0.2">
      <c r="A547" s="2" t="s">
        <v>992</v>
      </c>
      <c r="B547" s="2" t="s">
        <v>54</v>
      </c>
      <c r="C547" s="2" t="s">
        <v>993</v>
      </c>
      <c r="D547" s="2" t="s">
        <v>42</v>
      </c>
      <c r="E547" s="2" t="str">
        <f t="shared" si="63"/>
        <v>3</v>
      </c>
      <c r="F547" s="2" t="s">
        <v>873</v>
      </c>
      <c r="G547" s="4" t="s">
        <v>1492</v>
      </c>
      <c r="H547" s="2">
        <f t="shared" si="64"/>
        <v>16</v>
      </c>
      <c r="I547" s="3" t="str">
        <f t="shared" si="61"/>
        <v>-</v>
      </c>
      <c r="J547" s="2" t="str">
        <f t="shared" si="62"/>
        <v>ISS - MOU</v>
      </c>
      <c r="K547" s="2" t="s">
        <v>876</v>
      </c>
      <c r="L547" s="6" t="s">
        <v>1576</v>
      </c>
      <c r="M547" s="6" t="s">
        <v>519</v>
      </c>
      <c r="S547" s="6" t="b">
        <f>C547='Plano de Contas sem ponto'!C547</f>
        <v>1</v>
      </c>
    </row>
    <row r="548" spans="1:19" x14ac:dyDescent="0.2">
      <c r="A548" s="1" t="s">
        <v>994</v>
      </c>
      <c r="B548" s="1" t="s">
        <v>40</v>
      </c>
      <c r="C548" s="1" t="s">
        <v>995</v>
      </c>
      <c r="D548" s="2" t="s">
        <v>42</v>
      </c>
      <c r="E548" s="2" t="str">
        <f t="shared" si="63"/>
        <v>3</v>
      </c>
      <c r="F548" s="2" t="s">
        <v>873</v>
      </c>
      <c r="G548" s="4" t="s">
        <v>1492</v>
      </c>
      <c r="H548" s="2">
        <f t="shared" si="64"/>
        <v>3</v>
      </c>
      <c r="I548" s="3" t="str">
        <f t="shared" si="61"/>
        <v>-</v>
      </c>
      <c r="J548" s="2" t="str">
        <f t="shared" si="62"/>
        <v>CUSTOS</v>
      </c>
      <c r="K548" s="2" t="s">
        <v>996</v>
      </c>
      <c r="S548" s="6" t="b">
        <f>C548='Plano de Contas sem ponto'!C548</f>
        <v>1</v>
      </c>
    </row>
    <row r="549" spans="1:19" x14ac:dyDescent="0.2">
      <c r="A549" s="1" t="s">
        <v>997</v>
      </c>
      <c r="B549" s="1" t="s">
        <v>40</v>
      </c>
      <c r="C549" s="1" t="s">
        <v>995</v>
      </c>
      <c r="D549" s="2" t="s">
        <v>42</v>
      </c>
      <c r="E549" s="2" t="str">
        <f t="shared" si="63"/>
        <v>3</v>
      </c>
      <c r="F549" s="2" t="s">
        <v>873</v>
      </c>
      <c r="G549" s="4" t="s">
        <v>1492</v>
      </c>
      <c r="H549" s="2">
        <f t="shared" si="64"/>
        <v>5</v>
      </c>
      <c r="I549" s="3" t="str">
        <f t="shared" si="61"/>
        <v>-</v>
      </c>
      <c r="J549" s="2" t="str">
        <f t="shared" si="62"/>
        <v>CUSTOS</v>
      </c>
      <c r="K549" s="2" t="s">
        <v>996</v>
      </c>
      <c r="S549" s="6" t="b">
        <f>C549='Plano de Contas sem ponto'!C549</f>
        <v>1</v>
      </c>
    </row>
    <row r="550" spans="1:19" x14ac:dyDescent="0.2">
      <c r="A550" s="1" t="s">
        <v>998</v>
      </c>
      <c r="B550" s="1" t="s">
        <v>40</v>
      </c>
      <c r="C550" s="1" t="s">
        <v>995</v>
      </c>
      <c r="D550" s="2" t="s">
        <v>42</v>
      </c>
      <c r="E550" s="2" t="str">
        <f t="shared" si="63"/>
        <v>3</v>
      </c>
      <c r="F550" s="2" t="s">
        <v>873</v>
      </c>
      <c r="G550" s="4" t="s">
        <v>1492</v>
      </c>
      <c r="H550" s="2">
        <f t="shared" si="64"/>
        <v>8</v>
      </c>
      <c r="I550" s="3" t="str">
        <f t="shared" si="61"/>
        <v>-</v>
      </c>
      <c r="J550" s="2" t="str">
        <f t="shared" si="62"/>
        <v>CUSTOS</v>
      </c>
      <c r="K550" s="2" t="s">
        <v>996</v>
      </c>
      <c r="S550" s="6" t="b">
        <f>C550='Plano de Contas sem ponto'!C550</f>
        <v>1</v>
      </c>
    </row>
    <row r="551" spans="1:19" x14ac:dyDescent="0.2">
      <c r="A551" s="1" t="s">
        <v>999</v>
      </c>
      <c r="B551" s="1" t="s">
        <v>40</v>
      </c>
      <c r="C551" s="1" t="s">
        <v>1000</v>
      </c>
      <c r="D551" s="2" t="s">
        <v>42</v>
      </c>
      <c r="E551" s="2" t="str">
        <f t="shared" si="63"/>
        <v>3</v>
      </c>
      <c r="F551" s="2" t="s">
        <v>873</v>
      </c>
      <c r="G551" s="4" t="s">
        <v>1492</v>
      </c>
      <c r="H551" s="2">
        <f t="shared" si="64"/>
        <v>11</v>
      </c>
      <c r="I551" s="3" t="str">
        <f t="shared" si="61"/>
        <v>3.3.1.01.01</v>
      </c>
      <c r="J551" s="2" t="str">
        <f t="shared" si="62"/>
        <v xml:space="preserve">CUSTOS </v>
      </c>
      <c r="K551" s="2" t="s">
        <v>996</v>
      </c>
      <c r="S551" s="6" t="b">
        <f>C551='Plano de Contas sem ponto'!C551</f>
        <v>1</v>
      </c>
    </row>
    <row r="552" spans="1:19" x14ac:dyDescent="0.2">
      <c r="A552" s="2" t="s">
        <v>1001</v>
      </c>
      <c r="B552" s="2" t="s">
        <v>54</v>
      </c>
      <c r="C552" s="2" t="s">
        <v>1002</v>
      </c>
      <c r="D552" s="2" t="s">
        <v>42</v>
      </c>
      <c r="E552" s="2" t="str">
        <f t="shared" si="63"/>
        <v>3</v>
      </c>
      <c r="F552" s="2" t="s">
        <v>873</v>
      </c>
      <c r="G552" s="4" t="s">
        <v>1492</v>
      </c>
      <c r="H552" s="2">
        <f t="shared" si="64"/>
        <v>16</v>
      </c>
      <c r="I552" s="3" t="str">
        <f t="shared" si="61"/>
        <v>-</v>
      </c>
      <c r="J552" s="2" t="str">
        <f t="shared" si="62"/>
        <v xml:space="preserve">CUSTOS </v>
      </c>
      <c r="K552" s="2" t="s">
        <v>996</v>
      </c>
      <c r="L552" s="10" t="s">
        <v>1580</v>
      </c>
      <c r="M552" s="10" t="s">
        <v>1580</v>
      </c>
      <c r="S552" s="6" t="b">
        <f>C552='Plano de Contas sem ponto'!C552</f>
        <v>1</v>
      </c>
    </row>
    <row r="553" spans="1:19" x14ac:dyDescent="0.2">
      <c r="A553" s="2" t="s">
        <v>1003</v>
      </c>
      <c r="B553" s="2" t="s">
        <v>54</v>
      </c>
      <c r="C553" s="2" t="s">
        <v>1004</v>
      </c>
      <c r="D553" s="2" t="s">
        <v>42</v>
      </c>
      <c r="E553" s="2" t="str">
        <f t="shared" si="63"/>
        <v>3</v>
      </c>
      <c r="F553" s="2" t="s">
        <v>873</v>
      </c>
      <c r="G553" s="4" t="s">
        <v>1492</v>
      </c>
      <c r="H553" s="2">
        <f t="shared" si="64"/>
        <v>16</v>
      </c>
      <c r="I553" s="3" t="str">
        <f t="shared" si="61"/>
        <v>-</v>
      </c>
      <c r="J553" s="2" t="str">
        <f t="shared" si="62"/>
        <v xml:space="preserve">CUSTOS </v>
      </c>
      <c r="K553" s="2" t="s">
        <v>996</v>
      </c>
      <c r="L553" s="6" t="s">
        <v>1581</v>
      </c>
      <c r="M553" s="6" t="s">
        <v>1581</v>
      </c>
      <c r="S553" s="6" t="b">
        <f>C553='Plano de Contas sem ponto'!C553</f>
        <v>1</v>
      </c>
    </row>
    <row r="554" spans="1:19" x14ac:dyDescent="0.2">
      <c r="A554" s="1" t="s">
        <v>1005</v>
      </c>
      <c r="B554" s="1" t="s">
        <v>40</v>
      </c>
      <c r="C554" s="1" t="s">
        <v>1006</v>
      </c>
      <c r="D554" s="2" t="s">
        <v>42</v>
      </c>
      <c r="E554" s="2" t="str">
        <f t="shared" si="63"/>
        <v>3</v>
      </c>
      <c r="F554" s="2" t="s">
        <v>873</v>
      </c>
      <c r="G554" s="4" t="s">
        <v>1492</v>
      </c>
      <c r="H554" s="2">
        <f t="shared" si="64"/>
        <v>11</v>
      </c>
      <c r="I554" s="3" t="str">
        <f t="shared" si="61"/>
        <v>3.3.1.01.02</v>
      </c>
      <c r="J554" s="2" t="str">
        <f t="shared" si="62"/>
        <v>CUSTOS - REVISTA DE SEGUROS</v>
      </c>
      <c r="K554" s="2" t="s">
        <v>996</v>
      </c>
      <c r="L554" s="6" t="s">
        <v>1581</v>
      </c>
      <c r="M554" s="6" t="s">
        <v>1581</v>
      </c>
      <c r="S554" s="6" t="b">
        <f>C554='Plano de Contas sem ponto'!C554</f>
        <v>1</v>
      </c>
    </row>
    <row r="555" spans="1:19" x14ac:dyDescent="0.2">
      <c r="A555" s="2" t="s">
        <v>1007</v>
      </c>
      <c r="B555" s="2" t="s">
        <v>54</v>
      </c>
      <c r="C555" s="2" t="s">
        <v>1008</v>
      </c>
      <c r="D555" s="2" t="s">
        <v>42</v>
      </c>
      <c r="E555" s="2" t="str">
        <f t="shared" si="63"/>
        <v>3</v>
      </c>
      <c r="F555" s="2" t="s">
        <v>873</v>
      </c>
      <c r="G555" s="4" t="s">
        <v>1492</v>
      </c>
      <c r="H555" s="2">
        <f t="shared" si="64"/>
        <v>16</v>
      </c>
      <c r="I555" s="3" t="str">
        <f t="shared" si="61"/>
        <v>-</v>
      </c>
      <c r="J555" s="2" t="str">
        <f t="shared" si="62"/>
        <v>CUSTOS - REVISTA DE SEGUROS</v>
      </c>
      <c r="K555" s="2" t="s">
        <v>876</v>
      </c>
      <c r="L555" s="6" t="s">
        <v>1574</v>
      </c>
      <c r="M555" s="6" t="s">
        <v>1727</v>
      </c>
      <c r="S555" s="6" t="b">
        <f>C555='Plano de Contas sem ponto'!C555</f>
        <v>1</v>
      </c>
    </row>
    <row r="556" spans="1:19" x14ac:dyDescent="0.2">
      <c r="A556" s="1" t="s">
        <v>1009</v>
      </c>
      <c r="B556" s="1" t="s">
        <v>40</v>
      </c>
      <c r="C556" s="1" t="s">
        <v>1010</v>
      </c>
      <c r="D556" s="2" t="s">
        <v>42</v>
      </c>
      <c r="E556" s="2" t="str">
        <f t="shared" si="63"/>
        <v>3</v>
      </c>
      <c r="F556" s="2" t="s">
        <v>873</v>
      </c>
      <c r="G556" s="4" t="s">
        <v>1492</v>
      </c>
      <c r="H556" s="2">
        <f t="shared" si="64"/>
        <v>11</v>
      </c>
      <c r="I556" s="3" t="str">
        <f t="shared" si="61"/>
        <v>3.3.1.01.03</v>
      </c>
      <c r="J556" s="2" t="str">
        <f t="shared" si="62"/>
        <v>CUSTOS - MOU</v>
      </c>
      <c r="K556" s="2" t="s">
        <v>996</v>
      </c>
      <c r="L556" s="6" t="s">
        <v>1581</v>
      </c>
      <c r="M556" s="6" t="s">
        <v>1581</v>
      </c>
      <c r="S556" s="6" t="b">
        <f>C556='Plano de Contas sem ponto'!C556</f>
        <v>1</v>
      </c>
    </row>
    <row r="557" spans="1:19" x14ac:dyDescent="0.2">
      <c r="A557" s="2" t="s">
        <v>1011</v>
      </c>
      <c r="B557" s="2" t="s">
        <v>54</v>
      </c>
      <c r="C557" s="2" t="s">
        <v>1012</v>
      </c>
      <c r="D557" s="2" t="s">
        <v>42</v>
      </c>
      <c r="E557" s="2" t="str">
        <f t="shared" si="63"/>
        <v>3</v>
      </c>
      <c r="F557" s="2" t="s">
        <v>873</v>
      </c>
      <c r="G557" s="4" t="s">
        <v>1492</v>
      </c>
      <c r="H557" s="2">
        <f t="shared" si="64"/>
        <v>16</v>
      </c>
      <c r="I557" s="3" t="str">
        <f t="shared" si="61"/>
        <v>-</v>
      </c>
      <c r="J557" s="2" t="str">
        <f t="shared" si="62"/>
        <v>CUSTOS - MOU</v>
      </c>
      <c r="K557" s="2" t="s">
        <v>996</v>
      </c>
      <c r="L557" s="6" t="s">
        <v>1581</v>
      </c>
      <c r="M557" s="6" t="s">
        <v>1581</v>
      </c>
      <c r="S557" s="6" t="b">
        <f>C557='Plano de Contas sem ponto'!C557</f>
        <v>1</v>
      </c>
    </row>
    <row r="558" spans="1:19" x14ac:dyDescent="0.2">
      <c r="A558" s="1" t="s">
        <v>1013</v>
      </c>
      <c r="B558" s="1" t="s">
        <v>40</v>
      </c>
      <c r="C558" s="1" t="s">
        <v>1014</v>
      </c>
      <c r="D558" s="2" t="s">
        <v>42</v>
      </c>
      <c r="E558" s="2" t="str">
        <f t="shared" si="63"/>
        <v>3</v>
      </c>
      <c r="F558" s="2" t="s">
        <v>873</v>
      </c>
      <c r="G558" s="4" t="s">
        <v>1492</v>
      </c>
      <c r="H558" s="2">
        <f t="shared" si="64"/>
        <v>3</v>
      </c>
      <c r="I558" s="3" t="str">
        <f t="shared" si="61"/>
        <v>-</v>
      </c>
      <c r="J558" s="2" t="str">
        <f t="shared" si="62"/>
        <v>OUTRAS DESPESAS OPERACIONAIS</v>
      </c>
      <c r="K558" s="2" t="s">
        <v>1015</v>
      </c>
      <c r="S558" s="6" t="b">
        <f>C558='Plano de Contas sem ponto'!C558</f>
        <v>1</v>
      </c>
    </row>
    <row r="559" spans="1:19" x14ac:dyDescent="0.2">
      <c r="A559" s="1" t="s">
        <v>1016</v>
      </c>
      <c r="B559" s="1" t="s">
        <v>40</v>
      </c>
      <c r="C559" s="1" t="s">
        <v>1014</v>
      </c>
      <c r="D559" s="2" t="s">
        <v>42</v>
      </c>
      <c r="E559" s="2" t="str">
        <f t="shared" si="63"/>
        <v>3</v>
      </c>
      <c r="F559" s="2" t="s">
        <v>873</v>
      </c>
      <c r="G559" s="4" t="s">
        <v>1492</v>
      </c>
      <c r="H559" s="2">
        <f t="shared" si="64"/>
        <v>5</v>
      </c>
      <c r="I559" s="3" t="str">
        <f t="shared" si="61"/>
        <v>-</v>
      </c>
      <c r="J559" s="2" t="str">
        <f t="shared" si="62"/>
        <v>OUTRAS DESPESAS OPERACIONAIS</v>
      </c>
      <c r="K559" s="2" t="s">
        <v>1015</v>
      </c>
      <c r="S559" s="6" t="b">
        <f>C559='Plano de Contas sem ponto'!C559</f>
        <v>1</v>
      </c>
    </row>
    <row r="560" spans="1:19" x14ac:dyDescent="0.2">
      <c r="A560" s="1" t="s">
        <v>1017</v>
      </c>
      <c r="B560" s="1" t="s">
        <v>40</v>
      </c>
      <c r="C560" s="1" t="s">
        <v>1018</v>
      </c>
      <c r="D560" s="2" t="s">
        <v>196</v>
      </c>
      <c r="E560" s="2" t="str">
        <f t="shared" si="63"/>
        <v>3</v>
      </c>
      <c r="F560" s="2" t="s">
        <v>873</v>
      </c>
      <c r="G560" s="4" t="s">
        <v>1492</v>
      </c>
      <c r="H560" s="2">
        <f t="shared" si="64"/>
        <v>8</v>
      </c>
      <c r="I560" s="3" t="str">
        <f t="shared" si="61"/>
        <v>-</v>
      </c>
      <c r="J560" s="2" t="str">
        <f t="shared" si="62"/>
        <v>OUTRAS DESPESAS</v>
      </c>
      <c r="K560" s="2" t="s">
        <v>1015</v>
      </c>
      <c r="S560" s="6" t="b">
        <f>C560='Plano de Contas sem ponto'!C560</f>
        <v>1</v>
      </c>
    </row>
    <row r="561" spans="1:19" x14ac:dyDescent="0.2">
      <c r="A561" s="1" t="s">
        <v>1019</v>
      </c>
      <c r="B561" s="1" t="s">
        <v>40</v>
      </c>
      <c r="C561" s="1" t="s">
        <v>1018</v>
      </c>
      <c r="D561" s="2" t="s">
        <v>196</v>
      </c>
      <c r="E561" s="2" t="str">
        <f t="shared" si="63"/>
        <v>3</v>
      </c>
      <c r="F561" s="2" t="s">
        <v>873</v>
      </c>
      <c r="G561" s="4" t="s">
        <v>1492</v>
      </c>
      <c r="H561" s="2">
        <f t="shared" si="64"/>
        <v>11</v>
      </c>
      <c r="I561" s="3" t="str">
        <f t="shared" si="61"/>
        <v>3.4.1.01.01</v>
      </c>
      <c r="J561" s="2" t="str">
        <f t="shared" si="62"/>
        <v>OUTRAS DESPESAS</v>
      </c>
      <c r="K561" s="2" t="s">
        <v>1015</v>
      </c>
      <c r="S561" s="6" t="b">
        <f>C561='Plano de Contas sem ponto'!C561</f>
        <v>1</v>
      </c>
    </row>
    <row r="562" spans="1:19" x14ac:dyDescent="0.2">
      <c r="A562" s="2" t="s">
        <v>1020</v>
      </c>
      <c r="B562" s="2" t="s">
        <v>54</v>
      </c>
      <c r="C562" s="2" t="s">
        <v>1014</v>
      </c>
      <c r="D562" s="2" t="s">
        <v>196</v>
      </c>
      <c r="E562" s="2" t="str">
        <f t="shared" si="63"/>
        <v>3</v>
      </c>
      <c r="F562" s="2" t="s">
        <v>873</v>
      </c>
      <c r="G562" s="4" t="s">
        <v>1492</v>
      </c>
      <c r="H562" s="2">
        <f t="shared" si="64"/>
        <v>16</v>
      </c>
      <c r="I562" s="3" t="str">
        <f t="shared" si="61"/>
        <v>-</v>
      </c>
      <c r="J562" s="2" t="str">
        <f t="shared" si="62"/>
        <v>OUTRAS DESPESAS</v>
      </c>
      <c r="K562" s="2" t="s">
        <v>1015</v>
      </c>
      <c r="S562" s="6" t="b">
        <f>C562='Plano de Contas sem ponto'!C562</f>
        <v>1</v>
      </c>
    </row>
    <row r="563" spans="1:19" x14ac:dyDescent="0.2">
      <c r="A563" s="2" t="s">
        <v>1021</v>
      </c>
      <c r="B563" s="2" t="s">
        <v>54</v>
      </c>
      <c r="C563" s="2" t="s">
        <v>1022</v>
      </c>
      <c r="D563" s="2" t="s">
        <v>196</v>
      </c>
      <c r="E563" s="2" t="str">
        <f t="shared" si="63"/>
        <v>3</v>
      </c>
      <c r="F563" s="2" t="s">
        <v>873</v>
      </c>
      <c r="G563" s="4" t="s">
        <v>1492</v>
      </c>
      <c r="H563" s="2">
        <f t="shared" si="64"/>
        <v>16</v>
      </c>
      <c r="I563" s="3" t="str">
        <f t="shared" si="61"/>
        <v>-</v>
      </c>
      <c r="J563" s="2" t="str">
        <f t="shared" si="62"/>
        <v>OUTRAS DESPESAS</v>
      </c>
      <c r="K563" s="6" t="s">
        <v>1015</v>
      </c>
      <c r="L563" s="6" t="s">
        <v>1575</v>
      </c>
      <c r="M563" s="6" t="s">
        <v>1575</v>
      </c>
      <c r="S563" s="6" t="b">
        <f>C563='Plano de Contas sem ponto'!C563</f>
        <v>1</v>
      </c>
    </row>
    <row r="564" spans="1:19" x14ac:dyDescent="0.2">
      <c r="A564" s="1" t="s">
        <v>1023</v>
      </c>
      <c r="B564" s="1" t="s">
        <v>40</v>
      </c>
      <c r="C564" s="1" t="s">
        <v>1024</v>
      </c>
      <c r="D564" s="2" t="s">
        <v>42</v>
      </c>
      <c r="E564" s="2" t="str">
        <f t="shared" si="63"/>
        <v>4</v>
      </c>
      <c r="F564" s="2" t="s">
        <v>1025</v>
      </c>
      <c r="G564" s="4" t="s">
        <v>1492</v>
      </c>
      <c r="H564" s="2">
        <f t="shared" si="64"/>
        <v>1</v>
      </c>
      <c r="I564" s="3" t="str">
        <f t="shared" si="61"/>
        <v>-</v>
      </c>
      <c r="J564" s="2" t="str">
        <f t="shared" si="62"/>
        <v>DESPESAS</v>
      </c>
      <c r="K564" s="2" t="s">
        <v>1015</v>
      </c>
      <c r="S564" s="6" t="b">
        <f>C564='Plano de Contas sem ponto'!C564</f>
        <v>1</v>
      </c>
    </row>
    <row r="565" spans="1:19" x14ac:dyDescent="0.2">
      <c r="A565" s="1" t="s">
        <v>1026</v>
      </c>
      <c r="B565" s="1" t="s">
        <v>40</v>
      </c>
      <c r="C565" s="1" t="s">
        <v>1027</v>
      </c>
      <c r="D565" s="2" t="s">
        <v>42</v>
      </c>
      <c r="E565" s="2" t="str">
        <f t="shared" si="63"/>
        <v>4</v>
      </c>
      <c r="F565" s="2" t="s">
        <v>1025</v>
      </c>
      <c r="G565" s="4" t="s">
        <v>1492</v>
      </c>
      <c r="H565" s="2">
        <f t="shared" si="64"/>
        <v>3</v>
      </c>
      <c r="I565" s="3" t="str">
        <f t="shared" si="61"/>
        <v>-</v>
      </c>
      <c r="J565" s="2" t="str">
        <f t="shared" si="62"/>
        <v>DESPESAS OPERACIONAIS</v>
      </c>
      <c r="K565" s="2" t="s">
        <v>1015</v>
      </c>
      <c r="S565" s="6" t="b">
        <f>C565='Plano de Contas sem ponto'!C565</f>
        <v>1</v>
      </c>
    </row>
    <row r="566" spans="1:19" x14ac:dyDescent="0.2">
      <c r="A566" s="1" t="s">
        <v>1028</v>
      </c>
      <c r="B566" s="1" t="s">
        <v>40</v>
      </c>
      <c r="C566" s="1" t="s">
        <v>1029</v>
      </c>
      <c r="D566" s="2" t="s">
        <v>42</v>
      </c>
      <c r="E566" s="2" t="str">
        <f t="shared" si="63"/>
        <v>4</v>
      </c>
      <c r="F566" s="2" t="s">
        <v>1025</v>
      </c>
      <c r="G566" s="4" t="s">
        <v>1492</v>
      </c>
      <c r="H566" s="2">
        <f t="shared" si="64"/>
        <v>5</v>
      </c>
      <c r="I566" s="3" t="str">
        <f t="shared" si="61"/>
        <v>-</v>
      </c>
      <c r="J566" s="2" t="str">
        <f t="shared" si="62"/>
        <v>DESPESAS SINDICAIS</v>
      </c>
      <c r="K566" s="2" t="s">
        <v>1015</v>
      </c>
      <c r="S566" s="6" t="b">
        <f>C566='Plano de Contas sem ponto'!C566</f>
        <v>1</v>
      </c>
    </row>
    <row r="567" spans="1:19" x14ac:dyDescent="0.2">
      <c r="A567" s="1" t="s">
        <v>1030</v>
      </c>
      <c r="B567" s="1" t="s">
        <v>40</v>
      </c>
      <c r="C567" s="1" t="s">
        <v>1029</v>
      </c>
      <c r="D567" s="2" t="s">
        <v>42</v>
      </c>
      <c r="E567" s="2" t="str">
        <f t="shared" si="63"/>
        <v>4</v>
      </c>
      <c r="F567" s="2" t="s">
        <v>1025</v>
      </c>
      <c r="G567" s="4" t="s">
        <v>1492</v>
      </c>
      <c r="H567" s="2">
        <f t="shared" si="64"/>
        <v>8</v>
      </c>
      <c r="I567" s="3" t="str">
        <f t="shared" si="61"/>
        <v>-</v>
      </c>
      <c r="J567" s="2" t="str">
        <f t="shared" si="62"/>
        <v>DESPESAS SINDICAIS</v>
      </c>
      <c r="K567" s="2" t="s">
        <v>1015</v>
      </c>
      <c r="S567" s="6" t="b">
        <f>C567='Plano de Contas sem ponto'!C567</f>
        <v>1</v>
      </c>
    </row>
    <row r="568" spans="1:19" x14ac:dyDescent="0.2">
      <c r="A568" s="1" t="s">
        <v>1031</v>
      </c>
      <c r="B568" s="1" t="s">
        <v>40</v>
      </c>
      <c r="C568" s="1" t="s">
        <v>1032</v>
      </c>
      <c r="D568" s="2" t="s">
        <v>42</v>
      </c>
      <c r="E568" s="2" t="str">
        <f t="shared" si="63"/>
        <v>4</v>
      </c>
      <c r="F568" s="2" t="s">
        <v>1025</v>
      </c>
      <c r="G568" s="4" t="s">
        <v>1492</v>
      </c>
      <c r="H568" s="2">
        <f t="shared" si="64"/>
        <v>11</v>
      </c>
      <c r="I568" s="3" t="str">
        <f t="shared" si="61"/>
        <v>4.1.1.01.01</v>
      </c>
      <c r="J568" s="2" t="str">
        <f t="shared" si="62"/>
        <v>CONTRIBUICAO REGULAMENTAR</v>
      </c>
      <c r="K568" s="2" t="s">
        <v>1015</v>
      </c>
      <c r="S568" s="6" t="b">
        <f>C568='Plano de Contas sem ponto'!C568</f>
        <v>1</v>
      </c>
    </row>
    <row r="569" spans="1:19" x14ac:dyDescent="0.2">
      <c r="A569" s="2" t="s">
        <v>1033</v>
      </c>
      <c r="B569" s="2" t="s">
        <v>54</v>
      </c>
      <c r="C569" s="2" t="s">
        <v>1034</v>
      </c>
      <c r="D569" s="2" t="s">
        <v>42</v>
      </c>
      <c r="E569" s="2" t="str">
        <f t="shared" si="63"/>
        <v>4</v>
      </c>
      <c r="F569" s="2" t="s">
        <v>1025</v>
      </c>
      <c r="G569" s="4" t="s">
        <v>1492</v>
      </c>
      <c r="H569" s="2">
        <f t="shared" si="64"/>
        <v>16</v>
      </c>
      <c r="I569" s="3" t="str">
        <f t="shared" si="61"/>
        <v>-</v>
      </c>
      <c r="J569" s="2" t="str">
        <f t="shared" si="62"/>
        <v>CONTRIBUICAO REGULAMENTAR</v>
      </c>
      <c r="K569" s="2" t="s">
        <v>876</v>
      </c>
      <c r="L569" s="6" t="s">
        <v>1574</v>
      </c>
      <c r="M569" s="6" t="s">
        <v>1577</v>
      </c>
      <c r="S569" s="6" t="b">
        <f>C569='Plano de Contas sem ponto'!C569</f>
        <v>1</v>
      </c>
    </row>
    <row r="570" spans="1:19" x14ac:dyDescent="0.2">
      <c r="A570" s="2" t="s">
        <v>1035</v>
      </c>
      <c r="B570" s="2" t="s">
        <v>54</v>
      </c>
      <c r="C570" s="2" t="s">
        <v>1036</v>
      </c>
      <c r="D570" s="2" t="s">
        <v>42</v>
      </c>
      <c r="E570" s="2" t="str">
        <f t="shared" si="63"/>
        <v>4</v>
      </c>
      <c r="F570" s="2" t="s">
        <v>1025</v>
      </c>
      <c r="G570" s="4" t="s">
        <v>1492</v>
      </c>
      <c r="H570" s="2">
        <f t="shared" si="64"/>
        <v>16</v>
      </c>
      <c r="I570" s="3" t="str">
        <f t="shared" si="61"/>
        <v>-</v>
      </c>
      <c r="J570" s="2" t="str">
        <f t="shared" si="62"/>
        <v>CONTRIBUICAO REGULAMENTAR</v>
      </c>
      <c r="K570" s="2" t="s">
        <v>876</v>
      </c>
      <c r="L570" s="6" t="s">
        <v>1574</v>
      </c>
      <c r="M570" s="6" t="s">
        <v>1577</v>
      </c>
      <c r="S570" s="6" t="b">
        <f>C570='Plano de Contas sem ponto'!C570</f>
        <v>1</v>
      </c>
    </row>
    <row r="571" spans="1:19" x14ac:dyDescent="0.2">
      <c r="A571" s="2" t="s">
        <v>1037</v>
      </c>
      <c r="B571" s="2" t="s">
        <v>54</v>
      </c>
      <c r="C571" s="2" t="s">
        <v>1038</v>
      </c>
      <c r="D571" s="2" t="s">
        <v>42</v>
      </c>
      <c r="E571" s="2" t="str">
        <f t="shared" si="63"/>
        <v>4</v>
      </c>
      <c r="F571" s="2" t="s">
        <v>1025</v>
      </c>
      <c r="G571" s="4" t="s">
        <v>1492</v>
      </c>
      <c r="H571" s="2">
        <f t="shared" si="64"/>
        <v>16</v>
      </c>
      <c r="I571" s="3" t="str">
        <f t="shared" si="61"/>
        <v>-</v>
      </c>
      <c r="J571" s="2" t="str">
        <f t="shared" si="62"/>
        <v>CONTRIBUICAO REGULAMENTAR</v>
      </c>
      <c r="K571" s="2" t="s">
        <v>876</v>
      </c>
      <c r="L571" s="6" t="s">
        <v>1574</v>
      </c>
      <c r="M571" s="6" t="s">
        <v>1577</v>
      </c>
      <c r="S571" s="6" t="b">
        <f>C571='Plano de Contas sem ponto'!C571</f>
        <v>1</v>
      </c>
    </row>
    <row r="572" spans="1:19" x14ac:dyDescent="0.2">
      <c r="A572" s="1" t="s">
        <v>1039</v>
      </c>
      <c r="B572" s="1" t="s">
        <v>40</v>
      </c>
      <c r="C572" s="1" t="s">
        <v>1040</v>
      </c>
      <c r="D572" s="2" t="s">
        <v>42</v>
      </c>
      <c r="E572" s="2" t="str">
        <f t="shared" si="63"/>
        <v>4</v>
      </c>
      <c r="F572" s="2" t="s">
        <v>1025</v>
      </c>
      <c r="G572" s="4" t="s">
        <v>1492</v>
      </c>
      <c r="H572" s="2">
        <f t="shared" si="64"/>
        <v>11</v>
      </c>
      <c r="I572" s="3" t="str">
        <f t="shared" si="61"/>
        <v>4.1.1.01.02</v>
      </c>
      <c r="J572" s="2" t="str">
        <f t="shared" si="62"/>
        <v>OUTRAS DESPESAS SINDICAIS</v>
      </c>
      <c r="K572" s="2" t="s">
        <v>1015</v>
      </c>
      <c r="L572" s="6" t="s">
        <v>1599</v>
      </c>
      <c r="M572" s="6" t="s">
        <v>1605</v>
      </c>
      <c r="S572" s="6" t="b">
        <f>C572='Plano de Contas sem ponto'!C572</f>
        <v>1</v>
      </c>
    </row>
    <row r="573" spans="1:19" x14ac:dyDescent="0.2">
      <c r="A573" s="2" t="s">
        <v>1041</v>
      </c>
      <c r="B573" s="2" t="s">
        <v>54</v>
      </c>
      <c r="C573" s="2" t="s">
        <v>898</v>
      </c>
      <c r="D573" s="2" t="s">
        <v>42</v>
      </c>
      <c r="E573" s="2" t="str">
        <f t="shared" si="63"/>
        <v>4</v>
      </c>
      <c r="F573" s="2" t="s">
        <v>1025</v>
      </c>
      <c r="G573" s="4" t="s">
        <v>1492</v>
      </c>
      <c r="H573" s="2">
        <f t="shared" si="64"/>
        <v>16</v>
      </c>
      <c r="I573" s="3" t="str">
        <f t="shared" si="61"/>
        <v>-</v>
      </c>
      <c r="J573" s="2" t="str">
        <f t="shared" si="62"/>
        <v>OUTRAS DESPESAS SINDICAIS</v>
      </c>
      <c r="K573" s="2" t="s">
        <v>1015</v>
      </c>
      <c r="L573" s="6" t="s">
        <v>1599</v>
      </c>
      <c r="M573" s="6" t="s">
        <v>1605</v>
      </c>
      <c r="S573" s="6" t="b">
        <f>C573='Plano de Contas sem ponto'!C573</f>
        <v>1</v>
      </c>
    </row>
    <row r="574" spans="1:19" x14ac:dyDescent="0.2">
      <c r="A574" s="2" t="s">
        <v>1042</v>
      </c>
      <c r="B574" s="2" t="s">
        <v>54</v>
      </c>
      <c r="C574" s="2" t="s">
        <v>1043</v>
      </c>
      <c r="D574" s="2" t="s">
        <v>42</v>
      </c>
      <c r="E574" s="2" t="str">
        <f t="shared" si="63"/>
        <v>4</v>
      </c>
      <c r="F574" s="2" t="s">
        <v>1025</v>
      </c>
      <c r="G574" s="4" t="s">
        <v>1492</v>
      </c>
      <c r="H574" s="2">
        <f t="shared" si="64"/>
        <v>16</v>
      </c>
      <c r="I574" s="3" t="str">
        <f t="shared" si="61"/>
        <v>-</v>
      </c>
      <c r="J574" s="2" t="str">
        <f t="shared" si="62"/>
        <v>OUTRAS DESPESAS SINDICAIS</v>
      </c>
      <c r="K574" s="2" t="s">
        <v>1015</v>
      </c>
      <c r="L574" s="6" t="s">
        <v>1599</v>
      </c>
      <c r="M574" s="6" t="s">
        <v>1605</v>
      </c>
      <c r="S574" s="6" t="b">
        <f>C574='Plano de Contas sem ponto'!C574</f>
        <v>1</v>
      </c>
    </row>
    <row r="575" spans="1:19" x14ac:dyDescent="0.2">
      <c r="A575" s="2" t="s">
        <v>1044</v>
      </c>
      <c r="B575" s="2" t="s">
        <v>54</v>
      </c>
      <c r="C575" s="2" t="s">
        <v>1045</v>
      </c>
      <c r="D575" s="2" t="s">
        <v>42</v>
      </c>
      <c r="E575" s="2" t="str">
        <f t="shared" si="63"/>
        <v>4</v>
      </c>
      <c r="F575" s="2" t="s">
        <v>1025</v>
      </c>
      <c r="G575" s="4" t="s">
        <v>1492</v>
      </c>
      <c r="H575" s="2">
        <f t="shared" si="64"/>
        <v>16</v>
      </c>
      <c r="I575" s="3" t="str">
        <f t="shared" si="61"/>
        <v>-</v>
      </c>
      <c r="J575" s="2" t="str">
        <f t="shared" si="62"/>
        <v>OUTRAS DESPESAS SINDICAIS</v>
      </c>
      <c r="K575" s="2" t="s">
        <v>1015</v>
      </c>
      <c r="L575" s="6" t="s">
        <v>1599</v>
      </c>
      <c r="M575" s="6" t="s">
        <v>1605</v>
      </c>
      <c r="S575" s="6" t="b">
        <f>C575='Plano de Contas sem ponto'!C575</f>
        <v>1</v>
      </c>
    </row>
    <row r="576" spans="1:19" x14ac:dyDescent="0.2">
      <c r="A576" s="2" t="s">
        <v>1046</v>
      </c>
      <c r="B576" s="2" t="s">
        <v>54</v>
      </c>
      <c r="C576" s="2" t="s">
        <v>1047</v>
      </c>
      <c r="D576" s="2" t="s">
        <v>42</v>
      </c>
      <c r="E576" s="2" t="str">
        <f t="shared" si="63"/>
        <v>4</v>
      </c>
      <c r="F576" s="2" t="s">
        <v>1025</v>
      </c>
      <c r="G576" s="4" t="s">
        <v>1492</v>
      </c>
      <c r="H576" s="2">
        <f t="shared" si="64"/>
        <v>16</v>
      </c>
      <c r="I576" s="3" t="str">
        <f t="shared" si="61"/>
        <v>-</v>
      </c>
      <c r="J576" s="2" t="str">
        <f t="shared" si="62"/>
        <v>OUTRAS DESPESAS SINDICAIS</v>
      </c>
      <c r="K576" s="2" t="s">
        <v>1015</v>
      </c>
      <c r="L576" s="6" t="s">
        <v>1599</v>
      </c>
      <c r="M576" s="6" t="s">
        <v>1605</v>
      </c>
      <c r="S576" s="6" t="b">
        <f>C576='Plano de Contas sem ponto'!C576</f>
        <v>1</v>
      </c>
    </row>
    <row r="577" spans="1:19" x14ac:dyDescent="0.2">
      <c r="A577" s="2" t="s">
        <v>1048</v>
      </c>
      <c r="B577" s="2" t="s">
        <v>54</v>
      </c>
      <c r="C577" s="2" t="s">
        <v>1040</v>
      </c>
      <c r="D577" s="2" t="s">
        <v>42</v>
      </c>
      <c r="E577" s="2" t="str">
        <f t="shared" si="63"/>
        <v>4</v>
      </c>
      <c r="F577" s="2" t="s">
        <v>1025</v>
      </c>
      <c r="G577" s="4" t="s">
        <v>1492</v>
      </c>
      <c r="H577" s="2">
        <f t="shared" si="64"/>
        <v>16</v>
      </c>
      <c r="I577" s="3" t="str">
        <f t="shared" si="61"/>
        <v>-</v>
      </c>
      <c r="J577" s="2" t="str">
        <f t="shared" si="62"/>
        <v>OUTRAS DESPESAS SINDICAIS</v>
      </c>
      <c r="K577" s="2" t="s">
        <v>1015</v>
      </c>
      <c r="L577" s="6" t="s">
        <v>1599</v>
      </c>
      <c r="M577" s="6" t="s">
        <v>1605</v>
      </c>
      <c r="S577" s="6" t="b">
        <f>C577='Plano de Contas sem ponto'!C577</f>
        <v>1</v>
      </c>
    </row>
    <row r="578" spans="1:19" x14ac:dyDescent="0.2">
      <c r="A578" s="1" t="s">
        <v>1049</v>
      </c>
      <c r="B578" s="1" t="s">
        <v>40</v>
      </c>
      <c r="C578" s="1" t="s">
        <v>1050</v>
      </c>
      <c r="D578" s="2" t="s">
        <v>42</v>
      </c>
      <c r="E578" s="2" t="str">
        <f t="shared" si="63"/>
        <v>4</v>
      </c>
      <c r="F578" s="2" t="s">
        <v>1025</v>
      </c>
      <c r="G578" s="4" t="s">
        <v>1492</v>
      </c>
      <c r="H578" s="2">
        <f t="shared" si="64"/>
        <v>5</v>
      </c>
      <c r="I578" s="3" t="str">
        <f t="shared" si="61"/>
        <v>-</v>
      </c>
      <c r="J578" s="2" t="str">
        <f t="shared" si="62"/>
        <v>DESPESAS COM PESSOAL</v>
      </c>
      <c r="K578" s="2" t="s">
        <v>1015</v>
      </c>
      <c r="L578" s="6" t="s">
        <v>1527</v>
      </c>
      <c r="M578" s="16"/>
      <c r="S578" s="6" t="b">
        <f>C578='Plano de Contas sem ponto'!C578</f>
        <v>1</v>
      </c>
    </row>
    <row r="579" spans="1:19" x14ac:dyDescent="0.2">
      <c r="A579" s="1" t="s">
        <v>1051</v>
      </c>
      <c r="B579" s="1" t="s">
        <v>40</v>
      </c>
      <c r="C579" s="1" t="s">
        <v>1052</v>
      </c>
      <c r="D579" s="2" t="s">
        <v>42</v>
      </c>
      <c r="E579" s="2" t="str">
        <f t="shared" si="63"/>
        <v>4</v>
      </c>
      <c r="F579" s="2" t="s">
        <v>1025</v>
      </c>
      <c r="G579" s="4" t="s">
        <v>1492</v>
      </c>
      <c r="H579" s="2">
        <f t="shared" si="64"/>
        <v>8</v>
      </c>
      <c r="I579" s="3" t="str">
        <f t="shared" si="61"/>
        <v>-</v>
      </c>
      <c r="J579" s="2" t="str">
        <f t="shared" si="62"/>
        <v>DESPESAS COM EMPREGADOS</v>
      </c>
      <c r="K579" s="2" t="s">
        <v>1015</v>
      </c>
      <c r="L579" s="6" t="s">
        <v>1527</v>
      </c>
      <c r="M579" s="16"/>
      <c r="S579" s="6" t="b">
        <f>C579='Plano de Contas sem ponto'!C579</f>
        <v>1</v>
      </c>
    </row>
    <row r="580" spans="1:19" x14ac:dyDescent="0.2">
      <c r="A580" s="1" t="s">
        <v>1053</v>
      </c>
      <c r="B580" s="1" t="s">
        <v>40</v>
      </c>
      <c r="C580" s="1" t="s">
        <v>1052</v>
      </c>
      <c r="D580" s="2" t="s">
        <v>42</v>
      </c>
      <c r="E580" s="2" t="str">
        <f t="shared" si="63"/>
        <v>4</v>
      </c>
      <c r="F580" s="2" t="s">
        <v>1025</v>
      </c>
      <c r="G580" s="4" t="s">
        <v>1492</v>
      </c>
      <c r="H580" s="2">
        <f t="shared" si="64"/>
        <v>11</v>
      </c>
      <c r="I580" s="3" t="str">
        <f t="shared" si="61"/>
        <v>4.1.2.01.01</v>
      </c>
      <c r="J580" s="2" t="str">
        <f t="shared" si="62"/>
        <v>DESPESAS COM EMPREGADOS</v>
      </c>
      <c r="K580" s="2" t="s">
        <v>1015</v>
      </c>
      <c r="L580" s="6" t="s">
        <v>1527</v>
      </c>
      <c r="M580" s="16"/>
      <c r="S580" s="6" t="b">
        <f>C580='Plano de Contas sem ponto'!C580</f>
        <v>1</v>
      </c>
    </row>
    <row r="581" spans="1:19" x14ac:dyDescent="0.2">
      <c r="A581" s="2" t="s">
        <v>1054</v>
      </c>
      <c r="B581" s="2" t="s">
        <v>54</v>
      </c>
      <c r="C581" s="2" t="s">
        <v>1055</v>
      </c>
      <c r="D581" s="2" t="s">
        <v>42</v>
      </c>
      <c r="E581" s="2" t="str">
        <f t="shared" si="63"/>
        <v>4</v>
      </c>
      <c r="F581" s="2" t="s">
        <v>1025</v>
      </c>
      <c r="G581" s="4" t="s">
        <v>1492</v>
      </c>
      <c r="H581" s="2">
        <f t="shared" si="64"/>
        <v>16</v>
      </c>
      <c r="I581" s="3" t="str">
        <f t="shared" si="61"/>
        <v>-</v>
      </c>
      <c r="J581" s="2" t="str">
        <f t="shared" si="62"/>
        <v>DESPESAS COM EMPREGADOS</v>
      </c>
      <c r="K581" s="2" t="s">
        <v>1015</v>
      </c>
      <c r="L581" s="6" t="s">
        <v>1527</v>
      </c>
      <c r="M581" s="16" t="s">
        <v>1529</v>
      </c>
      <c r="S581" s="6" t="b">
        <f>C581='Plano de Contas sem ponto'!C581</f>
        <v>1</v>
      </c>
    </row>
    <row r="582" spans="1:19" x14ac:dyDescent="0.2">
      <c r="A582" s="2" t="s">
        <v>1056</v>
      </c>
      <c r="B582" s="2" t="s">
        <v>54</v>
      </c>
      <c r="C582" s="2" t="s">
        <v>1057</v>
      </c>
      <c r="D582" s="2" t="s">
        <v>42</v>
      </c>
      <c r="E582" s="2" t="str">
        <f t="shared" si="63"/>
        <v>4</v>
      </c>
      <c r="F582" s="2" t="s">
        <v>1025</v>
      </c>
      <c r="G582" s="4" t="s">
        <v>1492</v>
      </c>
      <c r="H582" s="2">
        <f t="shared" si="64"/>
        <v>16</v>
      </c>
      <c r="I582" s="3" t="str">
        <f t="shared" si="61"/>
        <v>-</v>
      </c>
      <c r="J582" s="2" t="str">
        <f t="shared" si="62"/>
        <v>DESPESAS COM EMPREGADOS</v>
      </c>
      <c r="K582" s="2" t="s">
        <v>1015</v>
      </c>
      <c r="L582" s="6" t="s">
        <v>1527</v>
      </c>
      <c r="M582" s="16" t="s">
        <v>1742</v>
      </c>
      <c r="S582" s="6" t="b">
        <f>C582='Plano de Contas sem ponto'!C582</f>
        <v>1</v>
      </c>
    </row>
    <row r="583" spans="1:19" x14ac:dyDescent="0.2">
      <c r="A583" s="2" t="s">
        <v>1058</v>
      </c>
      <c r="B583" s="2" t="s">
        <v>54</v>
      </c>
      <c r="C583" s="2" t="s">
        <v>1059</v>
      </c>
      <c r="D583" s="2" t="s">
        <v>42</v>
      </c>
      <c r="E583" s="2" t="str">
        <f t="shared" si="63"/>
        <v>4</v>
      </c>
      <c r="F583" s="2" t="s">
        <v>1025</v>
      </c>
      <c r="G583" s="4" t="s">
        <v>1492</v>
      </c>
      <c r="H583" s="2">
        <f t="shared" si="64"/>
        <v>16</v>
      </c>
      <c r="I583" s="3" t="str">
        <f t="shared" si="61"/>
        <v>-</v>
      </c>
      <c r="J583" s="2" t="str">
        <f t="shared" si="62"/>
        <v>DESPESAS COM EMPREGADOS</v>
      </c>
      <c r="K583" s="2" t="s">
        <v>1015</v>
      </c>
      <c r="L583" s="6" t="s">
        <v>1527</v>
      </c>
      <c r="M583" s="16" t="s">
        <v>1743</v>
      </c>
      <c r="S583" s="6" t="b">
        <f>C583='Plano de Contas sem ponto'!C583</f>
        <v>1</v>
      </c>
    </row>
    <row r="584" spans="1:19" x14ac:dyDescent="0.2">
      <c r="A584" s="2" t="s">
        <v>1060</v>
      </c>
      <c r="B584" s="2" t="s">
        <v>54</v>
      </c>
      <c r="C584" s="2" t="s">
        <v>691</v>
      </c>
      <c r="D584" s="2" t="s">
        <v>42</v>
      </c>
      <c r="E584" s="2" t="str">
        <f t="shared" si="63"/>
        <v>4</v>
      </c>
      <c r="F584" s="2" t="s">
        <v>1025</v>
      </c>
      <c r="G584" s="4" t="s">
        <v>1492</v>
      </c>
      <c r="H584" s="2">
        <f t="shared" si="64"/>
        <v>16</v>
      </c>
      <c r="I584" s="3" t="str">
        <f t="shared" si="61"/>
        <v>-</v>
      </c>
      <c r="J584" s="2" t="str">
        <f t="shared" si="62"/>
        <v>DESPESAS COM EMPREGADOS</v>
      </c>
      <c r="K584" s="2" t="s">
        <v>1015</v>
      </c>
      <c r="L584" s="6" t="s">
        <v>1527</v>
      </c>
      <c r="M584" s="16" t="s">
        <v>1744</v>
      </c>
      <c r="S584" s="6" t="b">
        <f>C584='Plano de Contas sem ponto'!C584</f>
        <v>1</v>
      </c>
    </row>
    <row r="585" spans="1:19" x14ac:dyDescent="0.2">
      <c r="A585" s="2" t="s">
        <v>1061</v>
      </c>
      <c r="B585" s="2" t="s">
        <v>54</v>
      </c>
      <c r="C585" s="2" t="s">
        <v>1062</v>
      </c>
      <c r="D585" s="2" t="s">
        <v>42</v>
      </c>
      <c r="E585" s="2" t="str">
        <f t="shared" si="63"/>
        <v>4</v>
      </c>
      <c r="F585" s="2" t="s">
        <v>1025</v>
      </c>
      <c r="G585" s="4" t="s">
        <v>1492</v>
      </c>
      <c r="H585" s="2">
        <f t="shared" si="64"/>
        <v>16</v>
      </c>
      <c r="I585" s="3" t="str">
        <f t="shared" si="61"/>
        <v>-</v>
      </c>
      <c r="J585" s="2" t="str">
        <f t="shared" si="62"/>
        <v>DESPESAS COM EMPREGADOS</v>
      </c>
      <c r="K585" s="2" t="s">
        <v>1015</v>
      </c>
      <c r="L585" s="6" t="s">
        <v>1527</v>
      </c>
      <c r="M585" s="16" t="s">
        <v>1745</v>
      </c>
      <c r="S585" s="6" t="b">
        <f>C585='Plano de Contas sem ponto'!C585</f>
        <v>1</v>
      </c>
    </row>
    <row r="586" spans="1:19" x14ac:dyDescent="0.2">
      <c r="A586" s="2" t="s">
        <v>1063</v>
      </c>
      <c r="B586" s="2" t="s">
        <v>54</v>
      </c>
      <c r="C586" s="2" t="s">
        <v>1064</v>
      </c>
      <c r="D586" s="2" t="s">
        <v>42</v>
      </c>
      <c r="E586" s="2" t="str">
        <f t="shared" si="63"/>
        <v>4</v>
      </c>
      <c r="F586" s="2" t="s">
        <v>1025</v>
      </c>
      <c r="G586" s="4" t="s">
        <v>1492</v>
      </c>
      <c r="H586" s="2">
        <f t="shared" si="64"/>
        <v>16</v>
      </c>
      <c r="I586" s="3" t="str">
        <f t="shared" si="61"/>
        <v>-</v>
      </c>
      <c r="J586" s="2" t="str">
        <f t="shared" si="62"/>
        <v>DESPESAS COM EMPREGADOS</v>
      </c>
      <c r="K586" s="2" t="s">
        <v>1015</v>
      </c>
      <c r="L586" s="6" t="s">
        <v>1527</v>
      </c>
      <c r="M586" s="16" t="s">
        <v>1746</v>
      </c>
      <c r="S586" s="6" t="b">
        <f>C586='Plano de Contas sem ponto'!C586</f>
        <v>1</v>
      </c>
    </row>
    <row r="587" spans="1:19" x14ac:dyDescent="0.2">
      <c r="A587" s="2" t="s">
        <v>1065</v>
      </c>
      <c r="B587" s="2" t="s">
        <v>54</v>
      </c>
      <c r="C587" s="2" t="s">
        <v>1066</v>
      </c>
      <c r="D587" s="2" t="s">
        <v>42</v>
      </c>
      <c r="E587" s="2" t="str">
        <f t="shared" si="63"/>
        <v>4</v>
      </c>
      <c r="F587" s="2" t="s">
        <v>1025</v>
      </c>
      <c r="G587" s="4" t="s">
        <v>1492</v>
      </c>
      <c r="H587" s="2">
        <f t="shared" si="64"/>
        <v>16</v>
      </c>
      <c r="I587" s="3" t="str">
        <f t="shared" si="61"/>
        <v>-</v>
      </c>
      <c r="J587" s="2" t="str">
        <f t="shared" si="62"/>
        <v>DESPESAS COM EMPREGADOS</v>
      </c>
      <c r="K587" s="2" t="s">
        <v>1015</v>
      </c>
      <c r="L587" s="6" t="s">
        <v>1527</v>
      </c>
      <c r="M587" s="16" t="s">
        <v>1747</v>
      </c>
      <c r="S587" s="6" t="b">
        <f>C587='Plano de Contas sem ponto'!C587</f>
        <v>1</v>
      </c>
    </row>
    <row r="588" spans="1:19" x14ac:dyDescent="0.2">
      <c r="A588" s="2" t="s">
        <v>1067</v>
      </c>
      <c r="B588" s="2" t="s">
        <v>54</v>
      </c>
      <c r="C588" s="2" t="s">
        <v>1068</v>
      </c>
      <c r="D588" s="2" t="s">
        <v>42</v>
      </c>
      <c r="E588" s="2" t="str">
        <f t="shared" si="63"/>
        <v>4</v>
      </c>
      <c r="F588" s="2" t="s">
        <v>1025</v>
      </c>
      <c r="G588" s="4" t="s">
        <v>1492</v>
      </c>
      <c r="H588" s="2">
        <f t="shared" si="64"/>
        <v>16</v>
      </c>
      <c r="I588" s="3" t="str">
        <f t="shared" si="61"/>
        <v>-</v>
      </c>
      <c r="J588" s="2" t="str">
        <f t="shared" si="62"/>
        <v>DESPESAS COM EMPREGADOS</v>
      </c>
      <c r="K588" s="2" t="s">
        <v>1015</v>
      </c>
      <c r="L588" s="6" t="s">
        <v>1527</v>
      </c>
      <c r="M588" s="16" t="s">
        <v>1748</v>
      </c>
      <c r="S588" s="6" t="b">
        <f>C588='Plano de Contas sem ponto'!C588</f>
        <v>1</v>
      </c>
    </row>
    <row r="589" spans="1:19" x14ac:dyDescent="0.2">
      <c r="A589" s="1" t="s">
        <v>1069</v>
      </c>
      <c r="B589" s="1" t="s">
        <v>40</v>
      </c>
      <c r="C589" s="1" t="s">
        <v>1070</v>
      </c>
      <c r="D589" s="2" t="s">
        <v>42</v>
      </c>
      <c r="E589" s="2" t="str">
        <f t="shared" si="63"/>
        <v>4</v>
      </c>
      <c r="F589" s="2" t="s">
        <v>1025</v>
      </c>
      <c r="G589" s="4" t="s">
        <v>1492</v>
      </c>
      <c r="H589" s="2">
        <f t="shared" si="64"/>
        <v>8</v>
      </c>
      <c r="I589" s="3" t="str">
        <f t="shared" si="61"/>
        <v>-</v>
      </c>
      <c r="J589" s="2" t="str">
        <f t="shared" si="62"/>
        <v>DESPESAS COM INDENIZACOES</v>
      </c>
      <c r="K589" s="2" t="s">
        <v>1015</v>
      </c>
      <c r="L589" s="6" t="s">
        <v>1527</v>
      </c>
      <c r="M589" s="16" t="s">
        <v>1749</v>
      </c>
      <c r="S589" s="6" t="b">
        <f>C589='Plano de Contas sem ponto'!C589</f>
        <v>1</v>
      </c>
    </row>
    <row r="590" spans="1:19" x14ac:dyDescent="0.2">
      <c r="A590" s="1" t="s">
        <v>1071</v>
      </c>
      <c r="B590" s="1" t="s">
        <v>40</v>
      </c>
      <c r="C590" s="1" t="s">
        <v>1070</v>
      </c>
      <c r="D590" s="2" t="s">
        <v>42</v>
      </c>
      <c r="E590" s="2" t="str">
        <f t="shared" si="63"/>
        <v>4</v>
      </c>
      <c r="F590" s="2" t="s">
        <v>1025</v>
      </c>
      <c r="G590" s="4" t="s">
        <v>1492</v>
      </c>
      <c r="H590" s="2">
        <f t="shared" si="64"/>
        <v>11</v>
      </c>
      <c r="I590" s="3" t="str">
        <f t="shared" si="61"/>
        <v>4.1.2.02.01</v>
      </c>
      <c r="J590" s="2" t="str">
        <f t="shared" si="62"/>
        <v>DESPESAS COM INDENIZACOES</v>
      </c>
      <c r="K590" s="2" t="s">
        <v>1015</v>
      </c>
      <c r="L590" s="6" t="s">
        <v>1527</v>
      </c>
      <c r="M590" s="16" t="s">
        <v>1749</v>
      </c>
      <c r="S590" s="6" t="b">
        <f>C590='Plano de Contas sem ponto'!C590</f>
        <v>1</v>
      </c>
    </row>
    <row r="591" spans="1:19" x14ac:dyDescent="0.2">
      <c r="A591" s="2" t="s">
        <v>1072</v>
      </c>
      <c r="B591" s="2" t="s">
        <v>54</v>
      </c>
      <c r="C591" s="2" t="s">
        <v>1073</v>
      </c>
      <c r="D591" s="2" t="s">
        <v>42</v>
      </c>
      <c r="E591" s="2" t="str">
        <f t="shared" si="63"/>
        <v>4</v>
      </c>
      <c r="F591" s="2" t="s">
        <v>1025</v>
      </c>
      <c r="G591" s="4" t="s">
        <v>1492</v>
      </c>
      <c r="H591" s="2">
        <f t="shared" si="64"/>
        <v>16</v>
      </c>
      <c r="I591" s="3" t="str">
        <f t="shared" si="61"/>
        <v>-</v>
      </c>
      <c r="J591" s="2" t="str">
        <f t="shared" si="62"/>
        <v>DESPESAS COM INDENIZACOES</v>
      </c>
      <c r="K591" s="2" t="s">
        <v>1015</v>
      </c>
      <c r="L591" s="6" t="s">
        <v>1527</v>
      </c>
      <c r="M591" s="16" t="s">
        <v>1750</v>
      </c>
      <c r="S591" s="6" t="b">
        <f>C591='Plano de Contas sem ponto'!C591</f>
        <v>1</v>
      </c>
    </row>
    <row r="592" spans="1:19" x14ac:dyDescent="0.2">
      <c r="A592" s="2" t="s">
        <v>1074</v>
      </c>
      <c r="B592" s="2" t="s">
        <v>54</v>
      </c>
      <c r="C592" s="2" t="s">
        <v>1075</v>
      </c>
      <c r="D592" s="2" t="s">
        <v>42</v>
      </c>
      <c r="E592" s="2" t="str">
        <f t="shared" si="63"/>
        <v>4</v>
      </c>
      <c r="F592" s="2" t="s">
        <v>1025</v>
      </c>
      <c r="G592" s="4" t="s">
        <v>1492</v>
      </c>
      <c r="H592" s="2">
        <f t="shared" si="64"/>
        <v>16</v>
      </c>
      <c r="I592" s="3" t="str">
        <f t="shared" si="61"/>
        <v>-</v>
      </c>
      <c r="J592" s="2" t="str">
        <f t="shared" si="62"/>
        <v>DESPESAS COM INDENIZACOES</v>
      </c>
      <c r="K592" s="2" t="s">
        <v>1015</v>
      </c>
      <c r="L592" s="6" t="s">
        <v>1527</v>
      </c>
      <c r="M592" s="16" t="s">
        <v>1751</v>
      </c>
      <c r="S592" s="6" t="b">
        <f>C592='Plano de Contas sem ponto'!C592</f>
        <v>1</v>
      </c>
    </row>
    <row r="593" spans="1:19" x14ac:dyDescent="0.2">
      <c r="A593" s="2" t="s">
        <v>1076</v>
      </c>
      <c r="B593" s="2" t="s">
        <v>54</v>
      </c>
      <c r="C593" s="2" t="s">
        <v>1077</v>
      </c>
      <c r="D593" s="2" t="s">
        <v>42</v>
      </c>
      <c r="E593" s="2" t="str">
        <f t="shared" si="63"/>
        <v>4</v>
      </c>
      <c r="F593" s="2" t="s">
        <v>1025</v>
      </c>
      <c r="G593" s="4" t="s">
        <v>1492</v>
      </c>
      <c r="H593" s="2">
        <f t="shared" si="64"/>
        <v>16</v>
      </c>
      <c r="I593" s="3" t="str">
        <f t="shared" si="61"/>
        <v>-</v>
      </c>
      <c r="J593" s="2" t="str">
        <f t="shared" si="62"/>
        <v>DESPESAS COM INDENIZACOES</v>
      </c>
      <c r="K593" s="2" t="s">
        <v>1015</v>
      </c>
      <c r="L593" s="6" t="s">
        <v>1527</v>
      </c>
      <c r="M593" s="16" t="s">
        <v>1752</v>
      </c>
      <c r="S593" s="6" t="b">
        <f>C593='Plano de Contas sem ponto'!C593</f>
        <v>1</v>
      </c>
    </row>
    <row r="594" spans="1:19" x14ac:dyDescent="0.2">
      <c r="A594" s="2" t="s">
        <v>1078</v>
      </c>
      <c r="B594" s="2" t="s">
        <v>54</v>
      </c>
      <c r="C594" s="2" t="s">
        <v>1079</v>
      </c>
      <c r="D594" s="2" t="s">
        <v>42</v>
      </c>
      <c r="E594" s="2" t="str">
        <f t="shared" si="63"/>
        <v>4</v>
      </c>
      <c r="F594" s="2" t="s">
        <v>1025</v>
      </c>
      <c r="G594" s="4" t="s">
        <v>1492</v>
      </c>
      <c r="H594" s="2">
        <f t="shared" si="64"/>
        <v>16</v>
      </c>
      <c r="I594" s="3" t="str">
        <f t="shared" si="61"/>
        <v>-</v>
      </c>
      <c r="J594" s="2" t="str">
        <f t="shared" si="62"/>
        <v>DESPESAS COM INDENIZACOES</v>
      </c>
      <c r="K594" s="2" t="s">
        <v>1015</v>
      </c>
      <c r="L594" s="6" t="s">
        <v>1527</v>
      </c>
      <c r="M594" s="16" t="s">
        <v>1753</v>
      </c>
      <c r="S594" s="6" t="b">
        <f>C594='Plano de Contas sem ponto'!C594</f>
        <v>1</v>
      </c>
    </row>
    <row r="595" spans="1:19" x14ac:dyDescent="0.2">
      <c r="A595" s="2" t="s">
        <v>1080</v>
      </c>
      <c r="B595" s="2" t="s">
        <v>54</v>
      </c>
      <c r="C595" s="2" t="s">
        <v>1081</v>
      </c>
      <c r="D595" s="2" t="s">
        <v>42</v>
      </c>
      <c r="E595" s="2" t="str">
        <f t="shared" si="63"/>
        <v>4</v>
      </c>
      <c r="F595" s="2" t="s">
        <v>1025</v>
      </c>
      <c r="G595" s="4" t="s">
        <v>1492</v>
      </c>
      <c r="H595" s="2">
        <f t="shared" si="64"/>
        <v>16</v>
      </c>
      <c r="I595" s="3" t="str">
        <f t="shared" si="61"/>
        <v>-</v>
      </c>
      <c r="J595" s="2" t="str">
        <f t="shared" si="62"/>
        <v>DESPESAS COM INDENIZACOES</v>
      </c>
      <c r="K595" s="2" t="s">
        <v>1015</v>
      </c>
      <c r="L595" s="6" t="s">
        <v>1527</v>
      </c>
      <c r="M595" s="16" t="s">
        <v>1754</v>
      </c>
      <c r="S595" s="6" t="b">
        <f>C595='Plano de Contas sem ponto'!C595</f>
        <v>1</v>
      </c>
    </row>
    <row r="596" spans="1:19" x14ac:dyDescent="0.2">
      <c r="A596" s="2" t="s">
        <v>1082</v>
      </c>
      <c r="B596" s="2" t="s">
        <v>54</v>
      </c>
      <c r="C596" s="2" t="s">
        <v>1083</v>
      </c>
      <c r="D596" s="2" t="s">
        <v>42</v>
      </c>
      <c r="E596" s="2" t="str">
        <f t="shared" si="63"/>
        <v>4</v>
      </c>
      <c r="F596" s="2" t="s">
        <v>1025</v>
      </c>
      <c r="G596" s="4" t="s">
        <v>1492</v>
      </c>
      <c r="H596" s="2">
        <f t="shared" si="64"/>
        <v>16</v>
      </c>
      <c r="I596" s="3" t="str">
        <f t="shared" ref="I596:I662" si="75">IF(H596=11,A596,"-")</f>
        <v>-</v>
      </c>
      <c r="J596" s="2" t="str">
        <f t="shared" ref="J596:J662" si="76">IF(H596&lt;11,C596,IF(I596&lt;&gt;"-",C596,J595))</f>
        <v>DESPESAS COM INDENIZACOES</v>
      </c>
      <c r="K596" s="2" t="s">
        <v>1015</v>
      </c>
      <c r="L596" s="6" t="s">
        <v>1527</v>
      </c>
      <c r="M596" s="16" t="s">
        <v>1755</v>
      </c>
      <c r="S596" s="6" t="b">
        <f>C596='Plano de Contas sem ponto'!C596</f>
        <v>1</v>
      </c>
    </row>
    <row r="597" spans="1:19" x14ac:dyDescent="0.2">
      <c r="A597" s="1" t="s">
        <v>1084</v>
      </c>
      <c r="B597" s="1" t="s">
        <v>40</v>
      </c>
      <c r="C597" s="1" t="s">
        <v>1085</v>
      </c>
      <c r="D597" s="2" t="s">
        <v>42</v>
      </c>
      <c r="E597" s="2" t="str">
        <f t="shared" ref="E597:E663" si="77">LEFT(A597,1)</f>
        <v>4</v>
      </c>
      <c r="F597" s="2" t="s">
        <v>1025</v>
      </c>
      <c r="G597" s="4" t="s">
        <v>1492</v>
      </c>
      <c r="H597" s="2">
        <f t="shared" ref="H597:H663" si="78">LEN(A597)</f>
        <v>8</v>
      </c>
      <c r="I597" s="3" t="str">
        <f t="shared" si="75"/>
        <v>-</v>
      </c>
      <c r="J597" s="2" t="str">
        <f t="shared" si="76"/>
        <v>DESPESAS COM ASSISTENCIA SOCIAL</v>
      </c>
      <c r="K597" s="2" t="s">
        <v>1015</v>
      </c>
      <c r="L597" s="6" t="s">
        <v>1527</v>
      </c>
      <c r="M597" s="16" t="s">
        <v>1756</v>
      </c>
      <c r="S597" s="6" t="b">
        <f>C597='Plano de Contas sem ponto'!C597</f>
        <v>1</v>
      </c>
    </row>
    <row r="598" spans="1:19" x14ac:dyDescent="0.2">
      <c r="A598" s="1" t="s">
        <v>1086</v>
      </c>
      <c r="B598" s="1" t="s">
        <v>40</v>
      </c>
      <c r="C598" s="1" t="s">
        <v>1087</v>
      </c>
      <c r="D598" s="2" t="s">
        <v>42</v>
      </c>
      <c r="E598" s="2" t="str">
        <f t="shared" si="77"/>
        <v>4</v>
      </c>
      <c r="F598" s="2" t="s">
        <v>1025</v>
      </c>
      <c r="G598" s="4" t="s">
        <v>1492</v>
      </c>
      <c r="H598" s="2">
        <f t="shared" si="78"/>
        <v>11</v>
      </c>
      <c r="I598" s="3" t="str">
        <f t="shared" si="75"/>
        <v>4.1.2.03.01</v>
      </c>
      <c r="J598" s="2" t="str">
        <f t="shared" si="76"/>
        <v>ASSISTENCIA MEDICA E ODONTOLOGICA</v>
      </c>
      <c r="K598" s="2" t="s">
        <v>1015</v>
      </c>
      <c r="L598" s="6" t="s">
        <v>1527</v>
      </c>
      <c r="M598" s="16" t="s">
        <v>1757</v>
      </c>
      <c r="S598" s="6" t="b">
        <f>C598='Plano de Contas sem ponto'!C598</f>
        <v>1</v>
      </c>
    </row>
    <row r="599" spans="1:19" x14ac:dyDescent="0.2">
      <c r="A599" s="2" t="s">
        <v>1088</v>
      </c>
      <c r="B599" s="2" t="s">
        <v>54</v>
      </c>
      <c r="C599" s="2" t="s">
        <v>1089</v>
      </c>
      <c r="D599" s="2" t="s">
        <v>42</v>
      </c>
      <c r="E599" s="2" t="str">
        <f t="shared" si="77"/>
        <v>4</v>
      </c>
      <c r="F599" s="2" t="s">
        <v>1025</v>
      </c>
      <c r="G599" s="4" t="s">
        <v>1492</v>
      </c>
      <c r="H599" s="2">
        <f t="shared" si="78"/>
        <v>16</v>
      </c>
      <c r="I599" s="3" t="str">
        <f t="shared" si="75"/>
        <v>-</v>
      </c>
      <c r="J599" s="2" t="str">
        <f t="shared" si="76"/>
        <v>ASSISTENCIA MEDICA E ODONTOLOGICA</v>
      </c>
      <c r="K599" s="2" t="s">
        <v>1015</v>
      </c>
      <c r="L599" s="6" t="s">
        <v>1527</v>
      </c>
      <c r="M599" s="16" t="s">
        <v>1758</v>
      </c>
      <c r="S599" s="6" t="b">
        <f>C599='Plano de Contas sem ponto'!C599</f>
        <v>1</v>
      </c>
    </row>
    <row r="600" spans="1:19" x14ac:dyDescent="0.2">
      <c r="A600" s="2" t="s">
        <v>1090</v>
      </c>
      <c r="B600" s="2" t="s">
        <v>54</v>
      </c>
      <c r="C600" s="2" t="s">
        <v>1091</v>
      </c>
      <c r="D600" s="2" t="s">
        <v>42</v>
      </c>
      <c r="E600" s="2" t="str">
        <f t="shared" si="77"/>
        <v>4</v>
      </c>
      <c r="F600" s="2" t="s">
        <v>1025</v>
      </c>
      <c r="G600" s="4" t="s">
        <v>1492</v>
      </c>
      <c r="H600" s="2">
        <f t="shared" si="78"/>
        <v>16</v>
      </c>
      <c r="I600" s="3" t="str">
        <f t="shared" si="75"/>
        <v>-</v>
      </c>
      <c r="J600" s="2" t="str">
        <f t="shared" si="76"/>
        <v>ASSISTENCIA MEDICA E ODONTOLOGICA</v>
      </c>
      <c r="K600" s="2" t="s">
        <v>1015</v>
      </c>
      <c r="L600" s="6" t="s">
        <v>1527</v>
      </c>
      <c r="M600" s="16" t="s">
        <v>1759</v>
      </c>
      <c r="S600" s="6" t="b">
        <f>C600='Plano de Contas sem ponto'!C600</f>
        <v>1</v>
      </c>
    </row>
    <row r="601" spans="1:19" x14ac:dyDescent="0.2">
      <c r="A601" s="1" t="s">
        <v>1092</v>
      </c>
      <c r="B601" s="1" t="s">
        <v>40</v>
      </c>
      <c r="C601" s="1" t="s">
        <v>1093</v>
      </c>
      <c r="D601" s="2" t="s">
        <v>42</v>
      </c>
      <c r="E601" s="2" t="str">
        <f t="shared" si="77"/>
        <v>4</v>
      </c>
      <c r="F601" s="2" t="s">
        <v>1025</v>
      </c>
      <c r="G601" s="4" t="s">
        <v>1492</v>
      </c>
      <c r="H601" s="2">
        <f t="shared" si="78"/>
        <v>11</v>
      </c>
      <c r="I601" s="3" t="str">
        <f t="shared" si="75"/>
        <v>4.1.2.03.02</v>
      </c>
      <c r="J601" s="2" t="str">
        <f t="shared" si="76"/>
        <v>INSTRUCAO</v>
      </c>
      <c r="K601" s="2" t="s">
        <v>1015</v>
      </c>
      <c r="L601" s="6" t="s">
        <v>1527</v>
      </c>
      <c r="M601" s="16" t="s">
        <v>1760</v>
      </c>
      <c r="S601" s="6" t="b">
        <f>C601='Plano de Contas sem ponto'!C601</f>
        <v>1</v>
      </c>
    </row>
    <row r="602" spans="1:19" x14ac:dyDescent="0.2">
      <c r="A602" s="2" t="s">
        <v>1094</v>
      </c>
      <c r="B602" s="2" t="s">
        <v>54</v>
      </c>
      <c r="C602" s="2" t="s">
        <v>1095</v>
      </c>
      <c r="D602" s="2" t="s">
        <v>42</v>
      </c>
      <c r="E602" s="2" t="str">
        <f t="shared" si="77"/>
        <v>4</v>
      </c>
      <c r="F602" s="2" t="s">
        <v>1025</v>
      </c>
      <c r="G602" s="4" t="s">
        <v>1492</v>
      </c>
      <c r="H602" s="2">
        <f t="shared" si="78"/>
        <v>16</v>
      </c>
      <c r="I602" s="3" t="str">
        <f t="shared" si="75"/>
        <v>-</v>
      </c>
      <c r="J602" s="2" t="str">
        <f t="shared" si="76"/>
        <v>INSTRUCAO</v>
      </c>
      <c r="K602" s="2" t="s">
        <v>1015</v>
      </c>
      <c r="L602" s="6" t="s">
        <v>1527</v>
      </c>
      <c r="M602" s="16" t="s">
        <v>1761</v>
      </c>
      <c r="S602" s="6" t="b">
        <f>C602='Plano de Contas sem ponto'!C602</f>
        <v>1</v>
      </c>
    </row>
    <row r="603" spans="1:19" x14ac:dyDescent="0.2">
      <c r="A603" s="2" t="s">
        <v>1096</v>
      </c>
      <c r="B603" s="2" t="s">
        <v>54</v>
      </c>
      <c r="C603" s="2" t="s">
        <v>1097</v>
      </c>
      <c r="D603" s="2" t="s">
        <v>42</v>
      </c>
      <c r="E603" s="2" t="str">
        <f t="shared" si="77"/>
        <v>4</v>
      </c>
      <c r="F603" s="2" t="s">
        <v>1025</v>
      </c>
      <c r="G603" s="4" t="s">
        <v>1492</v>
      </c>
      <c r="H603" s="2">
        <f t="shared" si="78"/>
        <v>16</v>
      </c>
      <c r="I603" s="3" t="str">
        <f t="shared" si="75"/>
        <v>-</v>
      </c>
      <c r="J603" s="2" t="str">
        <f t="shared" si="76"/>
        <v>INSTRUCAO</v>
      </c>
      <c r="K603" s="2" t="s">
        <v>1015</v>
      </c>
      <c r="L603" s="6" t="s">
        <v>1527</v>
      </c>
      <c r="M603" s="16" t="s">
        <v>1762</v>
      </c>
      <c r="S603" s="6" t="b">
        <f>C603='Plano de Contas sem ponto'!C603</f>
        <v>1</v>
      </c>
    </row>
    <row r="604" spans="1:19" x14ac:dyDescent="0.2">
      <c r="A604" s="12" t="s">
        <v>2821</v>
      </c>
      <c r="B604" s="12" t="s">
        <v>54</v>
      </c>
      <c r="C604" s="12" t="s">
        <v>2822</v>
      </c>
      <c r="D604" s="2" t="s">
        <v>42</v>
      </c>
      <c r="E604" s="2" t="str">
        <f t="shared" ref="E604" si="79">LEFT(A604,1)</f>
        <v>4</v>
      </c>
      <c r="F604" s="2" t="s">
        <v>1025</v>
      </c>
      <c r="G604" s="4" t="s">
        <v>1492</v>
      </c>
      <c r="H604" s="2">
        <f t="shared" ref="H604" si="80">LEN(A604)</f>
        <v>16</v>
      </c>
      <c r="I604" s="3" t="str">
        <f t="shared" ref="I604" si="81">IF(H604=11,A604,"-")</f>
        <v>-</v>
      </c>
      <c r="J604" s="2" t="str">
        <f t="shared" ref="J604" si="82">IF(H604&lt;11,C604,IF(I604&lt;&gt;"-",C604,J603))</f>
        <v>INSTRUCAO</v>
      </c>
      <c r="K604" s="2" t="s">
        <v>1015</v>
      </c>
      <c r="L604" s="6" t="s">
        <v>1527</v>
      </c>
      <c r="M604" s="16" t="s">
        <v>2823</v>
      </c>
      <c r="S604" s="6" t="b">
        <f>C604='Plano de Contas sem ponto'!C604</f>
        <v>1</v>
      </c>
    </row>
    <row r="605" spans="1:19" x14ac:dyDescent="0.2">
      <c r="A605" s="1" t="s">
        <v>1098</v>
      </c>
      <c r="B605" s="1" t="s">
        <v>40</v>
      </c>
      <c r="C605" s="1" t="s">
        <v>1099</v>
      </c>
      <c r="D605" s="2" t="s">
        <v>42</v>
      </c>
      <c r="E605" s="2" t="str">
        <f t="shared" si="77"/>
        <v>4</v>
      </c>
      <c r="F605" s="2" t="s">
        <v>1025</v>
      </c>
      <c r="G605" s="4" t="s">
        <v>1492</v>
      </c>
      <c r="H605" s="2">
        <f t="shared" si="78"/>
        <v>11</v>
      </c>
      <c r="I605" s="3" t="str">
        <f t="shared" si="75"/>
        <v>4.1.2.03.03</v>
      </c>
      <c r="J605" s="2" t="str">
        <f>IF(H605&lt;11,C605,IF(I605&lt;&gt;"-",C605,J603))</f>
        <v>TREINAMENTO</v>
      </c>
      <c r="K605" s="2" t="s">
        <v>1015</v>
      </c>
      <c r="L605" s="6" t="s">
        <v>1527</v>
      </c>
      <c r="M605" s="16" t="s">
        <v>1763</v>
      </c>
      <c r="S605" s="6" t="b">
        <f>C605='Plano de Contas sem ponto'!C605</f>
        <v>1</v>
      </c>
    </row>
    <row r="606" spans="1:19" x14ac:dyDescent="0.2">
      <c r="A606" s="2" t="s">
        <v>1100</v>
      </c>
      <c r="B606" s="2" t="s">
        <v>54</v>
      </c>
      <c r="C606" s="2" t="s">
        <v>1101</v>
      </c>
      <c r="D606" s="2" t="s">
        <v>42</v>
      </c>
      <c r="E606" s="2" t="str">
        <f t="shared" si="77"/>
        <v>4</v>
      </c>
      <c r="F606" s="2" t="s">
        <v>1025</v>
      </c>
      <c r="G606" s="4" t="s">
        <v>1492</v>
      </c>
      <c r="H606" s="2">
        <f t="shared" si="78"/>
        <v>16</v>
      </c>
      <c r="I606" s="3" t="str">
        <f t="shared" si="75"/>
        <v>-</v>
      </c>
      <c r="J606" s="2" t="str">
        <f t="shared" si="76"/>
        <v>TREINAMENTO</v>
      </c>
      <c r="K606" s="2" t="s">
        <v>1015</v>
      </c>
      <c r="L606" s="6" t="s">
        <v>1527</v>
      </c>
      <c r="M606" s="16" t="s">
        <v>1764</v>
      </c>
      <c r="S606" s="6" t="b">
        <f>C606='Plano de Contas sem ponto'!C606</f>
        <v>1</v>
      </c>
    </row>
    <row r="607" spans="1:19" x14ac:dyDescent="0.2">
      <c r="A607" s="2" t="s">
        <v>1102</v>
      </c>
      <c r="B607" s="2" t="s">
        <v>54</v>
      </c>
      <c r="C607" s="2" t="s">
        <v>1103</v>
      </c>
      <c r="D607" s="2" t="s">
        <v>42</v>
      </c>
      <c r="E607" s="2" t="str">
        <f t="shared" si="77"/>
        <v>4</v>
      </c>
      <c r="F607" s="2" t="s">
        <v>1025</v>
      </c>
      <c r="G607" s="4" t="s">
        <v>1492</v>
      </c>
      <c r="H607" s="2">
        <f t="shared" si="78"/>
        <v>16</v>
      </c>
      <c r="I607" s="3" t="str">
        <f t="shared" si="75"/>
        <v>-</v>
      </c>
      <c r="J607" s="2" t="str">
        <f t="shared" si="76"/>
        <v>TREINAMENTO</v>
      </c>
      <c r="K607" s="2" t="s">
        <v>1015</v>
      </c>
      <c r="L607" s="6" t="s">
        <v>1527</v>
      </c>
      <c r="M607" s="16" t="s">
        <v>1765</v>
      </c>
      <c r="S607" s="6" t="b">
        <f>C607='Plano de Contas sem ponto'!C607</f>
        <v>1</v>
      </c>
    </row>
    <row r="608" spans="1:19" x14ac:dyDescent="0.2">
      <c r="A608" s="1" t="s">
        <v>1104</v>
      </c>
      <c r="B608" s="1" t="s">
        <v>40</v>
      </c>
      <c r="C608" s="1" t="s">
        <v>1105</v>
      </c>
      <c r="D608" s="2" t="s">
        <v>42</v>
      </c>
      <c r="E608" s="2" t="str">
        <f t="shared" si="77"/>
        <v>4</v>
      </c>
      <c r="F608" s="2" t="s">
        <v>1025</v>
      </c>
      <c r="G608" s="4" t="s">
        <v>1492</v>
      </c>
      <c r="H608" s="2">
        <f t="shared" si="78"/>
        <v>11</v>
      </c>
      <c r="I608" s="3" t="str">
        <f t="shared" si="75"/>
        <v>4.1.2.03.04</v>
      </c>
      <c r="J608" s="2" t="str">
        <f t="shared" si="76"/>
        <v>SEGUROS</v>
      </c>
      <c r="K608" s="2" t="s">
        <v>1015</v>
      </c>
      <c r="L608" s="6" t="s">
        <v>1527</v>
      </c>
      <c r="M608" s="16" t="s">
        <v>1766</v>
      </c>
      <c r="S608" s="6" t="b">
        <f>C608='Plano de Contas sem ponto'!C608</f>
        <v>1</v>
      </c>
    </row>
    <row r="609" spans="1:19" x14ac:dyDescent="0.2">
      <c r="A609" s="2" t="s">
        <v>1106</v>
      </c>
      <c r="B609" s="2" t="s">
        <v>54</v>
      </c>
      <c r="C609" s="2" t="s">
        <v>1107</v>
      </c>
      <c r="D609" s="2" t="s">
        <v>42</v>
      </c>
      <c r="E609" s="2" t="str">
        <f t="shared" si="77"/>
        <v>4</v>
      </c>
      <c r="F609" s="2" t="s">
        <v>1025</v>
      </c>
      <c r="G609" s="4" t="s">
        <v>1492</v>
      </c>
      <c r="H609" s="2">
        <f t="shared" si="78"/>
        <v>16</v>
      </c>
      <c r="I609" s="3" t="str">
        <f t="shared" si="75"/>
        <v>-</v>
      </c>
      <c r="J609" s="2" t="str">
        <f t="shared" si="76"/>
        <v>SEGUROS</v>
      </c>
      <c r="K609" s="2" t="s">
        <v>1015</v>
      </c>
      <c r="L609" s="6" t="s">
        <v>1527</v>
      </c>
      <c r="M609" s="16" t="s">
        <v>1767</v>
      </c>
      <c r="S609" s="6" t="b">
        <f>C609='Plano de Contas sem ponto'!C609</f>
        <v>1</v>
      </c>
    </row>
    <row r="610" spans="1:19" x14ac:dyDescent="0.2">
      <c r="A610" s="1" t="s">
        <v>1108</v>
      </c>
      <c r="B610" s="1" t="s">
        <v>40</v>
      </c>
      <c r="C610" s="1" t="s">
        <v>1109</v>
      </c>
      <c r="D610" s="2" t="s">
        <v>42</v>
      </c>
      <c r="E610" s="2" t="str">
        <f t="shared" si="77"/>
        <v>4</v>
      </c>
      <c r="F610" s="2" t="s">
        <v>1025</v>
      </c>
      <c r="G610" s="4" t="s">
        <v>1492</v>
      </c>
      <c r="H610" s="2">
        <f t="shared" si="78"/>
        <v>11</v>
      </c>
      <c r="I610" s="3" t="str">
        <f t="shared" si="75"/>
        <v>4.1.2.03.05</v>
      </c>
      <c r="J610" s="2" t="str">
        <f t="shared" si="76"/>
        <v>ALIMENTACAO / REFEICAO</v>
      </c>
      <c r="K610" s="2" t="s">
        <v>1015</v>
      </c>
      <c r="L610" s="6" t="s">
        <v>1527</v>
      </c>
      <c r="M610" s="16" t="s">
        <v>1768</v>
      </c>
      <c r="S610" s="6" t="b">
        <f>C610='Plano de Contas sem ponto'!C610</f>
        <v>1</v>
      </c>
    </row>
    <row r="611" spans="1:19" x14ac:dyDescent="0.2">
      <c r="A611" s="2" t="s">
        <v>1110</v>
      </c>
      <c r="B611" s="2" t="s">
        <v>54</v>
      </c>
      <c r="C611" s="2" t="s">
        <v>1111</v>
      </c>
      <c r="D611" s="2" t="s">
        <v>42</v>
      </c>
      <c r="E611" s="2" t="str">
        <f t="shared" si="77"/>
        <v>4</v>
      </c>
      <c r="F611" s="2" t="s">
        <v>1025</v>
      </c>
      <c r="G611" s="4" t="s">
        <v>1492</v>
      </c>
      <c r="H611" s="2">
        <f t="shared" si="78"/>
        <v>16</v>
      </c>
      <c r="I611" s="3" t="str">
        <f t="shared" si="75"/>
        <v>-</v>
      </c>
      <c r="J611" s="2" t="str">
        <f t="shared" si="76"/>
        <v>ALIMENTACAO / REFEICAO</v>
      </c>
      <c r="K611" s="2" t="s">
        <v>1015</v>
      </c>
      <c r="L611" s="6" t="s">
        <v>1527</v>
      </c>
      <c r="M611" s="16" t="s">
        <v>1769</v>
      </c>
      <c r="S611" s="6" t="b">
        <f>C611='Plano de Contas sem ponto'!C611</f>
        <v>1</v>
      </c>
    </row>
    <row r="612" spans="1:19" x14ac:dyDescent="0.2">
      <c r="A612" s="2" t="s">
        <v>1112</v>
      </c>
      <c r="B612" s="2" t="s">
        <v>54</v>
      </c>
      <c r="C612" s="2" t="s">
        <v>1113</v>
      </c>
      <c r="D612" s="2" t="s">
        <v>42</v>
      </c>
      <c r="E612" s="2" t="str">
        <f t="shared" si="77"/>
        <v>4</v>
      </c>
      <c r="F612" s="2" t="s">
        <v>1025</v>
      </c>
      <c r="G612" s="4" t="s">
        <v>1492</v>
      </c>
      <c r="H612" s="2">
        <f t="shared" si="78"/>
        <v>16</v>
      </c>
      <c r="I612" s="3" t="str">
        <f t="shared" si="75"/>
        <v>-</v>
      </c>
      <c r="J612" s="2" t="str">
        <f t="shared" si="76"/>
        <v>ALIMENTACAO / REFEICAO</v>
      </c>
      <c r="K612" s="2" t="s">
        <v>1015</v>
      </c>
      <c r="L612" s="6" t="s">
        <v>1527</v>
      </c>
      <c r="M612" s="16" t="s">
        <v>1770</v>
      </c>
      <c r="S612" s="6" t="b">
        <f>C612='Plano de Contas sem ponto'!C612</f>
        <v>1</v>
      </c>
    </row>
    <row r="613" spans="1:19" x14ac:dyDescent="0.2">
      <c r="A613" s="1" t="s">
        <v>1114</v>
      </c>
      <c r="B613" s="1" t="s">
        <v>40</v>
      </c>
      <c r="C613" s="1" t="s">
        <v>1115</v>
      </c>
      <c r="D613" s="2" t="s">
        <v>42</v>
      </c>
      <c r="E613" s="2" t="str">
        <f t="shared" si="77"/>
        <v>4</v>
      </c>
      <c r="F613" s="2" t="s">
        <v>1025</v>
      </c>
      <c r="G613" s="4" t="s">
        <v>1492</v>
      </c>
      <c r="H613" s="2">
        <f t="shared" si="78"/>
        <v>11</v>
      </c>
      <c r="I613" s="3" t="str">
        <f t="shared" si="75"/>
        <v>4.1.2.03.06</v>
      </c>
      <c r="J613" s="2" t="str">
        <f t="shared" si="76"/>
        <v>VALE TRANSPORTE</v>
      </c>
      <c r="K613" s="2" t="s">
        <v>1015</v>
      </c>
      <c r="L613" s="6" t="s">
        <v>1527</v>
      </c>
      <c r="M613" s="16" t="s">
        <v>1771</v>
      </c>
      <c r="S613" s="6" t="b">
        <f>C613='Plano de Contas sem ponto'!C613</f>
        <v>1</v>
      </c>
    </row>
    <row r="614" spans="1:19" x14ac:dyDescent="0.2">
      <c r="A614" s="2" t="s">
        <v>1116</v>
      </c>
      <c r="B614" s="2" t="s">
        <v>54</v>
      </c>
      <c r="C614" s="2" t="s">
        <v>1115</v>
      </c>
      <c r="D614" s="2" t="s">
        <v>42</v>
      </c>
      <c r="E614" s="2" t="str">
        <f t="shared" si="77"/>
        <v>4</v>
      </c>
      <c r="F614" s="2" t="s">
        <v>1025</v>
      </c>
      <c r="G614" s="4" t="s">
        <v>1492</v>
      </c>
      <c r="H614" s="2">
        <f t="shared" si="78"/>
        <v>16</v>
      </c>
      <c r="I614" s="3" t="str">
        <f t="shared" si="75"/>
        <v>-</v>
      </c>
      <c r="J614" s="2" t="str">
        <f t="shared" si="76"/>
        <v>VALE TRANSPORTE</v>
      </c>
      <c r="K614" s="2" t="s">
        <v>1015</v>
      </c>
      <c r="L614" s="6" t="s">
        <v>1527</v>
      </c>
      <c r="M614" s="16" t="s">
        <v>1771</v>
      </c>
      <c r="S614" s="6" t="b">
        <f>C614='Plano de Contas sem ponto'!C614</f>
        <v>1</v>
      </c>
    </row>
    <row r="615" spans="1:19" x14ac:dyDescent="0.2">
      <c r="A615" s="1" t="s">
        <v>1117</v>
      </c>
      <c r="B615" s="1" t="s">
        <v>40</v>
      </c>
      <c r="C615" s="1" t="s">
        <v>1118</v>
      </c>
      <c r="D615" s="2" t="s">
        <v>42</v>
      </c>
      <c r="E615" s="2" t="str">
        <f t="shared" si="77"/>
        <v>4</v>
      </c>
      <c r="F615" s="2" t="s">
        <v>1025</v>
      </c>
      <c r="G615" s="4" t="s">
        <v>1492</v>
      </c>
      <c r="H615" s="2">
        <f t="shared" si="78"/>
        <v>11</v>
      </c>
      <c r="I615" s="3" t="str">
        <f t="shared" si="75"/>
        <v>4.1.2.03.07</v>
      </c>
      <c r="J615" s="2" t="str">
        <f t="shared" si="76"/>
        <v>OUTRAS DESPESAS ASSISTENCIAIS</v>
      </c>
      <c r="K615" s="2" t="s">
        <v>1015</v>
      </c>
      <c r="L615" s="6" t="s">
        <v>1527</v>
      </c>
      <c r="M615" s="16" t="s">
        <v>1772</v>
      </c>
      <c r="S615" s="6" t="b">
        <f>C615='Plano de Contas sem ponto'!C615</f>
        <v>1</v>
      </c>
    </row>
    <row r="616" spans="1:19" x14ac:dyDescent="0.2">
      <c r="A616" s="2" t="s">
        <v>1119</v>
      </c>
      <c r="B616" s="2" t="s">
        <v>54</v>
      </c>
      <c r="C616" s="2" t="s">
        <v>1120</v>
      </c>
      <c r="D616" s="2" t="s">
        <v>42</v>
      </c>
      <c r="E616" s="2" t="str">
        <f t="shared" si="77"/>
        <v>4</v>
      </c>
      <c r="F616" s="2" t="s">
        <v>1025</v>
      </c>
      <c r="G616" s="4" t="s">
        <v>1492</v>
      </c>
      <c r="H616" s="2">
        <f t="shared" si="78"/>
        <v>16</v>
      </c>
      <c r="I616" s="3" t="str">
        <f t="shared" si="75"/>
        <v>-</v>
      </c>
      <c r="J616" s="2" t="str">
        <f t="shared" si="76"/>
        <v>OUTRAS DESPESAS ASSISTENCIAIS</v>
      </c>
      <c r="K616" s="2" t="s">
        <v>1015</v>
      </c>
      <c r="L616" s="6" t="s">
        <v>1527</v>
      </c>
      <c r="M616" s="16" t="s">
        <v>1773</v>
      </c>
      <c r="S616" s="6" t="b">
        <f>C616='Plano de Contas sem ponto'!C616</f>
        <v>1</v>
      </c>
    </row>
    <row r="617" spans="1:19" x14ac:dyDescent="0.2">
      <c r="A617" s="2" t="s">
        <v>1121</v>
      </c>
      <c r="B617" s="2" t="s">
        <v>54</v>
      </c>
      <c r="C617" s="2" t="s">
        <v>1122</v>
      </c>
      <c r="D617" s="2" t="s">
        <v>42</v>
      </c>
      <c r="E617" s="2" t="str">
        <f t="shared" si="77"/>
        <v>4</v>
      </c>
      <c r="F617" s="2" t="s">
        <v>1025</v>
      </c>
      <c r="G617" s="4" t="s">
        <v>1492</v>
      </c>
      <c r="H617" s="2">
        <f t="shared" si="78"/>
        <v>16</v>
      </c>
      <c r="I617" s="3" t="str">
        <f t="shared" si="75"/>
        <v>-</v>
      </c>
      <c r="J617" s="2" t="str">
        <f t="shared" si="76"/>
        <v>OUTRAS DESPESAS ASSISTENCIAIS</v>
      </c>
      <c r="K617" s="2" t="s">
        <v>1015</v>
      </c>
      <c r="L617" s="6" t="s">
        <v>1527</v>
      </c>
      <c r="M617" s="16" t="s">
        <v>1774</v>
      </c>
      <c r="S617" s="6" t="b">
        <f>C617='Plano de Contas sem ponto'!C617</f>
        <v>1</v>
      </c>
    </row>
    <row r="618" spans="1:19" x14ac:dyDescent="0.2">
      <c r="A618" s="2" t="s">
        <v>1123</v>
      </c>
      <c r="B618" s="2" t="s">
        <v>54</v>
      </c>
      <c r="C618" s="2" t="s">
        <v>1124</v>
      </c>
      <c r="D618" s="2" t="s">
        <v>42</v>
      </c>
      <c r="E618" s="2" t="str">
        <f t="shared" si="77"/>
        <v>4</v>
      </c>
      <c r="F618" s="2" t="s">
        <v>1025</v>
      </c>
      <c r="G618" s="4" t="s">
        <v>1492</v>
      </c>
      <c r="H618" s="2">
        <f t="shared" si="78"/>
        <v>16</v>
      </c>
      <c r="I618" s="3" t="str">
        <f t="shared" si="75"/>
        <v>-</v>
      </c>
      <c r="J618" s="2" t="str">
        <f t="shared" si="76"/>
        <v>OUTRAS DESPESAS ASSISTENCIAIS</v>
      </c>
      <c r="K618" s="2" t="s">
        <v>1015</v>
      </c>
      <c r="L618" s="6" t="s">
        <v>1527</v>
      </c>
      <c r="M618" s="16" t="s">
        <v>1775</v>
      </c>
      <c r="S618" s="6" t="b">
        <f>C618='Plano de Contas sem ponto'!C618</f>
        <v>1</v>
      </c>
    </row>
    <row r="619" spans="1:19" x14ac:dyDescent="0.2">
      <c r="A619" s="2" t="s">
        <v>1125</v>
      </c>
      <c r="B619" s="2" t="s">
        <v>54</v>
      </c>
      <c r="C619" s="2" t="s">
        <v>1126</v>
      </c>
      <c r="D619" s="2" t="s">
        <v>42</v>
      </c>
      <c r="E619" s="2" t="str">
        <f t="shared" si="77"/>
        <v>4</v>
      </c>
      <c r="F619" s="2" t="s">
        <v>1025</v>
      </c>
      <c r="G619" s="4" t="s">
        <v>1492</v>
      </c>
      <c r="H619" s="2">
        <f t="shared" si="78"/>
        <v>16</v>
      </c>
      <c r="I619" s="3" t="str">
        <f t="shared" si="75"/>
        <v>-</v>
      </c>
      <c r="J619" s="2" t="str">
        <f t="shared" si="76"/>
        <v>OUTRAS DESPESAS ASSISTENCIAIS</v>
      </c>
      <c r="K619" s="2" t="s">
        <v>1015</v>
      </c>
      <c r="L619" s="6" t="s">
        <v>1527</v>
      </c>
      <c r="M619" s="16" t="s">
        <v>1776</v>
      </c>
      <c r="S619" s="6" t="b">
        <f>C619='Plano de Contas sem ponto'!C619</f>
        <v>1</v>
      </c>
    </row>
    <row r="620" spans="1:19" x14ac:dyDescent="0.2">
      <c r="A620" s="2" t="s">
        <v>1127</v>
      </c>
      <c r="B620" s="2" t="s">
        <v>54</v>
      </c>
      <c r="C620" s="2" t="s">
        <v>1128</v>
      </c>
      <c r="D620" s="2" t="s">
        <v>42</v>
      </c>
      <c r="E620" s="2" t="str">
        <f t="shared" si="77"/>
        <v>4</v>
      </c>
      <c r="F620" s="2" t="s">
        <v>1025</v>
      </c>
      <c r="G620" s="4" t="s">
        <v>1492</v>
      </c>
      <c r="H620" s="2">
        <f t="shared" si="78"/>
        <v>16</v>
      </c>
      <c r="I620" s="3" t="str">
        <f t="shared" si="75"/>
        <v>-</v>
      </c>
      <c r="J620" s="2" t="str">
        <f t="shared" si="76"/>
        <v>OUTRAS DESPESAS ASSISTENCIAIS</v>
      </c>
      <c r="K620" s="2" t="s">
        <v>1015</v>
      </c>
      <c r="L620" s="6" t="s">
        <v>1527</v>
      </c>
      <c r="M620" s="16" t="s">
        <v>1777</v>
      </c>
      <c r="S620" s="6" t="b">
        <f>C620='Plano de Contas sem ponto'!C620</f>
        <v>1</v>
      </c>
    </row>
    <row r="621" spans="1:19" x14ac:dyDescent="0.2">
      <c r="A621" s="2" t="s">
        <v>1129</v>
      </c>
      <c r="B621" s="2" t="s">
        <v>54</v>
      </c>
      <c r="C621" s="2" t="s">
        <v>1130</v>
      </c>
      <c r="D621" s="2" t="s">
        <v>42</v>
      </c>
      <c r="E621" s="2" t="str">
        <f t="shared" si="77"/>
        <v>4</v>
      </c>
      <c r="F621" s="2" t="s">
        <v>1025</v>
      </c>
      <c r="G621" s="4" t="s">
        <v>1492</v>
      </c>
      <c r="H621" s="2">
        <f t="shared" si="78"/>
        <v>16</v>
      </c>
      <c r="I621" s="3" t="str">
        <f t="shared" si="75"/>
        <v>-</v>
      </c>
      <c r="J621" s="2" t="str">
        <f t="shared" si="76"/>
        <v>OUTRAS DESPESAS ASSISTENCIAIS</v>
      </c>
      <c r="K621" s="2" t="s">
        <v>1015</v>
      </c>
      <c r="L621" s="6" t="s">
        <v>1527</v>
      </c>
      <c r="M621" s="16" t="s">
        <v>1778</v>
      </c>
      <c r="S621" s="6" t="b">
        <f>C621='Plano de Contas sem ponto'!C621</f>
        <v>1</v>
      </c>
    </row>
    <row r="622" spans="1:19" x14ac:dyDescent="0.2">
      <c r="A622" s="2" t="s">
        <v>1131</v>
      </c>
      <c r="B622" s="2" t="s">
        <v>54</v>
      </c>
      <c r="C622" s="2" t="s">
        <v>1132</v>
      </c>
      <c r="D622" s="2" t="s">
        <v>42</v>
      </c>
      <c r="E622" s="2" t="str">
        <f t="shared" si="77"/>
        <v>4</v>
      </c>
      <c r="F622" s="2" t="s">
        <v>1025</v>
      </c>
      <c r="G622" s="4" t="s">
        <v>1492</v>
      </c>
      <c r="H622" s="2">
        <f t="shared" si="78"/>
        <v>16</v>
      </c>
      <c r="I622" s="3" t="str">
        <f t="shared" si="75"/>
        <v>-</v>
      </c>
      <c r="J622" s="2" t="str">
        <f t="shared" si="76"/>
        <v>OUTRAS DESPESAS ASSISTENCIAIS</v>
      </c>
      <c r="K622" s="2" t="s">
        <v>1015</v>
      </c>
      <c r="L622" s="6" t="s">
        <v>1527</v>
      </c>
      <c r="M622" s="16" t="s">
        <v>1779</v>
      </c>
      <c r="S622" s="6" t="b">
        <f>C622='Plano de Contas sem ponto'!C622</f>
        <v>1</v>
      </c>
    </row>
    <row r="623" spans="1:19" x14ac:dyDescent="0.2">
      <c r="A623" s="2" t="s">
        <v>1133</v>
      </c>
      <c r="B623" s="2" t="s">
        <v>54</v>
      </c>
      <c r="C623" s="2" t="s">
        <v>1134</v>
      </c>
      <c r="D623" s="2" t="s">
        <v>42</v>
      </c>
      <c r="E623" s="2" t="str">
        <f t="shared" si="77"/>
        <v>4</v>
      </c>
      <c r="F623" s="2" t="s">
        <v>1025</v>
      </c>
      <c r="G623" s="4" t="s">
        <v>1492</v>
      </c>
      <c r="H623" s="2">
        <f t="shared" si="78"/>
        <v>16</v>
      </c>
      <c r="I623" s="3" t="str">
        <f t="shared" si="75"/>
        <v>-</v>
      </c>
      <c r="J623" s="2" t="str">
        <f t="shared" si="76"/>
        <v>OUTRAS DESPESAS ASSISTENCIAIS</v>
      </c>
      <c r="K623" s="2" t="s">
        <v>1015</v>
      </c>
      <c r="L623" s="6" t="s">
        <v>1527</v>
      </c>
      <c r="M623" s="16" t="s">
        <v>1780</v>
      </c>
      <c r="S623" s="6" t="b">
        <f>C623='Plano de Contas sem ponto'!C623</f>
        <v>1</v>
      </c>
    </row>
    <row r="624" spans="1:19" x14ac:dyDescent="0.2">
      <c r="A624" s="15" t="s">
        <v>2832</v>
      </c>
      <c r="B624" s="15" t="s">
        <v>40</v>
      </c>
      <c r="C624" s="15" t="s">
        <v>2833</v>
      </c>
      <c r="D624" s="12" t="s">
        <v>42</v>
      </c>
      <c r="E624" s="12" t="str">
        <f t="shared" ref="E624" si="83">LEFT(A624,1)</f>
        <v>4</v>
      </c>
      <c r="F624" s="12" t="s">
        <v>1025</v>
      </c>
      <c r="G624" s="37" t="s">
        <v>1492</v>
      </c>
      <c r="H624" s="12">
        <f t="shared" ref="H624" si="84">LEN(A624)</f>
        <v>11</v>
      </c>
      <c r="I624" s="38" t="str">
        <f t="shared" ref="I624" si="85">IF(H624=11,A624,"-")</f>
        <v>4.1.2.03.08</v>
      </c>
      <c r="J624" s="12" t="str">
        <f t="shared" ref="J624" si="86">IF(H624&lt;11,C624,IF(I624&lt;&gt;"-",C624,J623))</f>
        <v>PLANO DE PREVIDÊNCIA PRIVADA</v>
      </c>
      <c r="K624" s="12" t="s">
        <v>1015</v>
      </c>
      <c r="L624" s="39" t="s">
        <v>1527</v>
      </c>
      <c r="M624" s="39" t="s">
        <v>2823</v>
      </c>
      <c r="S624" s="6" t="b">
        <f>C624='Plano de Contas sem ponto'!C624</f>
        <v>1</v>
      </c>
    </row>
    <row r="625" spans="1:19" x14ac:dyDescent="0.2">
      <c r="A625" s="36" t="s">
        <v>2834</v>
      </c>
      <c r="B625" s="36" t="s">
        <v>54</v>
      </c>
      <c r="C625" s="36" t="s">
        <v>2822</v>
      </c>
      <c r="D625" s="12" t="s">
        <v>42</v>
      </c>
      <c r="E625" s="12" t="str">
        <f t="shared" ref="E625" si="87">LEFT(A625,1)</f>
        <v>4</v>
      </c>
      <c r="F625" s="12" t="s">
        <v>1025</v>
      </c>
      <c r="G625" s="37" t="s">
        <v>1492</v>
      </c>
      <c r="H625" s="12">
        <f t="shared" ref="H625" si="88">LEN(A625)</f>
        <v>16</v>
      </c>
      <c r="I625" s="38" t="str">
        <f t="shared" ref="I625" si="89">IF(H625=11,A625,"-")</f>
        <v>-</v>
      </c>
      <c r="J625" s="12" t="str">
        <f t="shared" ref="J625" si="90">IF(H625&lt;11,C625,IF(I625&lt;&gt;"-",C625,J624))</f>
        <v>PLANO DE PREVIDÊNCIA PRIVADA</v>
      </c>
      <c r="K625" s="12" t="s">
        <v>1015</v>
      </c>
      <c r="L625" s="39" t="s">
        <v>1527</v>
      </c>
      <c r="M625" s="39" t="s">
        <v>2823</v>
      </c>
      <c r="S625" s="6" t="b">
        <f>C625='Plano de Contas sem ponto'!C625</f>
        <v>1</v>
      </c>
    </row>
    <row r="626" spans="1:19" x14ac:dyDescent="0.2">
      <c r="A626" s="1" t="s">
        <v>1135</v>
      </c>
      <c r="B626" s="1" t="s">
        <v>40</v>
      </c>
      <c r="C626" s="1" t="s">
        <v>1136</v>
      </c>
      <c r="D626" s="2" t="s">
        <v>42</v>
      </c>
      <c r="E626" s="2" t="str">
        <f t="shared" si="77"/>
        <v>4</v>
      </c>
      <c r="F626" s="2" t="s">
        <v>1025</v>
      </c>
      <c r="G626" s="4" t="s">
        <v>1492</v>
      </c>
      <c r="H626" s="2">
        <f t="shared" si="78"/>
        <v>8</v>
      </c>
      <c r="I626" s="3" t="str">
        <f t="shared" si="75"/>
        <v>-</v>
      </c>
      <c r="J626" s="2" t="str">
        <f>IF(H626&lt;11,C626,IF(I626&lt;&gt;"-",C626,J623))</f>
        <v>DESPESAS COM ENCARGOS SOCIAIS</v>
      </c>
      <c r="K626" s="2" t="s">
        <v>1015</v>
      </c>
      <c r="L626" s="6" t="s">
        <v>1527</v>
      </c>
      <c r="M626" s="16" t="s">
        <v>1781</v>
      </c>
      <c r="S626" s="6" t="b">
        <f>C626='Plano de Contas sem ponto'!C626</f>
        <v>1</v>
      </c>
    </row>
    <row r="627" spans="1:19" x14ac:dyDescent="0.2">
      <c r="A627" s="1" t="s">
        <v>1137</v>
      </c>
      <c r="B627" s="1" t="s">
        <v>40</v>
      </c>
      <c r="C627" s="1" t="s">
        <v>535</v>
      </c>
      <c r="D627" s="2" t="s">
        <v>42</v>
      </c>
      <c r="E627" s="2" t="str">
        <f t="shared" si="77"/>
        <v>4</v>
      </c>
      <c r="F627" s="2" t="s">
        <v>1025</v>
      </c>
      <c r="G627" s="4" t="s">
        <v>1492</v>
      </c>
      <c r="H627" s="2">
        <f t="shared" si="78"/>
        <v>11</v>
      </c>
      <c r="I627" s="3" t="str">
        <f t="shared" si="75"/>
        <v>4.1.2.04.01</v>
      </c>
      <c r="J627" s="2" t="str">
        <f t="shared" si="76"/>
        <v>INSS</v>
      </c>
      <c r="K627" s="2" t="s">
        <v>1015</v>
      </c>
      <c r="L627" s="6" t="s">
        <v>1527</v>
      </c>
      <c r="M627" s="16" t="s">
        <v>1782</v>
      </c>
      <c r="S627" s="6" t="b">
        <f>C627='Plano de Contas sem ponto'!C627</f>
        <v>1</v>
      </c>
    </row>
    <row r="628" spans="1:19" x14ac:dyDescent="0.2">
      <c r="A628" s="2" t="s">
        <v>1138</v>
      </c>
      <c r="B628" s="2" t="s">
        <v>54</v>
      </c>
      <c r="C628" s="2" t="s">
        <v>1139</v>
      </c>
      <c r="D628" s="2" t="s">
        <v>42</v>
      </c>
      <c r="E628" s="2" t="str">
        <f t="shared" si="77"/>
        <v>4</v>
      </c>
      <c r="F628" s="2" t="s">
        <v>1025</v>
      </c>
      <c r="G628" s="4" t="s">
        <v>1492</v>
      </c>
      <c r="H628" s="2">
        <f t="shared" si="78"/>
        <v>16</v>
      </c>
      <c r="I628" s="3" t="str">
        <f t="shared" si="75"/>
        <v>-</v>
      </c>
      <c r="J628" s="2" t="str">
        <f t="shared" si="76"/>
        <v>INSS</v>
      </c>
      <c r="K628" s="2" t="s">
        <v>1015</v>
      </c>
      <c r="L628" s="6" t="s">
        <v>1527</v>
      </c>
      <c r="M628" s="16" t="s">
        <v>1783</v>
      </c>
      <c r="S628" s="6" t="b">
        <f>C628='Plano de Contas sem ponto'!C628</f>
        <v>1</v>
      </c>
    </row>
    <row r="629" spans="1:19" x14ac:dyDescent="0.2">
      <c r="A629" s="2" t="s">
        <v>1140</v>
      </c>
      <c r="B629" s="2" t="s">
        <v>54</v>
      </c>
      <c r="C629" s="2" t="s">
        <v>1141</v>
      </c>
      <c r="D629" s="2" t="s">
        <v>42</v>
      </c>
      <c r="E629" s="2" t="str">
        <f t="shared" si="77"/>
        <v>4</v>
      </c>
      <c r="F629" s="2" t="s">
        <v>1025</v>
      </c>
      <c r="G629" s="4" t="s">
        <v>1492</v>
      </c>
      <c r="H629" s="2">
        <f t="shared" si="78"/>
        <v>16</v>
      </c>
      <c r="I629" s="3" t="str">
        <f t="shared" si="75"/>
        <v>-</v>
      </c>
      <c r="J629" s="2" t="str">
        <f t="shared" si="76"/>
        <v>INSS</v>
      </c>
      <c r="K629" s="2" t="s">
        <v>1015</v>
      </c>
      <c r="L629" s="6" t="s">
        <v>1527</v>
      </c>
      <c r="M629" s="16" t="s">
        <v>1784</v>
      </c>
      <c r="S629" s="6" t="b">
        <f>C629='Plano de Contas sem ponto'!C629</f>
        <v>1</v>
      </c>
    </row>
    <row r="630" spans="1:19" x14ac:dyDescent="0.2">
      <c r="A630" s="2" t="s">
        <v>1142</v>
      </c>
      <c r="B630" s="2" t="s">
        <v>54</v>
      </c>
      <c r="C630" s="2" t="s">
        <v>1143</v>
      </c>
      <c r="D630" s="2" t="s">
        <v>42</v>
      </c>
      <c r="E630" s="2" t="str">
        <f t="shared" si="77"/>
        <v>4</v>
      </c>
      <c r="F630" s="2" t="s">
        <v>1025</v>
      </c>
      <c r="G630" s="4" t="s">
        <v>1492</v>
      </c>
      <c r="H630" s="2">
        <f t="shared" si="78"/>
        <v>16</v>
      </c>
      <c r="I630" s="3" t="str">
        <f t="shared" si="75"/>
        <v>-</v>
      </c>
      <c r="J630" s="2" t="str">
        <f t="shared" si="76"/>
        <v>INSS</v>
      </c>
      <c r="K630" s="2" t="s">
        <v>1015</v>
      </c>
      <c r="L630" s="6" t="s">
        <v>1527</v>
      </c>
      <c r="M630" s="16" t="s">
        <v>1785</v>
      </c>
      <c r="S630" s="6" t="b">
        <f>C630='Plano de Contas sem ponto'!C630</f>
        <v>1</v>
      </c>
    </row>
    <row r="631" spans="1:19" x14ac:dyDescent="0.2">
      <c r="A631" s="2" t="s">
        <v>1144</v>
      </c>
      <c r="B631" s="2" t="s">
        <v>54</v>
      </c>
      <c r="C631" s="2" t="s">
        <v>1145</v>
      </c>
      <c r="D631" s="2" t="s">
        <v>42</v>
      </c>
      <c r="E631" s="2" t="str">
        <f t="shared" si="77"/>
        <v>4</v>
      </c>
      <c r="F631" s="2" t="s">
        <v>1025</v>
      </c>
      <c r="G631" s="4" t="s">
        <v>1492</v>
      </c>
      <c r="H631" s="2">
        <f t="shared" si="78"/>
        <v>16</v>
      </c>
      <c r="I631" s="3" t="str">
        <f t="shared" si="75"/>
        <v>-</v>
      </c>
      <c r="J631" s="2" t="str">
        <f t="shared" si="76"/>
        <v>INSS</v>
      </c>
      <c r="K631" s="2" t="s">
        <v>1015</v>
      </c>
      <c r="L631" s="6" t="s">
        <v>1527</v>
      </c>
      <c r="M631" s="16" t="s">
        <v>1786</v>
      </c>
      <c r="S631" s="6" t="b">
        <f>C631='Plano de Contas sem ponto'!C631</f>
        <v>1</v>
      </c>
    </row>
    <row r="632" spans="1:19" x14ac:dyDescent="0.2">
      <c r="A632" s="1" t="s">
        <v>1146</v>
      </c>
      <c r="B632" s="1" t="s">
        <v>40</v>
      </c>
      <c r="C632" s="1" t="s">
        <v>543</v>
      </c>
      <c r="D632" s="2" t="s">
        <v>42</v>
      </c>
      <c r="E632" s="2" t="str">
        <f t="shared" si="77"/>
        <v>4</v>
      </c>
      <c r="F632" s="2" t="s">
        <v>1025</v>
      </c>
      <c r="G632" s="4" t="s">
        <v>1492</v>
      </c>
      <c r="H632" s="2">
        <f t="shared" si="78"/>
        <v>11</v>
      </c>
      <c r="I632" s="3" t="str">
        <f t="shared" si="75"/>
        <v>4.1.2.04.02</v>
      </c>
      <c r="J632" s="2" t="str">
        <f t="shared" si="76"/>
        <v>FGTS</v>
      </c>
      <c r="K632" s="2" t="s">
        <v>1015</v>
      </c>
      <c r="L632" s="6" t="s">
        <v>1527</v>
      </c>
      <c r="M632" s="16" t="s">
        <v>1787</v>
      </c>
      <c r="S632" s="6" t="b">
        <f>C632='Plano de Contas sem ponto'!C632</f>
        <v>1</v>
      </c>
    </row>
    <row r="633" spans="1:19" x14ac:dyDescent="0.2">
      <c r="A633" s="2" t="s">
        <v>1147</v>
      </c>
      <c r="B633" s="2" t="s">
        <v>54</v>
      </c>
      <c r="C633" s="2" t="s">
        <v>1148</v>
      </c>
      <c r="D633" s="2" t="s">
        <v>42</v>
      </c>
      <c r="E633" s="2" t="str">
        <f t="shared" si="77"/>
        <v>4</v>
      </c>
      <c r="F633" s="2" t="s">
        <v>1025</v>
      </c>
      <c r="G633" s="4" t="s">
        <v>1492</v>
      </c>
      <c r="H633" s="2">
        <f t="shared" si="78"/>
        <v>16</v>
      </c>
      <c r="I633" s="3" t="str">
        <f t="shared" si="75"/>
        <v>-</v>
      </c>
      <c r="J633" s="2" t="str">
        <f t="shared" si="76"/>
        <v>FGTS</v>
      </c>
      <c r="K633" s="2" t="s">
        <v>1015</v>
      </c>
      <c r="L633" s="6" t="s">
        <v>1527</v>
      </c>
      <c r="M633" s="16" t="s">
        <v>1788</v>
      </c>
      <c r="S633" s="6" t="b">
        <f>C633='Plano de Contas sem ponto'!C633</f>
        <v>1</v>
      </c>
    </row>
    <row r="634" spans="1:19" x14ac:dyDescent="0.2">
      <c r="A634" s="2" t="s">
        <v>1149</v>
      </c>
      <c r="B634" s="2" t="s">
        <v>54</v>
      </c>
      <c r="C634" s="2" t="s">
        <v>1150</v>
      </c>
      <c r="D634" s="2" t="s">
        <v>42</v>
      </c>
      <c r="E634" s="2" t="str">
        <f t="shared" si="77"/>
        <v>4</v>
      </c>
      <c r="F634" s="2" t="s">
        <v>1025</v>
      </c>
      <c r="G634" s="4" t="s">
        <v>1492</v>
      </c>
      <c r="H634" s="2">
        <f t="shared" si="78"/>
        <v>16</v>
      </c>
      <c r="I634" s="3" t="str">
        <f t="shared" si="75"/>
        <v>-</v>
      </c>
      <c r="J634" s="2" t="str">
        <f t="shared" si="76"/>
        <v>FGTS</v>
      </c>
      <c r="K634" s="2" t="s">
        <v>1015</v>
      </c>
      <c r="L634" s="6" t="s">
        <v>1527</v>
      </c>
      <c r="M634" s="16" t="s">
        <v>1789</v>
      </c>
      <c r="S634" s="6" t="b">
        <f>C634='Plano de Contas sem ponto'!C634</f>
        <v>1</v>
      </c>
    </row>
    <row r="635" spans="1:19" x14ac:dyDescent="0.2">
      <c r="A635" s="2" t="s">
        <v>1151</v>
      </c>
      <c r="B635" s="2" t="s">
        <v>54</v>
      </c>
      <c r="C635" s="2" t="s">
        <v>1152</v>
      </c>
      <c r="D635" s="2" t="s">
        <v>42</v>
      </c>
      <c r="E635" s="2" t="str">
        <f t="shared" si="77"/>
        <v>4</v>
      </c>
      <c r="F635" s="2" t="s">
        <v>1025</v>
      </c>
      <c r="G635" s="4" t="s">
        <v>1492</v>
      </c>
      <c r="H635" s="2">
        <f t="shared" si="78"/>
        <v>16</v>
      </c>
      <c r="I635" s="3" t="str">
        <f t="shared" si="75"/>
        <v>-</v>
      </c>
      <c r="J635" s="2" t="str">
        <f t="shared" si="76"/>
        <v>FGTS</v>
      </c>
      <c r="K635" s="2" t="s">
        <v>1015</v>
      </c>
      <c r="L635" s="6" t="s">
        <v>1527</v>
      </c>
      <c r="M635" s="16" t="s">
        <v>1790</v>
      </c>
      <c r="S635" s="6" t="b">
        <f>C635='Plano de Contas sem ponto'!C635</f>
        <v>1</v>
      </c>
    </row>
    <row r="636" spans="1:19" x14ac:dyDescent="0.2">
      <c r="A636" s="2" t="s">
        <v>1153</v>
      </c>
      <c r="B636" s="2" t="s">
        <v>54</v>
      </c>
      <c r="C636" s="2" t="s">
        <v>1154</v>
      </c>
      <c r="D636" s="2" t="s">
        <v>42</v>
      </c>
      <c r="E636" s="2" t="str">
        <f t="shared" si="77"/>
        <v>4</v>
      </c>
      <c r="F636" s="2" t="s">
        <v>1025</v>
      </c>
      <c r="G636" s="4" t="s">
        <v>1492</v>
      </c>
      <c r="H636" s="2">
        <f t="shared" si="78"/>
        <v>16</v>
      </c>
      <c r="I636" s="3" t="str">
        <f t="shared" si="75"/>
        <v>-</v>
      </c>
      <c r="J636" s="2" t="str">
        <f t="shared" si="76"/>
        <v>FGTS</v>
      </c>
      <c r="K636" s="2" t="s">
        <v>1015</v>
      </c>
      <c r="L636" s="6" t="s">
        <v>1527</v>
      </c>
      <c r="M636" s="16" t="s">
        <v>1791</v>
      </c>
      <c r="S636" s="6" t="b">
        <f>C636='Plano de Contas sem ponto'!C636</f>
        <v>1</v>
      </c>
    </row>
    <row r="637" spans="1:19" x14ac:dyDescent="0.2">
      <c r="A637" s="1" t="s">
        <v>1155</v>
      </c>
      <c r="B637" s="1" t="s">
        <v>40</v>
      </c>
      <c r="C637" s="1" t="s">
        <v>547</v>
      </c>
      <c r="D637" s="2" t="s">
        <v>42</v>
      </c>
      <c r="E637" s="2" t="str">
        <f t="shared" si="77"/>
        <v>4</v>
      </c>
      <c r="F637" s="2" t="s">
        <v>1025</v>
      </c>
      <c r="G637" s="4" t="s">
        <v>1492</v>
      </c>
      <c r="H637" s="2">
        <f t="shared" si="78"/>
        <v>11</v>
      </c>
      <c r="I637" s="3" t="str">
        <f t="shared" si="75"/>
        <v>4.1.2.04.03</v>
      </c>
      <c r="J637" s="2" t="str">
        <f t="shared" si="76"/>
        <v>PIS</v>
      </c>
      <c r="K637" s="2" t="s">
        <v>1015</v>
      </c>
      <c r="L637" s="6" t="s">
        <v>1527</v>
      </c>
      <c r="M637" s="16" t="s">
        <v>1792</v>
      </c>
      <c r="S637" s="6" t="b">
        <f>C637='Plano de Contas sem ponto'!C637</f>
        <v>1</v>
      </c>
    </row>
    <row r="638" spans="1:19" x14ac:dyDescent="0.2">
      <c r="A638" s="2" t="s">
        <v>1156</v>
      </c>
      <c r="B638" s="2" t="s">
        <v>54</v>
      </c>
      <c r="C638" s="2" t="s">
        <v>549</v>
      </c>
      <c r="D638" s="2" t="s">
        <v>42</v>
      </c>
      <c r="E638" s="2" t="str">
        <f t="shared" si="77"/>
        <v>4</v>
      </c>
      <c r="F638" s="2" t="s">
        <v>1025</v>
      </c>
      <c r="G638" s="4" t="s">
        <v>1492</v>
      </c>
      <c r="H638" s="2">
        <f t="shared" si="78"/>
        <v>16</v>
      </c>
      <c r="I638" s="3" t="str">
        <f t="shared" si="75"/>
        <v>-</v>
      </c>
      <c r="J638" s="2" t="str">
        <f t="shared" si="76"/>
        <v>PIS</v>
      </c>
      <c r="K638" s="2" t="s">
        <v>1015</v>
      </c>
      <c r="L638" s="6" t="s">
        <v>1527</v>
      </c>
      <c r="M638" s="16" t="s">
        <v>1793</v>
      </c>
      <c r="S638" s="6" t="b">
        <f>C638='Plano de Contas sem ponto'!C638</f>
        <v>1</v>
      </c>
    </row>
    <row r="639" spans="1:19" x14ac:dyDescent="0.2">
      <c r="A639" s="2" t="s">
        <v>1157</v>
      </c>
      <c r="B639" s="2" t="s">
        <v>54</v>
      </c>
      <c r="C639" s="2" t="s">
        <v>1158</v>
      </c>
      <c r="D639" s="2" t="s">
        <v>42</v>
      </c>
      <c r="E639" s="2" t="str">
        <f t="shared" si="77"/>
        <v>4</v>
      </c>
      <c r="F639" s="2" t="s">
        <v>1025</v>
      </c>
      <c r="G639" s="4" t="s">
        <v>1492</v>
      </c>
      <c r="H639" s="2">
        <f t="shared" si="78"/>
        <v>16</v>
      </c>
      <c r="I639" s="3" t="str">
        <f t="shared" si="75"/>
        <v>-</v>
      </c>
      <c r="J639" s="2" t="str">
        <f t="shared" si="76"/>
        <v>PIS</v>
      </c>
      <c r="K639" s="2" t="s">
        <v>1015</v>
      </c>
      <c r="L639" s="6" t="s">
        <v>1527</v>
      </c>
      <c r="M639" s="16" t="s">
        <v>1794</v>
      </c>
      <c r="S639" s="6" t="b">
        <f>C639='Plano de Contas sem ponto'!C639</f>
        <v>1</v>
      </c>
    </row>
    <row r="640" spans="1:19" x14ac:dyDescent="0.2">
      <c r="A640" s="2" t="s">
        <v>1159</v>
      </c>
      <c r="B640" s="2" t="s">
        <v>54</v>
      </c>
      <c r="C640" s="2" t="s">
        <v>1160</v>
      </c>
      <c r="D640" s="2" t="s">
        <v>42</v>
      </c>
      <c r="E640" s="2" t="str">
        <f t="shared" si="77"/>
        <v>4</v>
      </c>
      <c r="F640" s="2" t="s">
        <v>1025</v>
      </c>
      <c r="G640" s="4" t="s">
        <v>1492</v>
      </c>
      <c r="H640" s="2">
        <f t="shared" si="78"/>
        <v>16</v>
      </c>
      <c r="I640" s="3" t="str">
        <f t="shared" si="75"/>
        <v>-</v>
      </c>
      <c r="J640" s="2" t="str">
        <f t="shared" si="76"/>
        <v>PIS</v>
      </c>
      <c r="K640" s="2" t="s">
        <v>1015</v>
      </c>
      <c r="L640" s="6" t="s">
        <v>1527</v>
      </c>
      <c r="M640" s="16" t="s">
        <v>1795</v>
      </c>
      <c r="S640" s="6" t="b">
        <f>C640='Plano de Contas sem ponto'!C640</f>
        <v>1</v>
      </c>
    </row>
    <row r="641" spans="1:19" x14ac:dyDescent="0.2">
      <c r="A641" s="2" t="s">
        <v>1161</v>
      </c>
      <c r="B641" s="2" t="s">
        <v>54</v>
      </c>
      <c r="C641" s="2" t="s">
        <v>1162</v>
      </c>
      <c r="D641" s="2" t="s">
        <v>42</v>
      </c>
      <c r="E641" s="2" t="str">
        <f t="shared" si="77"/>
        <v>4</v>
      </c>
      <c r="F641" s="2" t="s">
        <v>1025</v>
      </c>
      <c r="G641" s="4" t="s">
        <v>1492</v>
      </c>
      <c r="H641" s="2">
        <f t="shared" si="78"/>
        <v>16</v>
      </c>
      <c r="I641" s="3" t="str">
        <f t="shared" si="75"/>
        <v>-</v>
      </c>
      <c r="J641" s="2" t="str">
        <f t="shared" si="76"/>
        <v>PIS</v>
      </c>
      <c r="K641" s="2" t="s">
        <v>1015</v>
      </c>
      <c r="L641" s="6" t="s">
        <v>1527</v>
      </c>
      <c r="M641" s="16" t="s">
        <v>1796</v>
      </c>
      <c r="S641" s="6" t="b">
        <f>C641='Plano de Contas sem ponto'!C641</f>
        <v>1</v>
      </c>
    </row>
    <row r="642" spans="1:19" x14ac:dyDescent="0.2">
      <c r="A642" s="1" t="s">
        <v>1163</v>
      </c>
      <c r="B642" s="1" t="s">
        <v>40</v>
      </c>
      <c r="C642" s="1" t="s">
        <v>1164</v>
      </c>
      <c r="D642" s="2" t="s">
        <v>42</v>
      </c>
      <c r="E642" s="2" t="str">
        <f t="shared" si="77"/>
        <v>4</v>
      </c>
      <c r="F642" s="2" t="s">
        <v>1025</v>
      </c>
      <c r="G642" s="4" t="s">
        <v>1492</v>
      </c>
      <c r="H642" s="2">
        <f t="shared" si="78"/>
        <v>5</v>
      </c>
      <c r="I642" s="3" t="str">
        <f t="shared" si="75"/>
        <v>-</v>
      </c>
      <c r="J642" s="2" t="str">
        <f t="shared" si="76"/>
        <v>DESPESAS ADMINISTRATIVAS</v>
      </c>
      <c r="K642" s="2" t="s">
        <v>1015</v>
      </c>
      <c r="S642" s="6" t="b">
        <f>C642='Plano de Contas sem ponto'!C642</f>
        <v>1</v>
      </c>
    </row>
    <row r="643" spans="1:19" x14ac:dyDescent="0.2">
      <c r="A643" s="1" t="s">
        <v>1165</v>
      </c>
      <c r="B643" s="1" t="s">
        <v>40</v>
      </c>
      <c r="C643" s="1" t="s">
        <v>1166</v>
      </c>
      <c r="D643" s="2" t="s">
        <v>42</v>
      </c>
      <c r="E643" s="2" t="str">
        <f t="shared" si="77"/>
        <v>4</v>
      </c>
      <c r="F643" s="2" t="s">
        <v>1025</v>
      </c>
      <c r="G643" s="4" t="s">
        <v>1492</v>
      </c>
      <c r="H643" s="2">
        <f t="shared" si="78"/>
        <v>8</v>
      </c>
      <c r="I643" s="3" t="str">
        <f t="shared" si="75"/>
        <v>-</v>
      </c>
      <c r="J643" s="2" t="str">
        <f t="shared" si="76"/>
        <v>LOCALIZACAO</v>
      </c>
      <c r="K643" s="2" t="s">
        <v>1015</v>
      </c>
      <c r="L643" s="2" t="s">
        <v>1516</v>
      </c>
      <c r="S643" s="6" t="b">
        <f>C643='Plano de Contas sem ponto'!C643</f>
        <v>1</v>
      </c>
    </row>
    <row r="644" spans="1:19" x14ac:dyDescent="0.2">
      <c r="A644" s="1" t="s">
        <v>1167</v>
      </c>
      <c r="B644" s="1" t="s">
        <v>40</v>
      </c>
      <c r="C644" s="1" t="s">
        <v>1166</v>
      </c>
      <c r="D644" s="2" t="s">
        <v>42</v>
      </c>
      <c r="E644" s="2" t="str">
        <f t="shared" si="77"/>
        <v>4</v>
      </c>
      <c r="F644" s="2" t="s">
        <v>1025</v>
      </c>
      <c r="G644" s="4" t="s">
        <v>1492</v>
      </c>
      <c r="H644" s="2">
        <f t="shared" si="78"/>
        <v>11</v>
      </c>
      <c r="I644" s="3" t="str">
        <f t="shared" si="75"/>
        <v>4.1.3.01.01</v>
      </c>
      <c r="J644" s="2" t="str">
        <f t="shared" si="76"/>
        <v>LOCALIZACAO</v>
      </c>
      <c r="K644" s="2" t="s">
        <v>1015</v>
      </c>
      <c r="L644" s="2" t="s">
        <v>1516</v>
      </c>
      <c r="S644" s="6" t="b">
        <f>C644='Plano de Contas sem ponto'!C644</f>
        <v>1</v>
      </c>
    </row>
    <row r="645" spans="1:19" x14ac:dyDescent="0.2">
      <c r="A645" s="2" t="s">
        <v>1168</v>
      </c>
      <c r="B645" s="2" t="s">
        <v>54</v>
      </c>
      <c r="C645" s="2" t="s">
        <v>918</v>
      </c>
      <c r="D645" s="2" t="s">
        <v>42</v>
      </c>
      <c r="E645" s="2" t="str">
        <f t="shared" si="77"/>
        <v>4</v>
      </c>
      <c r="F645" s="2" t="s">
        <v>1025</v>
      </c>
      <c r="G645" s="4" t="s">
        <v>1492</v>
      </c>
      <c r="H645" s="2">
        <f t="shared" si="78"/>
        <v>16</v>
      </c>
      <c r="I645" s="3" t="str">
        <f t="shared" si="75"/>
        <v>-</v>
      </c>
      <c r="J645" s="2" t="str">
        <f t="shared" si="76"/>
        <v>LOCALIZACAO</v>
      </c>
      <c r="K645" s="2" t="s">
        <v>1015</v>
      </c>
      <c r="L645" s="2" t="s">
        <v>1516</v>
      </c>
      <c r="M645" s="10" t="s">
        <v>1587</v>
      </c>
      <c r="S645" s="6" t="b">
        <f>C645='Plano de Contas sem ponto'!C645</f>
        <v>1</v>
      </c>
    </row>
    <row r="646" spans="1:19" x14ac:dyDescent="0.2">
      <c r="A646" s="2" t="s">
        <v>1169</v>
      </c>
      <c r="B646" s="2" t="s">
        <v>54</v>
      </c>
      <c r="C646" s="2" t="s">
        <v>1170</v>
      </c>
      <c r="D646" s="2" t="s">
        <v>42</v>
      </c>
      <c r="E646" s="2" t="str">
        <f t="shared" si="77"/>
        <v>4</v>
      </c>
      <c r="F646" s="2" t="s">
        <v>1025</v>
      </c>
      <c r="G646" s="4" t="s">
        <v>1492</v>
      </c>
      <c r="H646" s="2">
        <f t="shared" si="78"/>
        <v>16</v>
      </c>
      <c r="I646" s="3" t="str">
        <f t="shared" si="75"/>
        <v>-</v>
      </c>
      <c r="J646" s="2" t="str">
        <f t="shared" si="76"/>
        <v>LOCALIZACAO</v>
      </c>
      <c r="K646" s="2" t="s">
        <v>1015</v>
      </c>
      <c r="L646" s="2" t="s">
        <v>1516</v>
      </c>
      <c r="M646" s="10" t="s">
        <v>1588</v>
      </c>
      <c r="S646" s="6" t="b">
        <f>C646='Plano de Contas sem ponto'!C646</f>
        <v>1</v>
      </c>
    </row>
    <row r="647" spans="1:19" x14ac:dyDescent="0.2">
      <c r="A647" s="2" t="s">
        <v>1171</v>
      </c>
      <c r="B647" s="2" t="s">
        <v>54</v>
      </c>
      <c r="C647" s="2" t="s">
        <v>1105</v>
      </c>
      <c r="D647" s="2" t="s">
        <v>42</v>
      </c>
      <c r="E647" s="2" t="str">
        <f t="shared" si="77"/>
        <v>4</v>
      </c>
      <c r="F647" s="2" t="s">
        <v>1025</v>
      </c>
      <c r="G647" s="4" t="s">
        <v>1492</v>
      </c>
      <c r="H647" s="2">
        <f t="shared" si="78"/>
        <v>16</v>
      </c>
      <c r="I647" s="3" t="str">
        <f t="shared" si="75"/>
        <v>-</v>
      </c>
      <c r="J647" s="2" t="str">
        <f t="shared" si="76"/>
        <v>LOCALIZACAO</v>
      </c>
      <c r="K647" s="2" t="s">
        <v>1015</v>
      </c>
      <c r="L647" s="2" t="s">
        <v>1516</v>
      </c>
      <c r="M647" s="10" t="s">
        <v>1592</v>
      </c>
      <c r="S647" s="6" t="b">
        <f>C647='Plano de Contas sem ponto'!C647</f>
        <v>1</v>
      </c>
    </row>
    <row r="648" spans="1:19" x14ac:dyDescent="0.2">
      <c r="A648" s="2" t="s">
        <v>1172</v>
      </c>
      <c r="B648" s="2" t="s">
        <v>54</v>
      </c>
      <c r="C648" s="2" t="s">
        <v>1173</v>
      </c>
      <c r="D648" s="2" t="s">
        <v>42</v>
      </c>
      <c r="E648" s="2" t="str">
        <f t="shared" si="77"/>
        <v>4</v>
      </c>
      <c r="F648" s="2" t="s">
        <v>1025</v>
      </c>
      <c r="G648" s="4" t="s">
        <v>1492</v>
      </c>
      <c r="H648" s="2">
        <f t="shared" si="78"/>
        <v>16</v>
      </c>
      <c r="I648" s="3" t="str">
        <f t="shared" si="75"/>
        <v>-</v>
      </c>
      <c r="J648" s="2" t="str">
        <f t="shared" si="76"/>
        <v>LOCALIZACAO</v>
      </c>
      <c r="K648" s="2" t="s">
        <v>1015</v>
      </c>
      <c r="L648" s="2" t="s">
        <v>1516</v>
      </c>
      <c r="M648" s="10" t="s">
        <v>1589</v>
      </c>
      <c r="S648" s="6" t="b">
        <f>C648='Plano de Contas sem ponto'!C648</f>
        <v>1</v>
      </c>
    </row>
    <row r="649" spans="1:19" x14ac:dyDescent="0.2">
      <c r="A649" s="2" t="s">
        <v>1174</v>
      </c>
      <c r="B649" s="2" t="s">
        <v>54</v>
      </c>
      <c r="C649" s="2" t="s">
        <v>1175</v>
      </c>
      <c r="D649" s="2" t="s">
        <v>42</v>
      </c>
      <c r="E649" s="2" t="str">
        <f t="shared" si="77"/>
        <v>4</v>
      </c>
      <c r="F649" s="2" t="s">
        <v>1025</v>
      </c>
      <c r="G649" s="4" t="s">
        <v>1492</v>
      </c>
      <c r="H649" s="2">
        <f t="shared" si="78"/>
        <v>16</v>
      </c>
      <c r="I649" s="3" t="str">
        <f t="shared" si="75"/>
        <v>-</v>
      </c>
      <c r="J649" s="2" t="str">
        <f t="shared" si="76"/>
        <v>LOCALIZACAO</v>
      </c>
      <c r="K649" s="2" t="s">
        <v>1015</v>
      </c>
      <c r="L649" s="2" t="s">
        <v>1516</v>
      </c>
      <c r="M649" s="10" t="s">
        <v>1592</v>
      </c>
      <c r="S649" s="6" t="b">
        <f>C649='Plano de Contas sem ponto'!C649</f>
        <v>1</v>
      </c>
    </row>
    <row r="650" spans="1:19" x14ac:dyDescent="0.2">
      <c r="A650" s="2" t="s">
        <v>1176</v>
      </c>
      <c r="B650" s="2" t="s">
        <v>54</v>
      </c>
      <c r="C650" s="2" t="s">
        <v>1177</v>
      </c>
      <c r="D650" s="2" t="s">
        <v>42</v>
      </c>
      <c r="E650" s="2" t="str">
        <f t="shared" si="77"/>
        <v>4</v>
      </c>
      <c r="F650" s="2" t="s">
        <v>1025</v>
      </c>
      <c r="G650" s="4" t="s">
        <v>1492</v>
      </c>
      <c r="H650" s="2">
        <f t="shared" si="78"/>
        <v>16</v>
      </c>
      <c r="I650" s="3" t="str">
        <f t="shared" si="75"/>
        <v>-</v>
      </c>
      <c r="J650" s="2" t="str">
        <f t="shared" si="76"/>
        <v>LOCALIZACAO</v>
      </c>
      <c r="K650" s="2" t="s">
        <v>1015</v>
      </c>
      <c r="L650" s="2" t="s">
        <v>1516</v>
      </c>
      <c r="M650" s="10" t="s">
        <v>1591</v>
      </c>
      <c r="S650" s="6" t="b">
        <f>C650='Plano de Contas sem ponto'!C650</f>
        <v>1</v>
      </c>
    </row>
    <row r="651" spans="1:19" x14ac:dyDescent="0.2">
      <c r="A651" s="2" t="s">
        <v>1178</v>
      </c>
      <c r="B651" s="2" t="s">
        <v>54</v>
      </c>
      <c r="C651" s="2" t="s">
        <v>1179</v>
      </c>
      <c r="D651" s="2" t="s">
        <v>42</v>
      </c>
      <c r="E651" s="2" t="str">
        <f t="shared" si="77"/>
        <v>4</v>
      </c>
      <c r="F651" s="2" t="s">
        <v>1025</v>
      </c>
      <c r="G651" s="4" t="s">
        <v>1492</v>
      </c>
      <c r="H651" s="2">
        <f t="shared" si="78"/>
        <v>16</v>
      </c>
      <c r="I651" s="3" t="str">
        <f t="shared" si="75"/>
        <v>-</v>
      </c>
      <c r="J651" s="2" t="str">
        <f t="shared" si="76"/>
        <v>LOCALIZACAO</v>
      </c>
      <c r="K651" s="2" t="s">
        <v>1015</v>
      </c>
      <c r="L651" s="2" t="s">
        <v>1516</v>
      </c>
      <c r="M651" s="10" t="s">
        <v>1590</v>
      </c>
      <c r="S651" s="6" t="b">
        <f>C651='Plano de Contas sem ponto'!C651</f>
        <v>1</v>
      </c>
    </row>
    <row r="652" spans="1:19" x14ac:dyDescent="0.2">
      <c r="A652" s="2" t="s">
        <v>1180</v>
      </c>
      <c r="B652" s="2" t="s">
        <v>54</v>
      </c>
      <c r="C652" s="2" t="s">
        <v>1181</v>
      </c>
      <c r="D652" s="2" t="s">
        <v>42</v>
      </c>
      <c r="E652" s="2" t="str">
        <f t="shared" si="77"/>
        <v>4</v>
      </c>
      <c r="F652" s="2" t="s">
        <v>1025</v>
      </c>
      <c r="G652" s="4" t="s">
        <v>1492</v>
      </c>
      <c r="H652" s="2">
        <f t="shared" si="78"/>
        <v>16</v>
      </c>
      <c r="I652" s="3" t="str">
        <f t="shared" si="75"/>
        <v>-</v>
      </c>
      <c r="J652" s="2" t="str">
        <f t="shared" si="76"/>
        <v>LOCALIZACAO</v>
      </c>
      <c r="K652" s="2" t="s">
        <v>1015</v>
      </c>
      <c r="L652" s="2" t="s">
        <v>1516</v>
      </c>
      <c r="M652" s="10" t="s">
        <v>1592</v>
      </c>
      <c r="S652" s="6" t="b">
        <f>C652='Plano de Contas sem ponto'!C652</f>
        <v>1</v>
      </c>
    </row>
    <row r="653" spans="1:19" x14ac:dyDescent="0.2">
      <c r="A653" s="9" t="s">
        <v>1182</v>
      </c>
      <c r="B653" s="9" t="s">
        <v>54</v>
      </c>
      <c r="C653" s="9" t="s">
        <v>1183</v>
      </c>
      <c r="D653" s="2" t="s">
        <v>42</v>
      </c>
      <c r="E653" s="2" t="str">
        <f t="shared" si="77"/>
        <v>4</v>
      </c>
      <c r="F653" s="2" t="s">
        <v>1025</v>
      </c>
      <c r="G653" s="4" t="s">
        <v>1492</v>
      </c>
      <c r="H653" s="2">
        <f t="shared" si="78"/>
        <v>16</v>
      </c>
      <c r="I653" s="3" t="str">
        <f t="shared" si="75"/>
        <v>-</v>
      </c>
      <c r="J653" s="2" t="str">
        <f t="shared" si="76"/>
        <v>LOCALIZACAO</v>
      </c>
      <c r="K653" s="2" t="s">
        <v>1015</v>
      </c>
      <c r="L653" s="2" t="s">
        <v>1516</v>
      </c>
      <c r="M653" s="10" t="s">
        <v>1592</v>
      </c>
      <c r="S653" s="6" t="b">
        <f>C653='Plano de Contas sem ponto'!C653</f>
        <v>1</v>
      </c>
    </row>
    <row r="654" spans="1:19" x14ac:dyDescent="0.2">
      <c r="A654" s="1" t="s">
        <v>1184</v>
      </c>
      <c r="B654" s="1" t="s">
        <v>40</v>
      </c>
      <c r="C654" s="1" t="s">
        <v>1185</v>
      </c>
      <c r="D654" s="2" t="s">
        <v>42</v>
      </c>
      <c r="E654" s="2" t="str">
        <f t="shared" si="77"/>
        <v>4</v>
      </c>
      <c r="F654" s="2" t="s">
        <v>1025</v>
      </c>
      <c r="G654" s="4" t="s">
        <v>1492</v>
      </c>
      <c r="H654" s="2">
        <f t="shared" si="78"/>
        <v>8</v>
      </c>
      <c r="I654" s="3" t="str">
        <f t="shared" si="75"/>
        <v>-</v>
      </c>
      <c r="J654" s="2" t="str">
        <f t="shared" si="76"/>
        <v>COMUNICACAO</v>
      </c>
      <c r="K654" s="2" t="s">
        <v>1015</v>
      </c>
      <c r="L654" s="2" t="s">
        <v>1719</v>
      </c>
      <c r="M654" s="2" t="s">
        <v>1517</v>
      </c>
      <c r="S654" s="6" t="b">
        <f>C654='Plano de Contas sem ponto'!C654</f>
        <v>1</v>
      </c>
    </row>
    <row r="655" spans="1:19" x14ac:dyDescent="0.2">
      <c r="A655" s="1" t="s">
        <v>1186</v>
      </c>
      <c r="B655" s="1" t="s">
        <v>40</v>
      </c>
      <c r="C655" s="1" t="s">
        <v>1185</v>
      </c>
      <c r="D655" s="2" t="s">
        <v>42</v>
      </c>
      <c r="E655" s="2" t="str">
        <f t="shared" si="77"/>
        <v>4</v>
      </c>
      <c r="F655" s="2" t="s">
        <v>1025</v>
      </c>
      <c r="G655" s="4" t="s">
        <v>1492</v>
      </c>
      <c r="H655" s="2">
        <f t="shared" si="78"/>
        <v>11</v>
      </c>
      <c r="I655" s="3" t="str">
        <f t="shared" si="75"/>
        <v>4.1.3.02.01</v>
      </c>
      <c r="J655" s="2" t="str">
        <f t="shared" si="76"/>
        <v>COMUNICACAO</v>
      </c>
      <c r="K655" s="2" t="s">
        <v>1015</v>
      </c>
      <c r="L655" s="2" t="s">
        <v>1719</v>
      </c>
      <c r="M655" s="2" t="s">
        <v>1517</v>
      </c>
      <c r="S655" s="6" t="b">
        <f>C655='Plano de Contas sem ponto'!C655</f>
        <v>1</v>
      </c>
    </row>
    <row r="656" spans="1:19" x14ac:dyDescent="0.2">
      <c r="A656" s="2" t="s">
        <v>1187</v>
      </c>
      <c r="B656" s="2" t="s">
        <v>54</v>
      </c>
      <c r="C656" s="2" t="s">
        <v>1188</v>
      </c>
      <c r="D656" s="2" t="s">
        <v>42</v>
      </c>
      <c r="E656" s="2" t="str">
        <f t="shared" si="77"/>
        <v>4</v>
      </c>
      <c r="F656" s="2" t="s">
        <v>1025</v>
      </c>
      <c r="G656" s="4" t="s">
        <v>1492</v>
      </c>
      <c r="H656" s="2">
        <f t="shared" si="78"/>
        <v>16</v>
      </c>
      <c r="I656" s="3" t="str">
        <f t="shared" si="75"/>
        <v>-</v>
      </c>
      <c r="J656" s="2" t="str">
        <f t="shared" si="76"/>
        <v>COMUNICACAO</v>
      </c>
      <c r="K656" s="2" t="s">
        <v>1015</v>
      </c>
      <c r="L656" s="2" t="s">
        <v>1719</v>
      </c>
      <c r="M656" s="2" t="s">
        <v>1517</v>
      </c>
      <c r="S656" s="6" t="b">
        <f>C656='Plano de Contas sem ponto'!C656</f>
        <v>1</v>
      </c>
    </row>
    <row r="657" spans="1:19" x14ac:dyDescent="0.2">
      <c r="A657" s="2" t="s">
        <v>1189</v>
      </c>
      <c r="B657" s="2" t="s">
        <v>54</v>
      </c>
      <c r="C657" s="2" t="s">
        <v>1190</v>
      </c>
      <c r="D657" s="2" t="s">
        <v>42</v>
      </c>
      <c r="E657" s="2" t="str">
        <f t="shared" si="77"/>
        <v>4</v>
      </c>
      <c r="F657" s="2" t="s">
        <v>1025</v>
      </c>
      <c r="G657" s="4" t="s">
        <v>1492</v>
      </c>
      <c r="H657" s="2">
        <f t="shared" si="78"/>
        <v>16</v>
      </c>
      <c r="I657" s="3" t="str">
        <f t="shared" si="75"/>
        <v>-</v>
      </c>
      <c r="J657" s="2" t="str">
        <f t="shared" si="76"/>
        <v>COMUNICACAO</v>
      </c>
      <c r="K657" s="2" t="s">
        <v>1015</v>
      </c>
      <c r="L657" s="2" t="s">
        <v>1719</v>
      </c>
      <c r="M657" s="2" t="s">
        <v>1517</v>
      </c>
      <c r="S657" s="6" t="b">
        <f>C657='Plano de Contas sem ponto'!C657</f>
        <v>1</v>
      </c>
    </row>
    <row r="658" spans="1:19" x14ac:dyDescent="0.2">
      <c r="A658" s="2" t="s">
        <v>1191</v>
      </c>
      <c r="B658" s="2" t="s">
        <v>54</v>
      </c>
      <c r="C658" s="2" t="s">
        <v>1192</v>
      </c>
      <c r="D658" s="2" t="s">
        <v>42</v>
      </c>
      <c r="E658" s="2" t="str">
        <f t="shared" si="77"/>
        <v>4</v>
      </c>
      <c r="F658" s="2" t="s">
        <v>1025</v>
      </c>
      <c r="G658" s="4" t="s">
        <v>1492</v>
      </c>
      <c r="H658" s="2">
        <f t="shared" si="78"/>
        <v>16</v>
      </c>
      <c r="I658" s="3" t="str">
        <f t="shared" si="75"/>
        <v>-</v>
      </c>
      <c r="J658" s="2" t="str">
        <f t="shared" si="76"/>
        <v>COMUNICACAO</v>
      </c>
      <c r="K658" s="2" t="s">
        <v>1015</v>
      </c>
      <c r="L658" s="2" t="s">
        <v>1719</v>
      </c>
      <c r="M658" s="2" t="s">
        <v>1517</v>
      </c>
      <c r="S658" s="6" t="b">
        <f>C658='Plano de Contas sem ponto'!C658</f>
        <v>1</v>
      </c>
    </row>
    <row r="659" spans="1:19" x14ac:dyDescent="0.2">
      <c r="A659" s="2" t="s">
        <v>1193</v>
      </c>
      <c r="B659" s="2" t="s">
        <v>54</v>
      </c>
      <c r="C659" s="2" t="s">
        <v>1194</v>
      </c>
      <c r="D659" s="2" t="s">
        <v>42</v>
      </c>
      <c r="E659" s="2" t="str">
        <f t="shared" si="77"/>
        <v>4</v>
      </c>
      <c r="F659" s="2" t="s">
        <v>1025</v>
      </c>
      <c r="G659" s="4" t="s">
        <v>1492</v>
      </c>
      <c r="H659" s="2">
        <f t="shared" si="78"/>
        <v>16</v>
      </c>
      <c r="I659" s="3" t="str">
        <f t="shared" si="75"/>
        <v>-</v>
      </c>
      <c r="J659" s="2" t="str">
        <f t="shared" si="76"/>
        <v>COMUNICACAO</v>
      </c>
      <c r="K659" s="2" t="s">
        <v>1015</v>
      </c>
      <c r="L659" s="2" t="s">
        <v>1719</v>
      </c>
      <c r="M659" s="2" t="s">
        <v>1517</v>
      </c>
      <c r="S659" s="6" t="b">
        <f>C659='Plano de Contas sem ponto'!C659</f>
        <v>1</v>
      </c>
    </row>
    <row r="660" spans="1:19" x14ac:dyDescent="0.2">
      <c r="A660" s="2" t="s">
        <v>1195</v>
      </c>
      <c r="B660" s="2" t="s">
        <v>54</v>
      </c>
      <c r="C660" s="2" t="s">
        <v>1196</v>
      </c>
      <c r="D660" s="2" t="s">
        <v>42</v>
      </c>
      <c r="E660" s="2" t="str">
        <f t="shared" si="77"/>
        <v>4</v>
      </c>
      <c r="F660" s="2" t="s">
        <v>1025</v>
      </c>
      <c r="G660" s="4" t="s">
        <v>1492</v>
      </c>
      <c r="H660" s="2">
        <f t="shared" si="78"/>
        <v>16</v>
      </c>
      <c r="I660" s="3" t="str">
        <f t="shared" si="75"/>
        <v>-</v>
      </c>
      <c r="J660" s="2" t="str">
        <f t="shared" si="76"/>
        <v>COMUNICACAO</v>
      </c>
      <c r="K660" s="2" t="s">
        <v>1015</v>
      </c>
      <c r="L660" s="2" t="s">
        <v>1719</v>
      </c>
      <c r="M660" s="2" t="s">
        <v>1517</v>
      </c>
      <c r="S660" s="6" t="b">
        <f>C660='Plano de Contas sem ponto'!C660</f>
        <v>1</v>
      </c>
    </row>
    <row r="661" spans="1:19" x14ac:dyDescent="0.2">
      <c r="A661" s="2" t="s">
        <v>1197</v>
      </c>
      <c r="B661" s="2" t="s">
        <v>54</v>
      </c>
      <c r="C661" s="2" t="s">
        <v>1198</v>
      </c>
      <c r="D661" s="2" t="s">
        <v>42</v>
      </c>
      <c r="E661" s="2" t="str">
        <f t="shared" si="77"/>
        <v>4</v>
      </c>
      <c r="F661" s="2" t="s">
        <v>1025</v>
      </c>
      <c r="G661" s="4" t="s">
        <v>1492</v>
      </c>
      <c r="H661" s="2">
        <f t="shared" si="78"/>
        <v>16</v>
      </c>
      <c r="I661" s="3" t="str">
        <f t="shared" si="75"/>
        <v>-</v>
      </c>
      <c r="J661" s="2" t="str">
        <f t="shared" si="76"/>
        <v>COMUNICACAO</v>
      </c>
      <c r="K661" s="2" t="s">
        <v>1015</v>
      </c>
      <c r="L661" s="2" t="s">
        <v>1719</v>
      </c>
      <c r="M661" s="2" t="s">
        <v>1517</v>
      </c>
      <c r="S661" s="6" t="b">
        <f>C661='Plano de Contas sem ponto'!C661</f>
        <v>1</v>
      </c>
    </row>
    <row r="662" spans="1:19" x14ac:dyDescent="0.2">
      <c r="A662" s="2" t="s">
        <v>1199</v>
      </c>
      <c r="B662" s="2" t="s">
        <v>54</v>
      </c>
      <c r="C662" s="2" t="s">
        <v>1200</v>
      </c>
      <c r="D662" s="2" t="s">
        <v>42</v>
      </c>
      <c r="E662" s="2" t="str">
        <f t="shared" si="77"/>
        <v>4</v>
      </c>
      <c r="F662" s="2" t="s">
        <v>1025</v>
      </c>
      <c r="G662" s="4" t="s">
        <v>1492</v>
      </c>
      <c r="H662" s="2">
        <f t="shared" si="78"/>
        <v>16</v>
      </c>
      <c r="I662" s="3" t="str">
        <f t="shared" si="75"/>
        <v>-</v>
      </c>
      <c r="J662" s="2" t="str">
        <f t="shared" si="76"/>
        <v>COMUNICACAO</v>
      </c>
      <c r="K662" s="2" t="s">
        <v>1015</v>
      </c>
      <c r="L662" s="2" t="s">
        <v>1719</v>
      </c>
      <c r="M662" s="2" t="s">
        <v>1517</v>
      </c>
      <c r="S662" s="6" t="b">
        <f>C662='Plano de Contas sem ponto'!C662</f>
        <v>1</v>
      </c>
    </row>
    <row r="663" spans="1:19" x14ac:dyDescent="0.2">
      <c r="A663" s="2" t="s">
        <v>1201</v>
      </c>
      <c r="B663" s="2" t="s">
        <v>54</v>
      </c>
      <c r="C663" s="2" t="s">
        <v>1202</v>
      </c>
      <c r="D663" s="2" t="s">
        <v>42</v>
      </c>
      <c r="E663" s="2" t="str">
        <f t="shared" si="77"/>
        <v>4</v>
      </c>
      <c r="F663" s="2" t="s">
        <v>1025</v>
      </c>
      <c r="G663" s="4" t="s">
        <v>1492</v>
      </c>
      <c r="H663" s="2">
        <f t="shared" si="78"/>
        <v>16</v>
      </c>
      <c r="I663" s="3" t="str">
        <f t="shared" ref="I663:I737" si="91">IF(H663=11,A663,"-")</f>
        <v>-</v>
      </c>
      <c r="J663" s="2" t="str">
        <f t="shared" ref="J663:J737" si="92">IF(H663&lt;11,C663,IF(I663&lt;&gt;"-",C663,J662))</f>
        <v>COMUNICACAO</v>
      </c>
      <c r="K663" s="2" t="s">
        <v>1015</v>
      </c>
      <c r="L663" s="2" t="s">
        <v>1719</v>
      </c>
      <c r="M663" s="2" t="s">
        <v>1517</v>
      </c>
      <c r="S663" s="6" t="b">
        <f>C663='Plano de Contas sem ponto'!C663</f>
        <v>1</v>
      </c>
    </row>
    <row r="664" spans="1:19" x14ac:dyDescent="0.2">
      <c r="A664" s="1" t="s">
        <v>1203</v>
      </c>
      <c r="B664" s="1" t="s">
        <v>40</v>
      </c>
      <c r="C664" s="1" t="s">
        <v>403</v>
      </c>
      <c r="D664" s="2" t="s">
        <v>42</v>
      </c>
      <c r="E664" s="2" t="str">
        <f t="shared" ref="E664:E738" si="93">LEFT(A664,1)</f>
        <v>4</v>
      </c>
      <c r="F664" s="2" t="s">
        <v>1025</v>
      </c>
      <c r="G664" s="4" t="s">
        <v>1492</v>
      </c>
      <c r="H664" s="2">
        <f t="shared" ref="H664:H738" si="94">LEN(A664)</f>
        <v>8</v>
      </c>
      <c r="I664" s="3" t="str">
        <f t="shared" si="91"/>
        <v>-</v>
      </c>
      <c r="J664" s="2" t="str">
        <f t="shared" si="92"/>
        <v>VEICULOS</v>
      </c>
      <c r="K664" s="2" t="s">
        <v>1015</v>
      </c>
      <c r="L664" s="2" t="s">
        <v>1719</v>
      </c>
      <c r="M664" s="10" t="s">
        <v>1511</v>
      </c>
      <c r="S664" s="6" t="b">
        <f>C664='Plano de Contas sem ponto'!C664</f>
        <v>1</v>
      </c>
    </row>
    <row r="665" spans="1:19" x14ac:dyDescent="0.2">
      <c r="A665" s="1" t="s">
        <v>1204</v>
      </c>
      <c r="B665" s="1" t="s">
        <v>40</v>
      </c>
      <c r="C665" s="1" t="s">
        <v>403</v>
      </c>
      <c r="D665" s="2" t="s">
        <v>42</v>
      </c>
      <c r="E665" s="2" t="str">
        <f t="shared" si="93"/>
        <v>4</v>
      </c>
      <c r="F665" s="2" t="s">
        <v>1025</v>
      </c>
      <c r="G665" s="4" t="s">
        <v>1492</v>
      </c>
      <c r="H665" s="2">
        <f t="shared" si="94"/>
        <v>11</v>
      </c>
      <c r="I665" s="3" t="str">
        <f t="shared" si="91"/>
        <v>4.1.3.03.01</v>
      </c>
      <c r="J665" s="2" t="str">
        <f t="shared" si="92"/>
        <v>VEICULOS</v>
      </c>
      <c r="K665" s="2" t="s">
        <v>1015</v>
      </c>
      <c r="L665" s="2" t="s">
        <v>1719</v>
      </c>
      <c r="M665" s="10" t="s">
        <v>1511</v>
      </c>
      <c r="S665" s="6" t="b">
        <f>C665='Plano de Contas sem ponto'!C665</f>
        <v>1</v>
      </c>
    </row>
    <row r="666" spans="1:19" x14ac:dyDescent="0.2">
      <c r="A666" s="2" t="s">
        <v>1205</v>
      </c>
      <c r="B666" s="2" t="s">
        <v>54</v>
      </c>
      <c r="C666" s="2" t="s">
        <v>1206</v>
      </c>
      <c r="D666" s="2" t="s">
        <v>42</v>
      </c>
      <c r="E666" s="2" t="str">
        <f t="shared" si="93"/>
        <v>4</v>
      </c>
      <c r="F666" s="2" t="s">
        <v>1025</v>
      </c>
      <c r="G666" s="4" t="s">
        <v>1492</v>
      </c>
      <c r="H666" s="2">
        <f t="shared" si="94"/>
        <v>16</v>
      </c>
      <c r="I666" s="3" t="str">
        <f t="shared" si="91"/>
        <v>-</v>
      </c>
      <c r="J666" s="2" t="str">
        <f t="shared" si="92"/>
        <v>VEICULOS</v>
      </c>
      <c r="K666" s="2" t="s">
        <v>1015</v>
      </c>
      <c r="L666" s="2" t="s">
        <v>1719</v>
      </c>
      <c r="M666" s="10" t="s">
        <v>1511</v>
      </c>
      <c r="S666" s="6" t="b">
        <f>C666='Plano de Contas sem ponto'!C666</f>
        <v>1</v>
      </c>
    </row>
    <row r="667" spans="1:19" x14ac:dyDescent="0.2">
      <c r="A667" s="2" t="s">
        <v>1207</v>
      </c>
      <c r="B667" s="2" t="s">
        <v>54</v>
      </c>
      <c r="C667" s="2" t="s">
        <v>1208</v>
      </c>
      <c r="D667" s="2" t="s">
        <v>42</v>
      </c>
      <c r="E667" s="2" t="str">
        <f t="shared" si="93"/>
        <v>4</v>
      </c>
      <c r="F667" s="2" t="s">
        <v>1025</v>
      </c>
      <c r="G667" s="4" t="s">
        <v>1492</v>
      </c>
      <c r="H667" s="2">
        <f t="shared" si="94"/>
        <v>16</v>
      </c>
      <c r="I667" s="3" t="str">
        <f t="shared" si="91"/>
        <v>-</v>
      </c>
      <c r="J667" s="2" t="str">
        <f t="shared" si="92"/>
        <v>VEICULOS</v>
      </c>
      <c r="K667" s="2" t="s">
        <v>1015</v>
      </c>
      <c r="L667" s="2" t="s">
        <v>1719</v>
      </c>
      <c r="M667" s="10" t="s">
        <v>1511</v>
      </c>
      <c r="S667" s="6" t="b">
        <f>C667='Plano de Contas sem ponto'!C667</f>
        <v>1</v>
      </c>
    </row>
    <row r="668" spans="1:19" x14ac:dyDescent="0.2">
      <c r="A668" s="2" t="s">
        <v>1209</v>
      </c>
      <c r="B668" s="2" t="s">
        <v>54</v>
      </c>
      <c r="C668" s="2" t="s">
        <v>1210</v>
      </c>
      <c r="D668" s="2" t="s">
        <v>42</v>
      </c>
      <c r="E668" s="2" t="str">
        <f t="shared" si="93"/>
        <v>4</v>
      </c>
      <c r="F668" s="2" t="s">
        <v>1025</v>
      </c>
      <c r="G668" s="4" t="s">
        <v>1492</v>
      </c>
      <c r="H668" s="2">
        <f t="shared" si="94"/>
        <v>16</v>
      </c>
      <c r="I668" s="3" t="str">
        <f t="shared" si="91"/>
        <v>-</v>
      </c>
      <c r="J668" s="2" t="str">
        <f t="shared" si="92"/>
        <v>VEICULOS</v>
      </c>
      <c r="K668" s="2" t="s">
        <v>1015</v>
      </c>
      <c r="L668" s="2" t="s">
        <v>1719</v>
      </c>
      <c r="M668" s="10" t="s">
        <v>1511</v>
      </c>
      <c r="S668" s="6" t="b">
        <f>C668='Plano de Contas sem ponto'!C668</f>
        <v>1</v>
      </c>
    </row>
    <row r="669" spans="1:19" x14ac:dyDescent="0.2">
      <c r="A669" s="2" t="s">
        <v>1211</v>
      </c>
      <c r="B669" s="2" t="s">
        <v>54</v>
      </c>
      <c r="C669" s="2" t="s">
        <v>1212</v>
      </c>
      <c r="D669" s="2" t="s">
        <v>42</v>
      </c>
      <c r="E669" s="2" t="str">
        <f t="shared" si="93"/>
        <v>4</v>
      </c>
      <c r="F669" s="2" t="s">
        <v>1025</v>
      </c>
      <c r="G669" s="4" t="s">
        <v>1492</v>
      </c>
      <c r="H669" s="2">
        <f t="shared" si="94"/>
        <v>16</v>
      </c>
      <c r="I669" s="3" t="str">
        <f t="shared" si="91"/>
        <v>-</v>
      </c>
      <c r="J669" s="2" t="str">
        <f t="shared" si="92"/>
        <v>VEICULOS</v>
      </c>
      <c r="K669" s="2" t="s">
        <v>1015</v>
      </c>
      <c r="L669" s="2" t="s">
        <v>1719</v>
      </c>
      <c r="M669" s="10" t="s">
        <v>1511</v>
      </c>
      <c r="S669" s="6" t="b">
        <f>C669='Plano de Contas sem ponto'!C669</f>
        <v>1</v>
      </c>
    </row>
    <row r="670" spans="1:19" x14ac:dyDescent="0.2">
      <c r="A670" s="2" t="s">
        <v>1213</v>
      </c>
      <c r="B670" s="2" t="s">
        <v>54</v>
      </c>
      <c r="C670" s="2" t="s">
        <v>1105</v>
      </c>
      <c r="D670" s="2" t="s">
        <v>42</v>
      </c>
      <c r="E670" s="2" t="str">
        <f t="shared" si="93"/>
        <v>4</v>
      </c>
      <c r="F670" s="2" t="s">
        <v>1025</v>
      </c>
      <c r="G670" s="4" t="s">
        <v>1492</v>
      </c>
      <c r="H670" s="2">
        <f t="shared" si="94"/>
        <v>16</v>
      </c>
      <c r="I670" s="3" t="str">
        <f t="shared" si="91"/>
        <v>-</v>
      </c>
      <c r="J670" s="2" t="str">
        <f t="shared" si="92"/>
        <v>VEICULOS</v>
      </c>
      <c r="K670" s="2" t="s">
        <v>1015</v>
      </c>
      <c r="L670" s="2" t="s">
        <v>1719</v>
      </c>
      <c r="M670" s="10" t="s">
        <v>1511</v>
      </c>
      <c r="S670" s="6" t="b">
        <f>C670='Plano de Contas sem ponto'!C670</f>
        <v>1</v>
      </c>
    </row>
    <row r="671" spans="1:19" x14ac:dyDescent="0.2">
      <c r="A671" s="2" t="s">
        <v>1214</v>
      </c>
      <c r="B671" s="2" t="s">
        <v>54</v>
      </c>
      <c r="C671" s="2" t="s">
        <v>1215</v>
      </c>
      <c r="D671" s="2" t="s">
        <v>42</v>
      </c>
      <c r="E671" s="2" t="str">
        <f t="shared" si="93"/>
        <v>4</v>
      </c>
      <c r="F671" s="2" t="s">
        <v>1025</v>
      </c>
      <c r="G671" s="4" t="s">
        <v>1492</v>
      </c>
      <c r="H671" s="2">
        <f t="shared" si="94"/>
        <v>16</v>
      </c>
      <c r="I671" s="3" t="str">
        <f t="shared" si="91"/>
        <v>-</v>
      </c>
      <c r="J671" s="2" t="str">
        <f t="shared" si="92"/>
        <v>VEICULOS</v>
      </c>
      <c r="K671" s="2" t="s">
        <v>1015</v>
      </c>
      <c r="L671" s="2" t="s">
        <v>1719</v>
      </c>
      <c r="M671" s="10" t="s">
        <v>1511</v>
      </c>
      <c r="S671" s="6" t="b">
        <f>C671='Plano de Contas sem ponto'!C671</f>
        <v>1</v>
      </c>
    </row>
    <row r="672" spans="1:19" x14ac:dyDescent="0.2">
      <c r="A672" s="1" t="s">
        <v>1216</v>
      </c>
      <c r="B672" s="1" t="s">
        <v>40</v>
      </c>
      <c r="C672" s="1" t="s">
        <v>1217</v>
      </c>
      <c r="D672" s="2" t="s">
        <v>42</v>
      </c>
      <c r="E672" s="2" t="str">
        <f t="shared" si="93"/>
        <v>4</v>
      </c>
      <c r="F672" s="2" t="s">
        <v>1025</v>
      </c>
      <c r="G672" s="4" t="s">
        <v>1492</v>
      </c>
      <c r="H672" s="2">
        <f t="shared" si="94"/>
        <v>8</v>
      </c>
      <c r="I672" s="3" t="str">
        <f t="shared" si="91"/>
        <v>-</v>
      </c>
      <c r="J672" s="2" t="str">
        <f t="shared" si="92"/>
        <v>SERVICOS DE TERCEIROS</v>
      </c>
      <c r="K672" s="2" t="s">
        <v>1015</v>
      </c>
      <c r="L672" s="2" t="s">
        <v>1675</v>
      </c>
      <c r="S672" s="6" t="b">
        <f>C672='Plano de Contas sem ponto'!C672</f>
        <v>1</v>
      </c>
    </row>
    <row r="673" spans="1:19" x14ac:dyDescent="0.2">
      <c r="A673" s="1" t="s">
        <v>1218</v>
      </c>
      <c r="B673" s="1" t="s">
        <v>40</v>
      </c>
      <c r="C673" s="1" t="s">
        <v>1217</v>
      </c>
      <c r="D673" s="2" t="s">
        <v>42</v>
      </c>
      <c r="E673" s="2" t="str">
        <f t="shared" si="93"/>
        <v>4</v>
      </c>
      <c r="F673" s="2" t="s">
        <v>1025</v>
      </c>
      <c r="G673" s="4" t="s">
        <v>1492</v>
      </c>
      <c r="H673" s="2">
        <f t="shared" si="94"/>
        <v>11</v>
      </c>
      <c r="I673" s="3" t="str">
        <f t="shared" si="91"/>
        <v>4.1.3.04.01</v>
      </c>
      <c r="J673" s="2" t="str">
        <f t="shared" si="92"/>
        <v>SERVICOS DE TERCEIROS</v>
      </c>
      <c r="K673" s="2" t="s">
        <v>1015</v>
      </c>
      <c r="L673" s="2" t="s">
        <v>1675</v>
      </c>
      <c r="S673" s="6" t="b">
        <f>C673='Plano de Contas sem ponto'!C673</f>
        <v>1</v>
      </c>
    </row>
    <row r="674" spans="1:19" x14ac:dyDescent="0.2">
      <c r="A674" s="2" t="s">
        <v>1219</v>
      </c>
      <c r="B674" s="2" t="s">
        <v>54</v>
      </c>
      <c r="C674" s="2" t="s">
        <v>1220</v>
      </c>
      <c r="D674" s="2" t="s">
        <v>42</v>
      </c>
      <c r="E674" s="2" t="str">
        <f t="shared" si="93"/>
        <v>4</v>
      </c>
      <c r="F674" s="2" t="s">
        <v>1025</v>
      </c>
      <c r="G674" s="4" t="s">
        <v>1492</v>
      </c>
      <c r="H674" s="2">
        <f t="shared" si="94"/>
        <v>16</v>
      </c>
      <c r="I674" s="3" t="str">
        <f t="shared" si="91"/>
        <v>-</v>
      </c>
      <c r="J674" s="2" t="str">
        <f t="shared" si="92"/>
        <v>SERVICOS DE TERCEIROS</v>
      </c>
      <c r="K674" s="2" t="s">
        <v>1015</v>
      </c>
      <c r="L674" s="2" t="s">
        <v>1675</v>
      </c>
      <c r="M674" s="10" t="s">
        <v>1597</v>
      </c>
      <c r="S674" s="6" t="b">
        <f>C674='Plano de Contas sem ponto'!C674</f>
        <v>1</v>
      </c>
    </row>
    <row r="675" spans="1:19" x14ac:dyDescent="0.2">
      <c r="A675" s="2" t="s">
        <v>1221</v>
      </c>
      <c r="B675" s="2" t="s">
        <v>54</v>
      </c>
      <c r="C675" s="2" t="s">
        <v>1222</v>
      </c>
      <c r="D675" s="2" t="s">
        <v>42</v>
      </c>
      <c r="E675" s="2" t="str">
        <f t="shared" si="93"/>
        <v>4</v>
      </c>
      <c r="F675" s="2" t="s">
        <v>1025</v>
      </c>
      <c r="G675" s="4" t="s">
        <v>1492</v>
      </c>
      <c r="H675" s="2">
        <f t="shared" si="94"/>
        <v>16</v>
      </c>
      <c r="I675" s="3" t="str">
        <f t="shared" si="91"/>
        <v>-</v>
      </c>
      <c r="J675" s="2" t="str">
        <f t="shared" si="92"/>
        <v>SERVICOS DE TERCEIROS</v>
      </c>
      <c r="K675" s="2" t="s">
        <v>1015</v>
      </c>
      <c r="L675" s="2" t="s">
        <v>1675</v>
      </c>
      <c r="M675" s="10" t="s">
        <v>1593</v>
      </c>
      <c r="S675" s="6" t="b">
        <f>C675='Plano de Contas sem ponto'!C675</f>
        <v>1</v>
      </c>
    </row>
    <row r="676" spans="1:19" x14ac:dyDescent="0.2">
      <c r="A676" s="2" t="s">
        <v>1223</v>
      </c>
      <c r="B676" s="2" t="s">
        <v>54</v>
      </c>
      <c r="C676" s="2" t="s">
        <v>1043</v>
      </c>
      <c r="D676" s="2" t="s">
        <v>42</v>
      </c>
      <c r="E676" s="2" t="str">
        <f t="shared" si="93"/>
        <v>4</v>
      </c>
      <c r="F676" s="2" t="s">
        <v>1025</v>
      </c>
      <c r="G676" s="4" t="s">
        <v>1492</v>
      </c>
      <c r="H676" s="2">
        <f t="shared" si="94"/>
        <v>16</v>
      </c>
      <c r="I676" s="3" t="str">
        <f t="shared" si="91"/>
        <v>-</v>
      </c>
      <c r="J676" s="2" t="str">
        <f t="shared" si="92"/>
        <v>SERVICOS DE TERCEIROS</v>
      </c>
      <c r="K676" s="2" t="s">
        <v>1015</v>
      </c>
      <c r="L676" s="2" t="s">
        <v>1675</v>
      </c>
      <c r="M676" s="10" t="s">
        <v>1595</v>
      </c>
      <c r="S676" s="6" t="b">
        <f>C676='Plano de Contas sem ponto'!C676</f>
        <v>1</v>
      </c>
    </row>
    <row r="677" spans="1:19" x14ac:dyDescent="0.2">
      <c r="A677" s="2" t="s">
        <v>1224</v>
      </c>
      <c r="B677" s="2" t="s">
        <v>54</v>
      </c>
      <c r="C677" s="2" t="s">
        <v>1225</v>
      </c>
      <c r="D677" s="2" t="s">
        <v>42</v>
      </c>
      <c r="E677" s="2" t="str">
        <f t="shared" si="93"/>
        <v>4</v>
      </c>
      <c r="F677" s="2" t="s">
        <v>1025</v>
      </c>
      <c r="G677" s="4" t="s">
        <v>1492</v>
      </c>
      <c r="H677" s="2">
        <f t="shared" si="94"/>
        <v>16</v>
      </c>
      <c r="I677" s="3" t="str">
        <f t="shared" si="91"/>
        <v>-</v>
      </c>
      <c r="J677" s="2" t="str">
        <f t="shared" si="92"/>
        <v>SERVICOS DE TERCEIROS</v>
      </c>
      <c r="K677" s="2" t="s">
        <v>1015</v>
      </c>
      <c r="L677" s="2" t="s">
        <v>1675</v>
      </c>
      <c r="M677" s="10" t="s">
        <v>1598</v>
      </c>
      <c r="S677" s="6" t="b">
        <f>C677='Plano de Contas sem ponto'!C677</f>
        <v>1</v>
      </c>
    </row>
    <row r="678" spans="1:19" x14ac:dyDescent="0.2">
      <c r="A678" s="2" t="s">
        <v>1226</v>
      </c>
      <c r="B678" s="2" t="s">
        <v>54</v>
      </c>
      <c r="C678" s="2" t="s">
        <v>1227</v>
      </c>
      <c r="D678" s="2" t="s">
        <v>42</v>
      </c>
      <c r="E678" s="2" t="str">
        <f t="shared" si="93"/>
        <v>4</v>
      </c>
      <c r="F678" s="2" t="s">
        <v>1025</v>
      </c>
      <c r="G678" s="4" t="s">
        <v>1492</v>
      </c>
      <c r="H678" s="2">
        <f t="shared" si="94"/>
        <v>16</v>
      </c>
      <c r="I678" s="3" t="str">
        <f t="shared" si="91"/>
        <v>-</v>
      </c>
      <c r="J678" s="2" t="str">
        <f t="shared" si="92"/>
        <v>SERVICOS DE TERCEIROS</v>
      </c>
      <c r="K678" s="2" t="s">
        <v>1015</v>
      </c>
      <c r="L678" s="2" t="s">
        <v>1675</v>
      </c>
      <c r="M678" s="10" t="s">
        <v>1594</v>
      </c>
      <c r="S678" s="6" t="b">
        <f>C678='Plano de Contas sem ponto'!C678</f>
        <v>1</v>
      </c>
    </row>
    <row r="679" spans="1:19" x14ac:dyDescent="0.2">
      <c r="A679" s="2" t="s">
        <v>1228</v>
      </c>
      <c r="B679" s="2" t="s">
        <v>54</v>
      </c>
      <c r="C679" s="2" t="s">
        <v>1229</v>
      </c>
      <c r="D679" s="2" t="s">
        <v>42</v>
      </c>
      <c r="E679" s="2" t="str">
        <f t="shared" si="93"/>
        <v>4</v>
      </c>
      <c r="F679" s="2" t="s">
        <v>1025</v>
      </c>
      <c r="G679" s="4" t="s">
        <v>1492</v>
      </c>
      <c r="H679" s="2">
        <f t="shared" si="94"/>
        <v>16</v>
      </c>
      <c r="I679" s="3" t="str">
        <f t="shared" si="91"/>
        <v>-</v>
      </c>
      <c r="J679" s="2" t="str">
        <f t="shared" si="92"/>
        <v>SERVICOS DE TERCEIROS</v>
      </c>
      <c r="K679" s="2" t="s">
        <v>1015</v>
      </c>
      <c r="L679" s="2" t="s">
        <v>1675</v>
      </c>
      <c r="M679" s="10" t="s">
        <v>1598</v>
      </c>
      <c r="S679" s="6" t="b">
        <f>C679='Plano de Contas sem ponto'!C679</f>
        <v>1</v>
      </c>
    </row>
    <row r="680" spans="1:19" x14ac:dyDescent="0.2">
      <c r="A680" s="2" t="s">
        <v>1230</v>
      </c>
      <c r="B680" s="2" t="s">
        <v>54</v>
      </c>
      <c r="C680" s="2" t="s">
        <v>1231</v>
      </c>
      <c r="D680" s="2" t="s">
        <v>42</v>
      </c>
      <c r="E680" s="2" t="str">
        <f t="shared" si="93"/>
        <v>4</v>
      </c>
      <c r="F680" s="2" t="s">
        <v>1025</v>
      </c>
      <c r="G680" s="4" t="s">
        <v>1492</v>
      </c>
      <c r="H680" s="2">
        <f t="shared" si="94"/>
        <v>16</v>
      </c>
      <c r="I680" s="3" t="str">
        <f t="shared" si="91"/>
        <v>-</v>
      </c>
      <c r="J680" s="2" t="str">
        <f t="shared" si="92"/>
        <v>SERVICOS DE TERCEIROS</v>
      </c>
      <c r="K680" s="2" t="s">
        <v>1015</v>
      </c>
      <c r="L680" s="2" t="s">
        <v>1675</v>
      </c>
      <c r="M680" s="10" t="s">
        <v>1598</v>
      </c>
      <c r="S680" s="6" t="b">
        <f>C680='Plano de Contas sem ponto'!C680</f>
        <v>1</v>
      </c>
    </row>
    <row r="681" spans="1:19" x14ac:dyDescent="0.2">
      <c r="A681" s="2" t="s">
        <v>1232</v>
      </c>
      <c r="B681" s="2" t="s">
        <v>54</v>
      </c>
      <c r="C681" s="2" t="s">
        <v>1521</v>
      </c>
      <c r="D681" s="2" t="s">
        <v>42</v>
      </c>
      <c r="E681" s="2" t="str">
        <f t="shared" si="93"/>
        <v>4</v>
      </c>
      <c r="F681" s="2" t="s">
        <v>1025</v>
      </c>
      <c r="G681" s="4" t="s">
        <v>1492</v>
      </c>
      <c r="H681" s="2">
        <f t="shared" si="94"/>
        <v>16</v>
      </c>
      <c r="I681" s="3" t="str">
        <f t="shared" si="91"/>
        <v>-</v>
      </c>
      <c r="J681" s="2" t="str">
        <f t="shared" si="92"/>
        <v>SERVICOS DE TERCEIROS</v>
      </c>
      <c r="K681" s="2" t="s">
        <v>1015</v>
      </c>
      <c r="L681" s="2" t="s">
        <v>1675</v>
      </c>
      <c r="M681" s="10" t="s">
        <v>1598</v>
      </c>
      <c r="S681" s="6" t="b">
        <f>C681='Plano de Contas sem ponto'!C681</f>
        <v>1</v>
      </c>
    </row>
    <row r="682" spans="1:19" x14ac:dyDescent="0.2">
      <c r="A682" s="11" t="s">
        <v>1233</v>
      </c>
      <c r="B682" s="11" t="s">
        <v>54</v>
      </c>
      <c r="C682" s="11" t="s">
        <v>1234</v>
      </c>
      <c r="D682" s="2" t="s">
        <v>42</v>
      </c>
      <c r="E682" s="2" t="str">
        <f t="shared" si="93"/>
        <v>4</v>
      </c>
      <c r="F682" s="2" t="s">
        <v>1025</v>
      </c>
      <c r="G682" s="4" t="s">
        <v>1492</v>
      </c>
      <c r="H682" s="2">
        <f t="shared" si="94"/>
        <v>16</v>
      </c>
      <c r="I682" s="3" t="str">
        <f t="shared" si="91"/>
        <v>-</v>
      </c>
      <c r="J682" s="2" t="str">
        <f t="shared" si="92"/>
        <v>SERVICOS DE TERCEIROS</v>
      </c>
      <c r="K682" s="2" t="s">
        <v>1015</v>
      </c>
      <c r="L682" s="2" t="s">
        <v>1675</v>
      </c>
      <c r="M682" s="10" t="s">
        <v>1598</v>
      </c>
      <c r="S682" s="6" t="b">
        <f>C682='Plano de Contas sem ponto'!C682</f>
        <v>1</v>
      </c>
    </row>
    <row r="683" spans="1:19" x14ac:dyDescent="0.2">
      <c r="A683" s="11" t="s">
        <v>1235</v>
      </c>
      <c r="B683" s="11" t="s">
        <v>54</v>
      </c>
      <c r="C683" s="11" t="s">
        <v>1236</v>
      </c>
      <c r="D683" s="2"/>
      <c r="E683" s="2" t="str">
        <f t="shared" si="93"/>
        <v>4</v>
      </c>
      <c r="F683" s="2" t="s">
        <v>1025</v>
      </c>
      <c r="G683" s="4" t="s">
        <v>1492</v>
      </c>
      <c r="H683" s="2">
        <f t="shared" si="94"/>
        <v>16</v>
      </c>
      <c r="I683" s="3" t="str">
        <f t="shared" si="91"/>
        <v>-</v>
      </c>
      <c r="J683" s="2" t="str">
        <f t="shared" si="92"/>
        <v>SERVICOS DE TERCEIROS</v>
      </c>
      <c r="K683" s="2" t="s">
        <v>1015</v>
      </c>
      <c r="L683" s="2" t="s">
        <v>1675</v>
      </c>
      <c r="M683" s="10" t="s">
        <v>1598</v>
      </c>
      <c r="S683" s="6" t="b">
        <f>C683='Plano de Contas sem ponto'!C683</f>
        <v>1</v>
      </c>
    </row>
    <row r="684" spans="1:19" x14ac:dyDescent="0.2">
      <c r="A684" s="11" t="s">
        <v>1237</v>
      </c>
      <c r="B684" s="11" t="s">
        <v>54</v>
      </c>
      <c r="C684" s="11" t="s">
        <v>1238</v>
      </c>
      <c r="D684" s="2"/>
      <c r="E684" s="2" t="str">
        <f t="shared" si="93"/>
        <v>4</v>
      </c>
      <c r="F684" s="2" t="s">
        <v>1025</v>
      </c>
      <c r="G684" s="4" t="s">
        <v>1492</v>
      </c>
      <c r="H684" s="2">
        <f t="shared" si="94"/>
        <v>16</v>
      </c>
      <c r="I684" s="3" t="str">
        <f t="shared" si="91"/>
        <v>-</v>
      </c>
      <c r="J684" s="2" t="str">
        <f t="shared" si="92"/>
        <v>SERVICOS DE TERCEIROS</v>
      </c>
      <c r="K684" s="2" t="s">
        <v>1015</v>
      </c>
      <c r="L684" s="2" t="s">
        <v>1675</v>
      </c>
      <c r="M684" s="10" t="s">
        <v>1598</v>
      </c>
      <c r="S684" s="6" t="b">
        <f>C684='Plano de Contas sem ponto'!C684</f>
        <v>1</v>
      </c>
    </row>
    <row r="685" spans="1:19" x14ac:dyDescent="0.2">
      <c r="A685" s="15" t="s">
        <v>1239</v>
      </c>
      <c r="B685" s="15" t="s">
        <v>40</v>
      </c>
      <c r="C685" s="15" t="s">
        <v>1240</v>
      </c>
      <c r="D685" s="12" t="s">
        <v>42</v>
      </c>
      <c r="E685" s="12" t="str">
        <f t="shared" si="93"/>
        <v>4</v>
      </c>
      <c r="F685" s="12" t="s">
        <v>1025</v>
      </c>
      <c r="G685" s="37" t="s">
        <v>1492</v>
      </c>
      <c r="H685" s="12">
        <f t="shared" si="94"/>
        <v>8</v>
      </c>
      <c r="I685" s="38" t="str">
        <f t="shared" si="91"/>
        <v>-</v>
      </c>
      <c r="J685" s="12" t="str">
        <f t="shared" si="92"/>
        <v>COMUNICACAO INSTITUCIONAL</v>
      </c>
      <c r="K685" s="12" t="s">
        <v>1015</v>
      </c>
      <c r="L685" s="12" t="s">
        <v>3104</v>
      </c>
      <c r="M685" s="12" t="s">
        <v>1693</v>
      </c>
      <c r="N685" s="39"/>
      <c r="O685" s="39"/>
      <c r="P685" s="39"/>
      <c r="Q685" s="39"/>
      <c r="R685" s="39"/>
      <c r="S685" s="39" t="b">
        <f>C685='Plano de Contas sem ponto'!C685</f>
        <v>1</v>
      </c>
    </row>
    <row r="686" spans="1:19" x14ac:dyDescent="0.2">
      <c r="A686" s="15" t="s">
        <v>1241</v>
      </c>
      <c r="B686" s="15" t="s">
        <v>40</v>
      </c>
      <c r="C686" s="15" t="s">
        <v>1240</v>
      </c>
      <c r="D686" s="12" t="s">
        <v>42</v>
      </c>
      <c r="E686" s="12" t="str">
        <f t="shared" si="93"/>
        <v>4</v>
      </c>
      <c r="F686" s="12" t="s">
        <v>1025</v>
      </c>
      <c r="G686" s="37" t="s">
        <v>1492</v>
      </c>
      <c r="H686" s="12">
        <f t="shared" si="94"/>
        <v>11</v>
      </c>
      <c r="I686" s="38" t="str">
        <f t="shared" si="91"/>
        <v>4.1.3.05.01</v>
      </c>
      <c r="J686" s="12" t="str">
        <f t="shared" si="92"/>
        <v>COMUNICACAO INSTITUCIONAL</v>
      </c>
      <c r="K686" s="12" t="s">
        <v>1015</v>
      </c>
      <c r="L686" s="12" t="s">
        <v>3104</v>
      </c>
      <c r="M686" s="12" t="s">
        <v>1693</v>
      </c>
      <c r="N686" s="39"/>
      <c r="O686" s="39"/>
      <c r="P686" s="39"/>
      <c r="Q686" s="39"/>
      <c r="R686" s="39"/>
      <c r="S686" s="39" t="b">
        <f>C686='Plano de Contas sem ponto'!C686</f>
        <v>1</v>
      </c>
    </row>
    <row r="687" spans="1:19" x14ac:dyDescent="0.2">
      <c r="A687" s="12" t="s">
        <v>1242</v>
      </c>
      <c r="B687" s="12" t="s">
        <v>54</v>
      </c>
      <c r="C687" s="12" t="s">
        <v>1243</v>
      </c>
      <c r="D687" s="12" t="s">
        <v>42</v>
      </c>
      <c r="E687" s="12" t="str">
        <f t="shared" si="93"/>
        <v>4</v>
      </c>
      <c r="F687" s="12" t="s">
        <v>1025</v>
      </c>
      <c r="G687" s="37" t="s">
        <v>1492</v>
      </c>
      <c r="H687" s="12">
        <f t="shared" si="94"/>
        <v>16</v>
      </c>
      <c r="I687" s="38" t="str">
        <f t="shared" si="91"/>
        <v>-</v>
      </c>
      <c r="J687" s="12" t="str">
        <f t="shared" si="92"/>
        <v>COMUNICACAO INSTITUCIONAL</v>
      </c>
      <c r="K687" s="12" t="s">
        <v>1015</v>
      </c>
      <c r="L687" s="12" t="s">
        <v>3104</v>
      </c>
      <c r="M687" s="12" t="s">
        <v>1693</v>
      </c>
      <c r="N687" s="39"/>
      <c r="O687" s="39"/>
      <c r="P687" s="39"/>
      <c r="Q687" s="39"/>
      <c r="R687" s="39"/>
      <c r="S687" s="39" t="b">
        <f>C687='Plano de Contas sem ponto'!C687</f>
        <v>1</v>
      </c>
    </row>
    <row r="688" spans="1:19" x14ac:dyDescent="0.2">
      <c r="A688" s="12" t="s">
        <v>1244</v>
      </c>
      <c r="B688" s="12" t="s">
        <v>54</v>
      </c>
      <c r="C688" s="12" t="s">
        <v>1245</v>
      </c>
      <c r="D688" s="12" t="s">
        <v>42</v>
      </c>
      <c r="E688" s="12" t="str">
        <f t="shared" si="93"/>
        <v>4</v>
      </c>
      <c r="F688" s="12" t="s">
        <v>1025</v>
      </c>
      <c r="G688" s="37" t="s">
        <v>1492</v>
      </c>
      <c r="H688" s="12">
        <f t="shared" si="94"/>
        <v>16</v>
      </c>
      <c r="I688" s="38" t="str">
        <f t="shared" si="91"/>
        <v>-</v>
      </c>
      <c r="J688" s="12" t="str">
        <f t="shared" si="92"/>
        <v>COMUNICACAO INSTITUCIONAL</v>
      </c>
      <c r="K688" s="12" t="s">
        <v>1015</v>
      </c>
      <c r="L688" s="12" t="s">
        <v>3104</v>
      </c>
      <c r="M688" s="12" t="s">
        <v>1693</v>
      </c>
      <c r="N688" s="39"/>
      <c r="O688" s="39"/>
      <c r="P688" s="39"/>
      <c r="Q688" s="39"/>
      <c r="R688" s="39"/>
      <c r="S688" s="39" t="b">
        <f>C688='Plano de Contas sem ponto'!C688</f>
        <v>1</v>
      </c>
    </row>
    <row r="689" spans="1:19" x14ac:dyDescent="0.2">
      <c r="A689" s="15" t="s">
        <v>1246</v>
      </c>
      <c r="B689" s="15" t="s">
        <v>40</v>
      </c>
      <c r="C689" s="15" t="s">
        <v>1522</v>
      </c>
      <c r="D689" s="12" t="s">
        <v>42</v>
      </c>
      <c r="E689" s="12" t="str">
        <f t="shared" si="93"/>
        <v>4</v>
      </c>
      <c r="F689" s="12" t="s">
        <v>1025</v>
      </c>
      <c r="G689" s="37" t="s">
        <v>1492</v>
      </c>
      <c r="H689" s="12">
        <f t="shared" si="94"/>
        <v>8</v>
      </c>
      <c r="I689" s="38" t="str">
        <f t="shared" si="91"/>
        <v>-</v>
      </c>
      <c r="J689" s="12" t="str">
        <f t="shared" si="92"/>
        <v>UTILIZACAO DE EQUIPAMENTOS, MAQ., MOV. E UTENS.</v>
      </c>
      <c r="K689" s="12" t="s">
        <v>1015</v>
      </c>
      <c r="L689" s="12" t="s">
        <v>1675</v>
      </c>
      <c r="M689" s="12" t="s">
        <v>1694</v>
      </c>
      <c r="S689" s="6" t="b">
        <f>C689='Plano de Contas sem ponto'!C689</f>
        <v>1</v>
      </c>
    </row>
    <row r="690" spans="1:19" x14ac:dyDescent="0.2">
      <c r="A690" s="15" t="s">
        <v>1247</v>
      </c>
      <c r="B690" s="15" t="s">
        <v>40</v>
      </c>
      <c r="C690" s="15" t="s">
        <v>1248</v>
      </c>
      <c r="D690" s="12" t="s">
        <v>42</v>
      </c>
      <c r="E690" s="12" t="str">
        <f t="shared" si="93"/>
        <v>4</v>
      </c>
      <c r="F690" s="12" t="s">
        <v>1025</v>
      </c>
      <c r="G690" s="37" t="s">
        <v>1492</v>
      </c>
      <c r="H690" s="12">
        <f t="shared" si="94"/>
        <v>11</v>
      </c>
      <c r="I690" s="38" t="str">
        <f t="shared" si="91"/>
        <v>4.1.3.06.01</v>
      </c>
      <c r="J690" s="12" t="str">
        <f t="shared" si="92"/>
        <v>UTILIZACAO DE EQUIPAMENTOS</v>
      </c>
      <c r="K690" s="12" t="s">
        <v>1015</v>
      </c>
      <c r="L690" s="12" t="s">
        <v>1675</v>
      </c>
      <c r="M690" s="12" t="s">
        <v>1694</v>
      </c>
      <c r="S690" s="6" t="b">
        <f>C690='Plano de Contas sem ponto'!C690</f>
        <v>1</v>
      </c>
    </row>
    <row r="691" spans="1:19" x14ac:dyDescent="0.2">
      <c r="A691" s="12" t="s">
        <v>1249</v>
      </c>
      <c r="B691" s="12" t="s">
        <v>54</v>
      </c>
      <c r="C691" s="12" t="s">
        <v>1523</v>
      </c>
      <c r="D691" s="12" t="s">
        <v>42</v>
      </c>
      <c r="E691" s="12" t="str">
        <f t="shared" si="93"/>
        <v>4</v>
      </c>
      <c r="F691" s="12" t="s">
        <v>1025</v>
      </c>
      <c r="G691" s="37" t="s">
        <v>1492</v>
      </c>
      <c r="H691" s="12">
        <f t="shared" si="94"/>
        <v>16</v>
      </c>
      <c r="I691" s="38" t="str">
        <f t="shared" si="91"/>
        <v>-</v>
      </c>
      <c r="J691" s="12" t="str">
        <f t="shared" si="92"/>
        <v>UTILIZACAO DE EQUIPAMENTOS</v>
      </c>
      <c r="K691" s="12" t="s">
        <v>1015</v>
      </c>
      <c r="L691" s="12" t="s">
        <v>1675</v>
      </c>
      <c r="M691" s="12" t="s">
        <v>1694</v>
      </c>
      <c r="S691" s="6" t="b">
        <f>C691='Plano de Contas sem ponto'!C691</f>
        <v>1</v>
      </c>
    </row>
    <row r="692" spans="1:19" x14ac:dyDescent="0.2">
      <c r="A692" s="12" t="s">
        <v>1250</v>
      </c>
      <c r="B692" s="12" t="s">
        <v>54</v>
      </c>
      <c r="C692" s="12" t="s">
        <v>1524</v>
      </c>
      <c r="D692" s="12" t="s">
        <v>42</v>
      </c>
      <c r="E692" s="12" t="str">
        <f t="shared" si="93"/>
        <v>4</v>
      </c>
      <c r="F692" s="12" t="s">
        <v>1025</v>
      </c>
      <c r="G692" s="37" t="s">
        <v>1492</v>
      </c>
      <c r="H692" s="12">
        <f t="shared" si="94"/>
        <v>16</v>
      </c>
      <c r="I692" s="38" t="str">
        <f t="shared" si="91"/>
        <v>-</v>
      </c>
      <c r="J692" s="12" t="str">
        <f t="shared" si="92"/>
        <v>UTILIZACAO DE EQUIPAMENTOS</v>
      </c>
      <c r="K692" s="12" t="s">
        <v>1015</v>
      </c>
      <c r="L692" s="12" t="s">
        <v>1675</v>
      </c>
      <c r="M692" s="12" t="s">
        <v>1694</v>
      </c>
      <c r="S692" s="6" t="b">
        <f>C692='Plano de Contas sem ponto'!C692</f>
        <v>1</v>
      </c>
    </row>
    <row r="693" spans="1:19" x14ac:dyDescent="0.2">
      <c r="A693" s="12" t="s">
        <v>1251</v>
      </c>
      <c r="B693" s="12" t="s">
        <v>54</v>
      </c>
      <c r="C693" s="12" t="s">
        <v>1252</v>
      </c>
      <c r="D693" s="12" t="s">
        <v>42</v>
      </c>
      <c r="E693" s="12" t="str">
        <f t="shared" si="93"/>
        <v>4</v>
      </c>
      <c r="F693" s="12" t="s">
        <v>1025</v>
      </c>
      <c r="G693" s="37" t="s">
        <v>1492</v>
      </c>
      <c r="H693" s="12">
        <f t="shared" si="94"/>
        <v>16</v>
      </c>
      <c r="I693" s="38" t="str">
        <f t="shared" si="91"/>
        <v>-</v>
      </c>
      <c r="J693" s="12" t="str">
        <f t="shared" si="92"/>
        <v>UTILIZACAO DE EQUIPAMENTOS</v>
      </c>
      <c r="K693" s="12" t="s">
        <v>1015</v>
      </c>
      <c r="L693" s="12" t="s">
        <v>1675</v>
      </c>
      <c r="M693" s="12" t="s">
        <v>1694</v>
      </c>
      <c r="S693" s="6" t="b">
        <f>C693='Plano de Contas sem ponto'!C693</f>
        <v>1</v>
      </c>
    </row>
    <row r="694" spans="1:19" x14ac:dyDescent="0.2">
      <c r="A694" s="12" t="s">
        <v>1253</v>
      </c>
      <c r="B694" s="12" t="s">
        <v>54</v>
      </c>
      <c r="C694" s="71" t="s">
        <v>1254</v>
      </c>
      <c r="D694" s="12" t="s">
        <v>42</v>
      </c>
      <c r="E694" s="12" t="str">
        <f t="shared" si="93"/>
        <v>4</v>
      </c>
      <c r="F694" s="12" t="s">
        <v>1025</v>
      </c>
      <c r="G694" s="37" t="s">
        <v>1492</v>
      </c>
      <c r="H694" s="12">
        <f t="shared" si="94"/>
        <v>16</v>
      </c>
      <c r="I694" s="38" t="str">
        <f t="shared" si="91"/>
        <v>-</v>
      </c>
      <c r="J694" s="12" t="str">
        <f t="shared" si="92"/>
        <v>UTILIZACAO DE EQUIPAMENTOS</v>
      </c>
      <c r="K694" s="12" t="s">
        <v>1015</v>
      </c>
      <c r="L694" s="12" t="s">
        <v>1675</v>
      </c>
      <c r="M694" s="12" t="s">
        <v>1694</v>
      </c>
      <c r="S694" s="6" t="b">
        <f>C694='Plano de Contas sem ponto'!C694</f>
        <v>1</v>
      </c>
    </row>
    <row r="695" spans="1:19" x14ac:dyDescent="0.2">
      <c r="A695" s="12" t="s">
        <v>1255</v>
      </c>
      <c r="B695" s="12" t="s">
        <v>54</v>
      </c>
      <c r="C695" s="71" t="s">
        <v>1256</v>
      </c>
      <c r="D695" s="12" t="s">
        <v>42</v>
      </c>
      <c r="E695" s="12" t="str">
        <f t="shared" si="93"/>
        <v>4</v>
      </c>
      <c r="F695" s="12" t="s">
        <v>1025</v>
      </c>
      <c r="G695" s="37" t="s">
        <v>1492</v>
      </c>
      <c r="H695" s="12">
        <f t="shared" si="94"/>
        <v>16</v>
      </c>
      <c r="I695" s="38" t="str">
        <f t="shared" si="91"/>
        <v>-</v>
      </c>
      <c r="J695" s="12" t="str">
        <f t="shared" si="92"/>
        <v>UTILIZACAO DE EQUIPAMENTOS</v>
      </c>
      <c r="K695" s="12" t="s">
        <v>1015</v>
      </c>
      <c r="L695" s="12" t="s">
        <v>1675</v>
      </c>
      <c r="M695" s="12" t="s">
        <v>1694</v>
      </c>
      <c r="S695" s="6" t="b">
        <f>C695='Plano de Contas sem ponto'!C695</f>
        <v>1</v>
      </c>
    </row>
    <row r="696" spans="1:19" x14ac:dyDescent="0.2">
      <c r="A696" s="15" t="s">
        <v>1257</v>
      </c>
      <c r="B696" s="15" t="s">
        <v>40</v>
      </c>
      <c r="C696" s="15" t="s">
        <v>1258</v>
      </c>
      <c r="D696" s="12" t="s">
        <v>42</v>
      </c>
      <c r="E696" s="12" t="str">
        <f t="shared" si="93"/>
        <v>4</v>
      </c>
      <c r="F696" s="12" t="s">
        <v>1025</v>
      </c>
      <c r="G696" s="37" t="s">
        <v>1492</v>
      </c>
      <c r="H696" s="12">
        <f t="shared" si="94"/>
        <v>8</v>
      </c>
      <c r="I696" s="38" t="str">
        <f t="shared" si="91"/>
        <v>-</v>
      </c>
      <c r="J696" s="12" t="str">
        <f t="shared" si="92"/>
        <v>PROPAGANDA E PUBLICIDADE</v>
      </c>
      <c r="K696" s="12" t="s">
        <v>1015</v>
      </c>
      <c r="L696" s="12" t="s">
        <v>3104</v>
      </c>
      <c r="M696" s="39"/>
      <c r="N696" s="39"/>
      <c r="O696" s="39"/>
      <c r="P696" s="39"/>
      <c r="Q696" s="39"/>
      <c r="R696" s="39"/>
      <c r="S696" s="39" t="b">
        <f>C696='Plano de Contas sem ponto'!C696</f>
        <v>1</v>
      </c>
    </row>
    <row r="697" spans="1:19" x14ac:dyDescent="0.2">
      <c r="A697" s="15" t="s">
        <v>1259</v>
      </c>
      <c r="B697" s="15" t="s">
        <v>40</v>
      </c>
      <c r="C697" s="15" t="s">
        <v>1258</v>
      </c>
      <c r="D697" s="12" t="s">
        <v>42</v>
      </c>
      <c r="E697" s="12" t="str">
        <f t="shared" si="93"/>
        <v>4</v>
      </c>
      <c r="F697" s="12" t="s">
        <v>1025</v>
      </c>
      <c r="G697" s="37" t="s">
        <v>1492</v>
      </c>
      <c r="H697" s="12">
        <f t="shared" si="94"/>
        <v>11</v>
      </c>
      <c r="I697" s="38" t="str">
        <f t="shared" si="91"/>
        <v>4.1.3.07.01</v>
      </c>
      <c r="J697" s="12" t="str">
        <f t="shared" si="92"/>
        <v>PROPAGANDA E PUBLICIDADE</v>
      </c>
      <c r="K697" s="12" t="s">
        <v>1015</v>
      </c>
      <c r="L697" s="12" t="s">
        <v>3104</v>
      </c>
      <c r="M697" s="39"/>
      <c r="N697" s="39"/>
      <c r="O697" s="39"/>
      <c r="P697" s="39"/>
      <c r="Q697" s="39"/>
      <c r="R697" s="39"/>
      <c r="S697" s="39" t="b">
        <f>C697='Plano de Contas sem ponto'!C697</f>
        <v>1</v>
      </c>
    </row>
    <row r="698" spans="1:19" x14ac:dyDescent="0.2">
      <c r="A698" s="12" t="s">
        <v>1260</v>
      </c>
      <c r="B698" s="12" t="s">
        <v>54</v>
      </c>
      <c r="C698" s="12" t="s">
        <v>1261</v>
      </c>
      <c r="D698" s="12" t="s">
        <v>42</v>
      </c>
      <c r="E698" s="12" t="str">
        <f t="shared" si="93"/>
        <v>4</v>
      </c>
      <c r="F698" s="12" t="s">
        <v>1025</v>
      </c>
      <c r="G698" s="37" t="s">
        <v>1492</v>
      </c>
      <c r="H698" s="12">
        <f t="shared" si="94"/>
        <v>16</v>
      </c>
      <c r="I698" s="38" t="str">
        <f t="shared" si="91"/>
        <v>-</v>
      </c>
      <c r="J698" s="12" t="str">
        <f t="shared" si="92"/>
        <v>PROPAGANDA E PUBLICIDADE</v>
      </c>
      <c r="K698" s="12" t="s">
        <v>1015</v>
      </c>
      <c r="L698" s="12" t="s">
        <v>3104</v>
      </c>
      <c r="M698" s="70" t="s">
        <v>1585</v>
      </c>
      <c r="N698" s="39"/>
      <c r="O698" s="39"/>
      <c r="P698" s="39"/>
      <c r="Q698" s="39"/>
      <c r="R698" s="39"/>
      <c r="S698" s="39" t="b">
        <f>C698='Plano de Contas sem ponto'!C698</f>
        <v>1</v>
      </c>
    </row>
    <row r="699" spans="1:19" x14ac:dyDescent="0.2">
      <c r="A699" s="12" t="s">
        <v>1262</v>
      </c>
      <c r="B699" s="12" t="s">
        <v>54</v>
      </c>
      <c r="C699" s="12" t="s">
        <v>1263</v>
      </c>
      <c r="D699" s="12" t="s">
        <v>42</v>
      </c>
      <c r="E699" s="12" t="str">
        <f t="shared" si="93"/>
        <v>4</v>
      </c>
      <c r="F699" s="12" t="s">
        <v>1025</v>
      </c>
      <c r="G699" s="37" t="s">
        <v>1492</v>
      </c>
      <c r="H699" s="12">
        <f t="shared" si="94"/>
        <v>16</v>
      </c>
      <c r="I699" s="38" t="str">
        <f t="shared" si="91"/>
        <v>-</v>
      </c>
      <c r="J699" s="12" t="str">
        <f t="shared" si="92"/>
        <v>PROPAGANDA E PUBLICIDADE</v>
      </c>
      <c r="K699" s="12" t="s">
        <v>1015</v>
      </c>
      <c r="L699" s="12" t="s">
        <v>3104</v>
      </c>
      <c r="M699" s="70" t="s">
        <v>1586</v>
      </c>
      <c r="N699" s="39"/>
      <c r="O699" s="39"/>
      <c r="P699" s="39"/>
      <c r="Q699" s="39"/>
      <c r="R699" s="39"/>
      <c r="S699" s="39" t="b">
        <f>C699='Plano de Contas sem ponto'!C699</f>
        <v>1</v>
      </c>
    </row>
    <row r="700" spans="1:19" x14ac:dyDescent="0.2">
      <c r="A700" s="15" t="s">
        <v>1264</v>
      </c>
      <c r="B700" s="15" t="s">
        <v>40</v>
      </c>
      <c r="C700" s="15" t="s">
        <v>1265</v>
      </c>
      <c r="D700" s="12" t="s">
        <v>42</v>
      </c>
      <c r="E700" s="12" t="str">
        <f t="shared" si="93"/>
        <v>4</v>
      </c>
      <c r="F700" s="12" t="s">
        <v>1025</v>
      </c>
      <c r="G700" s="37" t="s">
        <v>1492</v>
      </c>
      <c r="H700" s="12">
        <f t="shared" si="94"/>
        <v>8</v>
      </c>
      <c r="I700" s="38" t="str">
        <f t="shared" si="91"/>
        <v>-</v>
      </c>
      <c r="J700" s="12" t="str">
        <f t="shared" si="92"/>
        <v>LOCOMOCAO</v>
      </c>
      <c r="K700" s="12" t="s">
        <v>1015</v>
      </c>
      <c r="L700" s="12" t="s">
        <v>1582</v>
      </c>
      <c r="M700" s="12" t="s">
        <v>1582</v>
      </c>
      <c r="S700" s="6" t="b">
        <f>C700='Plano de Contas sem ponto'!C700</f>
        <v>1</v>
      </c>
    </row>
    <row r="701" spans="1:19" x14ac:dyDescent="0.2">
      <c r="A701" s="15" t="s">
        <v>1266</v>
      </c>
      <c r="B701" s="15" t="s">
        <v>40</v>
      </c>
      <c r="C701" s="15" t="s">
        <v>1267</v>
      </c>
      <c r="D701" s="12" t="s">
        <v>42</v>
      </c>
      <c r="E701" s="12" t="str">
        <f t="shared" si="93"/>
        <v>4</v>
      </c>
      <c r="F701" s="12" t="s">
        <v>1025</v>
      </c>
      <c r="G701" s="37" t="s">
        <v>1492</v>
      </c>
      <c r="H701" s="12">
        <f t="shared" si="94"/>
        <v>11</v>
      </c>
      <c r="I701" s="38" t="str">
        <f t="shared" si="91"/>
        <v>4.1.3.08.01</v>
      </c>
      <c r="J701" s="12" t="str">
        <f t="shared" si="92"/>
        <v>VIAGENS</v>
      </c>
      <c r="K701" s="12" t="s">
        <v>1015</v>
      </c>
      <c r="L701" s="12" t="s">
        <v>1582</v>
      </c>
      <c r="M701" s="12" t="s">
        <v>1717</v>
      </c>
      <c r="S701" s="6" t="b">
        <f>C701='Plano de Contas sem ponto'!C701</f>
        <v>1</v>
      </c>
    </row>
    <row r="702" spans="1:19" x14ac:dyDescent="0.2">
      <c r="A702" s="12" t="s">
        <v>1268</v>
      </c>
      <c r="B702" s="12" t="s">
        <v>54</v>
      </c>
      <c r="C702" s="12" t="s">
        <v>1269</v>
      </c>
      <c r="D702" s="12" t="s">
        <v>42</v>
      </c>
      <c r="E702" s="12" t="str">
        <f t="shared" si="93"/>
        <v>4</v>
      </c>
      <c r="F702" s="12" t="s">
        <v>1025</v>
      </c>
      <c r="G702" s="37" t="s">
        <v>1492</v>
      </c>
      <c r="H702" s="12">
        <f t="shared" si="94"/>
        <v>16</v>
      </c>
      <c r="I702" s="38" t="str">
        <f t="shared" si="91"/>
        <v>-</v>
      </c>
      <c r="J702" s="12" t="str">
        <f t="shared" si="92"/>
        <v>VIAGENS</v>
      </c>
      <c r="K702" s="12" t="s">
        <v>1015</v>
      </c>
      <c r="L702" s="12" t="s">
        <v>1582</v>
      </c>
      <c r="M702" s="12" t="s">
        <v>1717</v>
      </c>
      <c r="S702" s="6" t="b">
        <f>C702='Plano de Contas sem ponto'!C702</f>
        <v>1</v>
      </c>
    </row>
    <row r="703" spans="1:19" x14ac:dyDescent="0.2">
      <c r="A703" s="15" t="s">
        <v>1270</v>
      </c>
      <c r="B703" s="15" t="s">
        <v>40</v>
      </c>
      <c r="C703" s="15" t="s">
        <v>1271</v>
      </c>
      <c r="D703" s="12" t="s">
        <v>42</v>
      </c>
      <c r="E703" s="12" t="str">
        <f t="shared" si="93"/>
        <v>4</v>
      </c>
      <c r="F703" s="12" t="s">
        <v>1025</v>
      </c>
      <c r="G703" s="37" t="s">
        <v>1492</v>
      </c>
      <c r="H703" s="12">
        <f t="shared" si="94"/>
        <v>11</v>
      </c>
      <c r="I703" s="38" t="str">
        <f t="shared" si="91"/>
        <v>4.1.3.08.02</v>
      </c>
      <c r="J703" s="12" t="str">
        <f t="shared" si="92"/>
        <v>CONDUCAO E PASSAGEM URBANA</v>
      </c>
      <c r="K703" s="12" t="s">
        <v>1015</v>
      </c>
      <c r="L703" s="12" t="s">
        <v>1719</v>
      </c>
      <c r="M703" s="39" t="s">
        <v>1682</v>
      </c>
      <c r="S703" s="6" t="b">
        <f>C703='Plano de Contas sem ponto'!C703</f>
        <v>1</v>
      </c>
    </row>
    <row r="704" spans="1:19" x14ac:dyDescent="0.2">
      <c r="A704" s="12" t="s">
        <v>1272</v>
      </c>
      <c r="B704" s="12" t="s">
        <v>54</v>
      </c>
      <c r="C704" s="12" t="s">
        <v>1271</v>
      </c>
      <c r="D704" s="12" t="s">
        <v>42</v>
      </c>
      <c r="E704" s="12" t="str">
        <f t="shared" si="93"/>
        <v>4</v>
      </c>
      <c r="F704" s="12" t="s">
        <v>1025</v>
      </c>
      <c r="G704" s="37" t="s">
        <v>1492</v>
      </c>
      <c r="H704" s="12">
        <f t="shared" si="94"/>
        <v>16</v>
      </c>
      <c r="I704" s="38" t="str">
        <f t="shared" si="91"/>
        <v>-</v>
      </c>
      <c r="J704" s="12" t="str">
        <f t="shared" si="92"/>
        <v>CONDUCAO E PASSAGEM URBANA</v>
      </c>
      <c r="K704" s="12" t="s">
        <v>1015</v>
      </c>
      <c r="L704" s="12" t="s">
        <v>1719</v>
      </c>
      <c r="M704" s="39" t="s">
        <v>1682</v>
      </c>
      <c r="S704" s="6" t="b">
        <f>C704='Plano de Contas sem ponto'!C704</f>
        <v>1</v>
      </c>
    </row>
    <row r="705" spans="1:19" x14ac:dyDescent="0.2">
      <c r="A705" s="1" t="s">
        <v>1273</v>
      </c>
      <c r="B705" s="1" t="s">
        <v>40</v>
      </c>
      <c r="C705" s="1" t="s">
        <v>1274</v>
      </c>
      <c r="D705" s="2" t="s">
        <v>42</v>
      </c>
      <c r="E705" s="2" t="str">
        <f t="shared" si="93"/>
        <v>4</v>
      </c>
      <c r="F705" s="2" t="s">
        <v>1025</v>
      </c>
      <c r="G705" s="4" t="s">
        <v>1492</v>
      </c>
      <c r="H705" s="2">
        <f t="shared" si="94"/>
        <v>8</v>
      </c>
      <c r="I705" s="3" t="str">
        <f t="shared" si="91"/>
        <v>-</v>
      </c>
      <c r="J705" s="2" t="str">
        <f t="shared" si="92"/>
        <v>EXPEDIENTE</v>
      </c>
      <c r="K705" s="2" t="s">
        <v>1015</v>
      </c>
      <c r="L705" s="2" t="s">
        <v>1719</v>
      </c>
      <c r="M705" s="2" t="s">
        <v>1691</v>
      </c>
      <c r="S705" s="6" t="b">
        <f>C705='Plano de Contas sem ponto'!C705</f>
        <v>1</v>
      </c>
    </row>
    <row r="706" spans="1:19" x14ac:dyDescent="0.2">
      <c r="A706" s="1" t="s">
        <v>1275</v>
      </c>
      <c r="B706" s="1" t="s">
        <v>40</v>
      </c>
      <c r="C706" s="1" t="s">
        <v>1274</v>
      </c>
      <c r="D706" s="2" t="s">
        <v>42</v>
      </c>
      <c r="E706" s="2" t="str">
        <f t="shared" si="93"/>
        <v>4</v>
      </c>
      <c r="F706" s="2" t="s">
        <v>1025</v>
      </c>
      <c r="G706" s="4" t="s">
        <v>1492</v>
      </c>
      <c r="H706" s="2">
        <f t="shared" si="94"/>
        <v>11</v>
      </c>
      <c r="I706" s="3" t="str">
        <f t="shared" si="91"/>
        <v>4.1.3.09.01</v>
      </c>
      <c r="J706" s="2" t="str">
        <f t="shared" si="92"/>
        <v>EXPEDIENTE</v>
      </c>
      <c r="K706" s="2" t="s">
        <v>1015</v>
      </c>
      <c r="L706" s="2" t="s">
        <v>1719</v>
      </c>
      <c r="M706" s="2" t="s">
        <v>1691</v>
      </c>
      <c r="S706" s="6" t="b">
        <f>C706='Plano de Contas sem ponto'!C706</f>
        <v>1</v>
      </c>
    </row>
    <row r="707" spans="1:19" x14ac:dyDescent="0.2">
      <c r="A707" s="2" t="s">
        <v>1276</v>
      </c>
      <c r="B707" s="2" t="s">
        <v>54</v>
      </c>
      <c r="C707" s="2" t="s">
        <v>304</v>
      </c>
      <c r="D707" s="2" t="s">
        <v>42</v>
      </c>
      <c r="E707" s="2" t="str">
        <f t="shared" si="93"/>
        <v>4</v>
      </c>
      <c r="F707" s="2" t="s">
        <v>1025</v>
      </c>
      <c r="G707" s="4" t="s">
        <v>1492</v>
      </c>
      <c r="H707" s="2">
        <f t="shared" si="94"/>
        <v>16</v>
      </c>
      <c r="I707" s="3" t="str">
        <f t="shared" si="91"/>
        <v>-</v>
      </c>
      <c r="J707" s="2" t="str">
        <f t="shared" si="92"/>
        <v>EXPEDIENTE</v>
      </c>
      <c r="K707" s="2" t="s">
        <v>1015</v>
      </c>
      <c r="L707" s="2" t="s">
        <v>1719</v>
      </c>
      <c r="M707" s="2" t="s">
        <v>1691</v>
      </c>
      <c r="S707" s="6" t="b">
        <f>C707='Plano de Contas sem ponto'!C707</f>
        <v>1</v>
      </c>
    </row>
    <row r="708" spans="1:19" x14ac:dyDescent="0.2">
      <c r="A708" s="2" t="s">
        <v>1277</v>
      </c>
      <c r="B708" s="2" t="s">
        <v>54</v>
      </c>
      <c r="C708" s="2" t="s">
        <v>310</v>
      </c>
      <c r="D708" s="2" t="s">
        <v>42</v>
      </c>
      <c r="E708" s="2" t="str">
        <f t="shared" si="93"/>
        <v>4</v>
      </c>
      <c r="F708" s="2" t="s">
        <v>1025</v>
      </c>
      <c r="G708" s="4" t="s">
        <v>1492</v>
      </c>
      <c r="H708" s="2">
        <f t="shared" si="94"/>
        <v>16</v>
      </c>
      <c r="I708" s="3" t="str">
        <f t="shared" si="91"/>
        <v>-</v>
      </c>
      <c r="J708" s="2" t="str">
        <f t="shared" si="92"/>
        <v>EXPEDIENTE</v>
      </c>
      <c r="K708" s="2" t="s">
        <v>1015</v>
      </c>
      <c r="L708" s="2" t="s">
        <v>1719</v>
      </c>
      <c r="M708" s="2" t="s">
        <v>1691</v>
      </c>
      <c r="S708" s="6" t="b">
        <f>C708='Plano de Contas sem ponto'!C708</f>
        <v>1</v>
      </c>
    </row>
    <row r="709" spans="1:19" x14ac:dyDescent="0.2">
      <c r="A709" s="2" t="s">
        <v>1278</v>
      </c>
      <c r="B709" s="2" t="s">
        <v>54</v>
      </c>
      <c r="C709" s="2" t="s">
        <v>1279</v>
      </c>
      <c r="D709" s="2" t="s">
        <v>42</v>
      </c>
      <c r="E709" s="2" t="str">
        <f t="shared" si="93"/>
        <v>4</v>
      </c>
      <c r="F709" s="2" t="s">
        <v>1025</v>
      </c>
      <c r="G709" s="4" t="s">
        <v>1492</v>
      </c>
      <c r="H709" s="2">
        <f t="shared" si="94"/>
        <v>16</v>
      </c>
      <c r="I709" s="3" t="str">
        <f t="shared" si="91"/>
        <v>-</v>
      </c>
      <c r="J709" s="2" t="str">
        <f t="shared" si="92"/>
        <v>EXPEDIENTE</v>
      </c>
      <c r="K709" s="2" t="s">
        <v>1015</v>
      </c>
      <c r="L709" s="2" t="s">
        <v>1719</v>
      </c>
      <c r="M709" s="2" t="s">
        <v>1691</v>
      </c>
      <c r="S709" s="6" t="b">
        <f>C709='Plano de Contas sem ponto'!C709</f>
        <v>1</v>
      </c>
    </row>
    <row r="710" spans="1:19" x14ac:dyDescent="0.2">
      <c r="A710" s="2" t="s">
        <v>1280</v>
      </c>
      <c r="B710" s="2" t="s">
        <v>54</v>
      </c>
      <c r="C710" s="2" t="s">
        <v>312</v>
      </c>
      <c r="D710" s="2" t="s">
        <v>42</v>
      </c>
      <c r="E710" s="2" t="str">
        <f t="shared" si="93"/>
        <v>4</v>
      </c>
      <c r="F710" s="2" t="s">
        <v>1025</v>
      </c>
      <c r="G710" s="4" t="s">
        <v>1492</v>
      </c>
      <c r="H710" s="2">
        <f t="shared" si="94"/>
        <v>16</v>
      </c>
      <c r="I710" s="3" t="str">
        <f t="shared" si="91"/>
        <v>-</v>
      </c>
      <c r="J710" s="2" t="str">
        <f t="shared" si="92"/>
        <v>EXPEDIENTE</v>
      </c>
      <c r="K710" s="2" t="s">
        <v>1015</v>
      </c>
      <c r="L710" s="2" t="s">
        <v>1719</v>
      </c>
      <c r="M710" s="2" t="s">
        <v>1691</v>
      </c>
      <c r="S710" s="6" t="b">
        <f>C710='Plano de Contas sem ponto'!C710</f>
        <v>1</v>
      </c>
    </row>
    <row r="711" spans="1:19" x14ac:dyDescent="0.2">
      <c r="A711" s="2" t="s">
        <v>1281</v>
      </c>
      <c r="B711" s="2" t="s">
        <v>54</v>
      </c>
      <c r="C711" s="2" t="s">
        <v>308</v>
      </c>
      <c r="D711" s="2" t="s">
        <v>42</v>
      </c>
      <c r="E711" s="2" t="str">
        <f t="shared" si="93"/>
        <v>4</v>
      </c>
      <c r="F711" s="2" t="s">
        <v>1025</v>
      </c>
      <c r="G711" s="4" t="s">
        <v>1492</v>
      </c>
      <c r="H711" s="2">
        <f t="shared" si="94"/>
        <v>16</v>
      </c>
      <c r="I711" s="3" t="str">
        <f t="shared" si="91"/>
        <v>-</v>
      </c>
      <c r="J711" s="2" t="str">
        <f t="shared" si="92"/>
        <v>EXPEDIENTE</v>
      </c>
      <c r="K711" s="2" t="s">
        <v>1015</v>
      </c>
      <c r="L711" s="2" t="s">
        <v>1719</v>
      </c>
      <c r="M711" s="2" t="s">
        <v>1691</v>
      </c>
      <c r="S711" s="6" t="b">
        <f>C711='Plano de Contas sem ponto'!C711</f>
        <v>1</v>
      </c>
    </row>
    <row r="712" spans="1:19" x14ac:dyDescent="0.2">
      <c r="A712" s="2" t="s">
        <v>1282</v>
      </c>
      <c r="B712" s="2" t="s">
        <v>54</v>
      </c>
      <c r="C712" s="2" t="s">
        <v>1283</v>
      </c>
      <c r="D712" s="2" t="s">
        <v>42</v>
      </c>
      <c r="E712" s="2" t="str">
        <f t="shared" si="93"/>
        <v>4</v>
      </c>
      <c r="F712" s="2" t="s">
        <v>1025</v>
      </c>
      <c r="G712" s="4" t="s">
        <v>1492</v>
      </c>
      <c r="H712" s="2">
        <f t="shared" si="94"/>
        <v>16</v>
      </c>
      <c r="I712" s="3" t="str">
        <f t="shared" si="91"/>
        <v>-</v>
      </c>
      <c r="J712" s="2" t="str">
        <f t="shared" si="92"/>
        <v>EXPEDIENTE</v>
      </c>
      <c r="K712" s="2" t="s">
        <v>1015</v>
      </c>
      <c r="L712" s="2" t="s">
        <v>1719</v>
      </c>
      <c r="M712" s="2" t="s">
        <v>1691</v>
      </c>
      <c r="S712" s="6" t="b">
        <f>C712='Plano de Contas sem ponto'!C712</f>
        <v>1</v>
      </c>
    </row>
    <row r="713" spans="1:19" x14ac:dyDescent="0.2">
      <c r="A713" s="2" t="s">
        <v>1284</v>
      </c>
      <c r="B713" s="2" t="s">
        <v>54</v>
      </c>
      <c r="C713" s="2" t="s">
        <v>1285</v>
      </c>
      <c r="D713" s="2" t="s">
        <v>42</v>
      </c>
      <c r="E713" s="2" t="str">
        <f t="shared" si="93"/>
        <v>4</v>
      </c>
      <c r="F713" s="2" t="s">
        <v>1025</v>
      </c>
      <c r="G713" s="4" t="s">
        <v>1492</v>
      </c>
      <c r="H713" s="2">
        <f t="shared" si="94"/>
        <v>16</v>
      </c>
      <c r="I713" s="3" t="str">
        <f t="shared" si="91"/>
        <v>-</v>
      </c>
      <c r="J713" s="2" t="str">
        <f t="shared" si="92"/>
        <v>EXPEDIENTE</v>
      </c>
      <c r="K713" s="2" t="s">
        <v>1015</v>
      </c>
      <c r="L713" s="2" t="s">
        <v>1719</v>
      </c>
      <c r="M713" s="2" t="s">
        <v>1691</v>
      </c>
      <c r="S713" s="6" t="b">
        <f>C713='Plano de Contas sem ponto'!C713</f>
        <v>1</v>
      </c>
    </row>
    <row r="714" spans="1:19" x14ac:dyDescent="0.2">
      <c r="A714" s="2" t="s">
        <v>1286</v>
      </c>
      <c r="B714" s="2" t="s">
        <v>54</v>
      </c>
      <c r="C714" s="2" t="s">
        <v>1287</v>
      </c>
      <c r="D714" s="2" t="s">
        <v>42</v>
      </c>
      <c r="E714" s="2" t="str">
        <f t="shared" si="93"/>
        <v>4</v>
      </c>
      <c r="F714" s="2" t="s">
        <v>1025</v>
      </c>
      <c r="G714" s="4" t="s">
        <v>1492</v>
      </c>
      <c r="H714" s="2">
        <f t="shared" si="94"/>
        <v>16</v>
      </c>
      <c r="I714" s="3" t="str">
        <f t="shared" si="91"/>
        <v>-</v>
      </c>
      <c r="J714" s="2" t="str">
        <f t="shared" si="92"/>
        <v>EXPEDIENTE</v>
      </c>
      <c r="K714" s="2" t="s">
        <v>1015</v>
      </c>
      <c r="L714" s="2" t="s">
        <v>1719</v>
      </c>
      <c r="M714" s="2" t="s">
        <v>1691</v>
      </c>
      <c r="S714" s="6" t="b">
        <f>C714='Plano de Contas sem ponto'!C714</f>
        <v>1</v>
      </c>
    </row>
    <row r="715" spans="1:19" x14ac:dyDescent="0.2">
      <c r="A715" s="11" t="s">
        <v>1288</v>
      </c>
      <c r="B715" s="11" t="s">
        <v>54</v>
      </c>
      <c r="C715" s="11" t="s">
        <v>1289</v>
      </c>
      <c r="D715" s="2" t="s">
        <v>42</v>
      </c>
      <c r="E715" s="2" t="str">
        <f t="shared" si="93"/>
        <v>4</v>
      </c>
      <c r="F715" s="2" t="s">
        <v>1025</v>
      </c>
      <c r="G715" s="4" t="s">
        <v>1492</v>
      </c>
      <c r="H715" s="2">
        <f t="shared" si="94"/>
        <v>16</v>
      </c>
      <c r="I715" s="3" t="str">
        <f t="shared" si="91"/>
        <v>-</v>
      </c>
      <c r="J715" s="2" t="str">
        <f t="shared" si="92"/>
        <v>EXPEDIENTE</v>
      </c>
      <c r="K715" s="2" t="s">
        <v>1015</v>
      </c>
      <c r="L715" s="2" t="s">
        <v>1719</v>
      </c>
      <c r="M715" s="2" t="s">
        <v>1691</v>
      </c>
      <c r="S715" s="6" t="b">
        <f>C715='Plano de Contas sem ponto'!C715</f>
        <v>1</v>
      </c>
    </row>
    <row r="716" spans="1:19" x14ac:dyDescent="0.2">
      <c r="A716" s="11" t="s">
        <v>1290</v>
      </c>
      <c r="B716" s="11" t="s">
        <v>54</v>
      </c>
      <c r="C716" s="11" t="s">
        <v>1291</v>
      </c>
      <c r="D716" s="2" t="s">
        <v>42</v>
      </c>
      <c r="E716" s="2" t="str">
        <f t="shared" si="93"/>
        <v>4</v>
      </c>
      <c r="F716" s="2" t="s">
        <v>1025</v>
      </c>
      <c r="G716" s="4" t="s">
        <v>1492</v>
      </c>
      <c r="H716" s="2">
        <f t="shared" si="94"/>
        <v>16</v>
      </c>
      <c r="I716" s="3" t="str">
        <f t="shared" si="91"/>
        <v>-</v>
      </c>
      <c r="J716" s="2" t="str">
        <f t="shared" si="92"/>
        <v>EXPEDIENTE</v>
      </c>
      <c r="K716" s="2" t="s">
        <v>1015</v>
      </c>
      <c r="L716" s="2" t="s">
        <v>1719</v>
      </c>
      <c r="M716" s="2" t="s">
        <v>1691</v>
      </c>
      <c r="S716" s="6" t="b">
        <f>C716='Plano de Contas sem ponto'!C716</f>
        <v>1</v>
      </c>
    </row>
    <row r="717" spans="1:19" x14ac:dyDescent="0.2">
      <c r="A717" s="73" t="s">
        <v>1606</v>
      </c>
      <c r="B717" s="74" t="s">
        <v>40</v>
      </c>
      <c r="C717" s="75" t="s">
        <v>3151</v>
      </c>
      <c r="D717" s="76" t="s">
        <v>42</v>
      </c>
      <c r="E717" s="76" t="str">
        <f t="shared" ref="E717:E727" si="95">LEFT(A717,1)</f>
        <v>4</v>
      </c>
      <c r="F717" s="76" t="s">
        <v>1025</v>
      </c>
      <c r="G717" s="77" t="s">
        <v>1492</v>
      </c>
      <c r="H717" s="76">
        <f t="shared" ref="H717:H727" si="96">LEN(A717)</f>
        <v>8</v>
      </c>
      <c r="I717" s="78" t="str">
        <f t="shared" ref="I717:I727" si="97">IF(H717=11,A717,"-")</f>
        <v>-</v>
      </c>
      <c r="J717" s="76" t="str">
        <f>IF(H717&lt;11,C717,IF(I717&lt;&gt;"-",C717,J716))</f>
        <v>ALIMENTAÇÃO E EVENTOS</v>
      </c>
      <c r="K717" s="76" t="s">
        <v>1015</v>
      </c>
      <c r="L717" s="79" t="s">
        <v>1582</v>
      </c>
      <c r="M717" s="79" t="s">
        <v>1679</v>
      </c>
      <c r="N717" s="79"/>
      <c r="O717" s="6" t="s">
        <v>3160</v>
      </c>
      <c r="S717" s="6" t="b">
        <f>C717='Plano de Contas sem ponto'!C717</f>
        <v>1</v>
      </c>
    </row>
    <row r="718" spans="1:19" x14ac:dyDescent="0.2">
      <c r="A718" s="82" t="s">
        <v>3195</v>
      </c>
      <c r="B718" s="83" t="s">
        <v>40</v>
      </c>
      <c r="C718" s="84" t="s">
        <v>3196</v>
      </c>
      <c r="D718" s="85" t="s">
        <v>42</v>
      </c>
      <c r="E718" s="85" t="str">
        <f t="shared" si="95"/>
        <v>4</v>
      </c>
      <c r="F718" s="85" t="s">
        <v>1025</v>
      </c>
      <c r="G718" s="86" t="s">
        <v>1492</v>
      </c>
      <c r="H718" s="85">
        <f t="shared" si="96"/>
        <v>11</v>
      </c>
      <c r="I718" s="87" t="str">
        <f t="shared" si="97"/>
        <v>4.1.3.10.01</v>
      </c>
      <c r="J718" s="85" t="str">
        <f t="shared" ref="J718:J719" si="98">IF(H718&lt;11,C718,IF(I718&lt;&gt;"-",C718,J717))</f>
        <v>REALIZACAO DE EVENTOS</v>
      </c>
      <c r="K718" s="85" t="s">
        <v>1015</v>
      </c>
      <c r="L718" s="88" t="s">
        <v>1575</v>
      </c>
      <c r="M718" s="88" t="s">
        <v>1609</v>
      </c>
      <c r="N718" s="88"/>
      <c r="O718" s="6" t="s">
        <v>3201</v>
      </c>
      <c r="S718" s="6" t="b">
        <f>C718='[1]Plano de Contas sem ponto'!C718</f>
        <v>1</v>
      </c>
    </row>
    <row r="719" spans="1:19" x14ac:dyDescent="0.2">
      <c r="A719" s="89" t="s">
        <v>3197</v>
      </c>
      <c r="B719" s="85" t="s">
        <v>54</v>
      </c>
      <c r="C719" s="88" t="s">
        <v>3198</v>
      </c>
      <c r="D719" s="85" t="s">
        <v>42</v>
      </c>
      <c r="E719" s="85" t="str">
        <f t="shared" si="95"/>
        <v>4</v>
      </c>
      <c r="F719" s="85" t="s">
        <v>1025</v>
      </c>
      <c r="G719" s="86" t="s">
        <v>1492</v>
      </c>
      <c r="H719" s="85">
        <f t="shared" si="96"/>
        <v>16</v>
      </c>
      <c r="I719" s="87" t="str">
        <f t="shared" si="97"/>
        <v>-</v>
      </c>
      <c r="J719" s="85" t="str">
        <f t="shared" si="98"/>
        <v>REALIZACAO DE EVENTOS</v>
      </c>
      <c r="K719" s="85" t="s">
        <v>1015</v>
      </c>
      <c r="L719" s="88" t="s">
        <v>1575</v>
      </c>
      <c r="M719" s="88" t="s">
        <v>1609</v>
      </c>
      <c r="N719" s="88"/>
      <c r="O719" s="6" t="s">
        <v>3201</v>
      </c>
      <c r="S719" s="6" t="b">
        <f>C719='[1]Plano de Contas sem ponto'!C719</f>
        <v>1</v>
      </c>
    </row>
    <row r="720" spans="1:19" x14ac:dyDescent="0.2">
      <c r="A720" s="89" t="s">
        <v>3204</v>
      </c>
      <c r="B720" s="85" t="s">
        <v>54</v>
      </c>
      <c r="C720" s="88" t="s">
        <v>3203</v>
      </c>
      <c r="D720" s="85" t="s">
        <v>42</v>
      </c>
      <c r="E720" s="85" t="s">
        <v>1023</v>
      </c>
      <c r="F720" s="85" t="s">
        <v>1025</v>
      </c>
      <c r="G720" s="86" t="s">
        <v>1492</v>
      </c>
      <c r="H720" s="85">
        <v>16</v>
      </c>
      <c r="I720" s="87" t="s">
        <v>1492</v>
      </c>
      <c r="J720" s="85" t="s">
        <v>3196</v>
      </c>
      <c r="K720" s="85" t="s">
        <v>1015</v>
      </c>
      <c r="L720" s="88" t="s">
        <v>1575</v>
      </c>
      <c r="M720" s="88" t="s">
        <v>1609</v>
      </c>
      <c r="N720" s="88"/>
      <c r="S720" s="6" t="b">
        <v>1</v>
      </c>
    </row>
    <row r="721" spans="1:19" x14ac:dyDescent="0.2">
      <c r="A721" s="73" t="s">
        <v>1607</v>
      </c>
      <c r="B721" s="74" t="s">
        <v>54</v>
      </c>
      <c r="C721" s="75" t="s">
        <v>3152</v>
      </c>
      <c r="D721" s="76" t="s">
        <v>42</v>
      </c>
      <c r="E721" s="76" t="str">
        <f t="shared" si="95"/>
        <v>4</v>
      </c>
      <c r="F721" s="76" t="s">
        <v>1025</v>
      </c>
      <c r="G721" s="77" t="s">
        <v>1492</v>
      </c>
      <c r="H721" s="76">
        <f t="shared" si="96"/>
        <v>11</v>
      </c>
      <c r="I721" s="78" t="str">
        <f t="shared" si="97"/>
        <v>4.1.3.10.03</v>
      </c>
      <c r="J721" s="76" t="str">
        <f>IF(H721&lt;11,C721,IF(I721&lt;&gt;"-",C721,J717))</f>
        <v>ALIMENTAÇÃO, COFFEE BREAK</v>
      </c>
      <c r="K721" s="76" t="s">
        <v>1015</v>
      </c>
      <c r="L721" s="79" t="s">
        <v>1582</v>
      </c>
      <c r="M721" s="79" t="s">
        <v>1679</v>
      </c>
      <c r="N721" s="79"/>
      <c r="O721" s="6" t="s">
        <v>3160</v>
      </c>
      <c r="S721" s="6" t="b">
        <f>C721='Plano de Contas sem ponto'!C721</f>
        <v>1</v>
      </c>
    </row>
    <row r="722" spans="1:19" x14ac:dyDescent="0.2">
      <c r="A722" s="80" t="s">
        <v>1608</v>
      </c>
      <c r="B722" s="76" t="s">
        <v>54</v>
      </c>
      <c r="C722" s="79" t="s">
        <v>3153</v>
      </c>
      <c r="D722" s="76" t="s">
        <v>42</v>
      </c>
      <c r="E722" s="76" t="str">
        <f t="shared" si="95"/>
        <v>4</v>
      </c>
      <c r="F722" s="76" t="s">
        <v>1025</v>
      </c>
      <c r="G722" s="77" t="s">
        <v>1492</v>
      </c>
      <c r="H722" s="76">
        <f t="shared" si="96"/>
        <v>16</v>
      </c>
      <c r="I722" s="78" t="str">
        <f t="shared" si="97"/>
        <v>-</v>
      </c>
      <c r="J722" s="76" t="str">
        <f t="shared" ref="J722:J726" si="99">IF(H722&lt;11,C722,IF(I722&lt;&gt;"-",C722,J721))</f>
        <v>ALIMENTAÇÃO, COFFEE BREAK</v>
      </c>
      <c r="K722" s="76" t="s">
        <v>1015</v>
      </c>
      <c r="L722" s="79" t="s">
        <v>1582</v>
      </c>
      <c r="M722" s="79" t="s">
        <v>1679</v>
      </c>
      <c r="N722" s="79"/>
      <c r="O722" s="6" t="s">
        <v>3160</v>
      </c>
      <c r="S722" s="6" t="b">
        <f>C722='Plano de Contas sem ponto'!C722</f>
        <v>1</v>
      </c>
    </row>
    <row r="723" spans="1:19" x14ac:dyDescent="0.2">
      <c r="A723" s="80" t="s">
        <v>3154</v>
      </c>
      <c r="B723" s="76" t="s">
        <v>54</v>
      </c>
      <c r="C723" s="79" t="s">
        <v>1478</v>
      </c>
      <c r="D723" s="76" t="s">
        <v>42</v>
      </c>
      <c r="E723" s="76" t="str">
        <f t="shared" si="95"/>
        <v>4</v>
      </c>
      <c r="F723" s="76" t="s">
        <v>1025</v>
      </c>
      <c r="G723" s="77" t="s">
        <v>1492</v>
      </c>
      <c r="H723" s="76">
        <f t="shared" si="96"/>
        <v>16</v>
      </c>
      <c r="I723" s="78" t="str">
        <f t="shared" si="97"/>
        <v>-</v>
      </c>
      <c r="J723" s="76" t="str">
        <f t="shared" si="99"/>
        <v>ALIMENTAÇÃO, COFFEE BREAK</v>
      </c>
      <c r="K723" s="76" t="s">
        <v>1015</v>
      </c>
      <c r="L723" s="79" t="s">
        <v>1582</v>
      </c>
      <c r="M723" s="79" t="s">
        <v>1679</v>
      </c>
      <c r="N723" s="79"/>
      <c r="O723" s="6" t="s">
        <v>3160</v>
      </c>
      <c r="S723" s="6" t="b">
        <f>C723='Plano de Contas sem ponto'!C723</f>
        <v>1</v>
      </c>
    </row>
    <row r="724" spans="1:19" x14ac:dyDescent="0.2">
      <c r="A724" s="73" t="s">
        <v>3155</v>
      </c>
      <c r="B724" s="74" t="s">
        <v>40</v>
      </c>
      <c r="C724" s="75" t="s">
        <v>3156</v>
      </c>
      <c r="D724" s="76" t="s">
        <v>42</v>
      </c>
      <c r="E724" s="76" t="str">
        <f t="shared" si="95"/>
        <v>4</v>
      </c>
      <c r="F724" s="76" t="s">
        <v>1025</v>
      </c>
      <c r="G724" s="77" t="s">
        <v>1492</v>
      </c>
      <c r="H724" s="76">
        <f t="shared" si="96"/>
        <v>8</v>
      </c>
      <c r="I724" s="78" t="str">
        <f t="shared" si="97"/>
        <v>-</v>
      </c>
      <c r="J724" s="76" t="str">
        <f t="shared" si="99"/>
        <v>TREINAMENTOS, CURSOS E CONGRESSOS</v>
      </c>
      <c r="K724" s="76" t="s">
        <v>1015</v>
      </c>
      <c r="L724" s="79" t="s">
        <v>1582</v>
      </c>
      <c r="M724" s="79" t="s">
        <v>1679</v>
      </c>
      <c r="N724" s="79"/>
      <c r="O724" s="6" t="s">
        <v>3160</v>
      </c>
      <c r="S724" s="6" t="b">
        <f>C724='Plano de Contas sem ponto'!C724</f>
        <v>1</v>
      </c>
    </row>
    <row r="725" spans="1:19" x14ac:dyDescent="0.2">
      <c r="A725" s="80" t="s">
        <v>3157</v>
      </c>
      <c r="B725" s="76" t="s">
        <v>54</v>
      </c>
      <c r="C725" s="79" t="s">
        <v>3156</v>
      </c>
      <c r="D725" s="76" t="s">
        <v>42</v>
      </c>
      <c r="E725" s="76" t="str">
        <f t="shared" si="95"/>
        <v>4</v>
      </c>
      <c r="F725" s="76" t="s">
        <v>1025</v>
      </c>
      <c r="G725" s="77" t="s">
        <v>1492</v>
      </c>
      <c r="H725" s="76">
        <f t="shared" si="96"/>
        <v>11</v>
      </c>
      <c r="I725" s="78" t="str">
        <f t="shared" si="97"/>
        <v>4.1.3.11.02</v>
      </c>
      <c r="J725" s="76" t="str">
        <f t="shared" si="99"/>
        <v>TREINAMENTOS, CURSOS E CONGRESSOS</v>
      </c>
      <c r="K725" s="76" t="s">
        <v>1015</v>
      </c>
      <c r="L725" s="79" t="s">
        <v>1582</v>
      </c>
      <c r="M725" s="79" t="s">
        <v>1679</v>
      </c>
      <c r="N725" s="79"/>
      <c r="O725" s="6" t="s">
        <v>3160</v>
      </c>
      <c r="S725" s="6" t="b">
        <f>C725='Plano de Contas sem ponto'!C725</f>
        <v>1</v>
      </c>
    </row>
    <row r="726" spans="1:19" x14ac:dyDescent="0.2">
      <c r="A726" s="73" t="s">
        <v>3158</v>
      </c>
      <c r="B726" s="74" t="s">
        <v>54</v>
      </c>
      <c r="C726" s="75" t="s">
        <v>3156</v>
      </c>
      <c r="D726" s="76" t="s">
        <v>42</v>
      </c>
      <c r="E726" s="76" t="str">
        <f t="shared" si="95"/>
        <v>4</v>
      </c>
      <c r="F726" s="76" t="s">
        <v>1025</v>
      </c>
      <c r="G726" s="77" t="s">
        <v>1492</v>
      </c>
      <c r="H726" s="76">
        <f t="shared" si="96"/>
        <v>16</v>
      </c>
      <c r="I726" s="78" t="str">
        <f t="shared" si="97"/>
        <v>-</v>
      </c>
      <c r="J726" s="76" t="str">
        <f t="shared" si="99"/>
        <v>TREINAMENTOS, CURSOS E CONGRESSOS</v>
      </c>
      <c r="K726" s="76" t="s">
        <v>1015</v>
      </c>
      <c r="L726" s="79" t="s">
        <v>1582</v>
      </c>
      <c r="M726" s="79" t="s">
        <v>1679</v>
      </c>
      <c r="N726" s="79"/>
      <c r="O726" s="6" t="s">
        <v>3160</v>
      </c>
      <c r="S726" s="6" t="b">
        <f>C726='Plano de Contas sem ponto'!C726</f>
        <v>1</v>
      </c>
    </row>
    <row r="727" spans="1:19" x14ac:dyDescent="0.2">
      <c r="A727" s="80" t="s">
        <v>3159</v>
      </c>
      <c r="B727" s="76" t="s">
        <v>54</v>
      </c>
      <c r="C727" s="79" t="s">
        <v>1478</v>
      </c>
      <c r="D727" s="76" t="s">
        <v>42</v>
      </c>
      <c r="E727" s="76" t="str">
        <f t="shared" si="95"/>
        <v>4</v>
      </c>
      <c r="F727" s="76" t="s">
        <v>1025</v>
      </c>
      <c r="G727" s="77" t="s">
        <v>1492</v>
      </c>
      <c r="H727" s="76">
        <f t="shared" si="96"/>
        <v>16</v>
      </c>
      <c r="I727" s="78" t="str">
        <f t="shared" si="97"/>
        <v>-</v>
      </c>
      <c r="J727" s="76" t="str">
        <f t="shared" ref="J727" si="100">IF(H727&lt;11,C727,IF(I727&lt;&gt;"-",C727,J726))</f>
        <v>TREINAMENTOS, CURSOS E CONGRESSOS</v>
      </c>
      <c r="K727" s="76" t="s">
        <v>1015</v>
      </c>
      <c r="L727" s="79" t="s">
        <v>1582</v>
      </c>
      <c r="M727" s="79" t="s">
        <v>1679</v>
      </c>
      <c r="N727" s="79"/>
      <c r="O727" s="6" t="s">
        <v>3160</v>
      </c>
      <c r="S727" s="6" t="b">
        <f>C727='Plano de Contas sem ponto'!C727</f>
        <v>1</v>
      </c>
    </row>
    <row r="728" spans="1:19" x14ac:dyDescent="0.2">
      <c r="A728" s="1" t="s">
        <v>1292</v>
      </c>
      <c r="B728" s="1" t="s">
        <v>40</v>
      </c>
      <c r="C728" s="1" t="s">
        <v>1293</v>
      </c>
      <c r="D728" s="2" t="s">
        <v>42</v>
      </c>
      <c r="E728" s="2" t="str">
        <f t="shared" si="93"/>
        <v>4</v>
      </c>
      <c r="F728" s="2" t="s">
        <v>1025</v>
      </c>
      <c r="G728" s="4" t="s">
        <v>1492</v>
      </c>
      <c r="H728" s="2">
        <f t="shared" si="94"/>
        <v>8</v>
      </c>
      <c r="I728" s="3" t="str">
        <f t="shared" si="91"/>
        <v>-</v>
      </c>
      <c r="J728" s="2" t="str">
        <f>IF(H728&lt;11,C728,IF(I728&lt;&gt;"-",C728,J716))</f>
        <v>CONVENIOS</v>
      </c>
      <c r="K728" s="2" t="s">
        <v>1015</v>
      </c>
      <c r="L728" s="2" t="s">
        <v>1719</v>
      </c>
      <c r="M728" s="6" t="s">
        <v>1584</v>
      </c>
      <c r="S728" s="6" t="b">
        <f>C728='Plano de Contas sem ponto'!C728</f>
        <v>1</v>
      </c>
    </row>
    <row r="729" spans="1:19" x14ac:dyDescent="0.2">
      <c r="A729" s="1" t="s">
        <v>1294</v>
      </c>
      <c r="B729" s="1" t="s">
        <v>40</v>
      </c>
      <c r="C729" s="1" t="s">
        <v>1293</v>
      </c>
      <c r="D729" s="2" t="s">
        <v>42</v>
      </c>
      <c r="E729" s="2" t="str">
        <f t="shared" si="93"/>
        <v>4</v>
      </c>
      <c r="F729" s="2" t="s">
        <v>1025</v>
      </c>
      <c r="G729" s="4" t="s">
        <v>1492</v>
      </c>
      <c r="H729" s="2">
        <f t="shared" si="94"/>
        <v>11</v>
      </c>
      <c r="I729" s="3" t="str">
        <f t="shared" si="91"/>
        <v>4.1.3.12.01</v>
      </c>
      <c r="J729" s="2" t="str">
        <f t="shared" si="92"/>
        <v>CONVENIOS</v>
      </c>
      <c r="K729" s="2" t="s">
        <v>1015</v>
      </c>
      <c r="L729" s="2" t="s">
        <v>1719</v>
      </c>
      <c r="M729" s="6" t="s">
        <v>1584</v>
      </c>
      <c r="S729" s="6" t="b">
        <f>C729='Plano de Contas sem ponto'!C729</f>
        <v>1</v>
      </c>
    </row>
    <row r="730" spans="1:19" x14ac:dyDescent="0.2">
      <c r="A730" s="2" t="s">
        <v>1295</v>
      </c>
      <c r="B730" s="2" t="s">
        <v>54</v>
      </c>
      <c r="C730" s="2" t="s">
        <v>1293</v>
      </c>
      <c r="D730" s="2" t="s">
        <v>42</v>
      </c>
      <c r="E730" s="2" t="str">
        <f t="shared" si="93"/>
        <v>4</v>
      </c>
      <c r="F730" s="2" t="s">
        <v>1025</v>
      </c>
      <c r="G730" s="4" t="s">
        <v>1492</v>
      </c>
      <c r="H730" s="2">
        <f t="shared" si="94"/>
        <v>16</v>
      </c>
      <c r="I730" s="3" t="str">
        <f t="shared" si="91"/>
        <v>-</v>
      </c>
      <c r="J730" s="2" t="str">
        <f t="shared" si="92"/>
        <v>CONVENIOS</v>
      </c>
      <c r="K730" s="2" t="s">
        <v>1015</v>
      </c>
      <c r="L730" s="2" t="s">
        <v>1719</v>
      </c>
      <c r="M730" s="6" t="s">
        <v>1584</v>
      </c>
      <c r="S730" s="6" t="b">
        <f>C730='Plano de Contas sem ponto'!C730</f>
        <v>1</v>
      </c>
    </row>
    <row r="731" spans="1:19" x14ac:dyDescent="0.2">
      <c r="A731" s="15" t="s">
        <v>1296</v>
      </c>
      <c r="B731" s="15" t="s">
        <v>40</v>
      </c>
      <c r="C731" s="15" t="s">
        <v>1297</v>
      </c>
      <c r="D731" s="12" t="s">
        <v>42</v>
      </c>
      <c r="E731" s="12" t="str">
        <f t="shared" si="93"/>
        <v>4</v>
      </c>
      <c r="F731" s="12" t="s">
        <v>1025</v>
      </c>
      <c r="G731" s="37" t="s">
        <v>1492</v>
      </c>
      <c r="H731" s="12">
        <f t="shared" si="94"/>
        <v>8</v>
      </c>
      <c r="I731" s="38" t="str">
        <f t="shared" si="91"/>
        <v>-</v>
      </c>
      <c r="J731" s="12" t="str">
        <f t="shared" si="92"/>
        <v>DOACOES E CONTRIBUICOES</v>
      </c>
      <c r="K731" s="12" t="s">
        <v>1015</v>
      </c>
      <c r="L731" s="70" t="s">
        <v>1695</v>
      </c>
      <c r="M731" s="70" t="s">
        <v>1695</v>
      </c>
      <c r="N731" s="39"/>
      <c r="O731" s="39"/>
      <c r="S731" s="6" t="b">
        <f>C731='Plano de Contas sem ponto'!C731</f>
        <v>1</v>
      </c>
    </row>
    <row r="732" spans="1:19" x14ac:dyDescent="0.2">
      <c r="A732" s="15" t="s">
        <v>1298</v>
      </c>
      <c r="B732" s="15" t="s">
        <v>40</v>
      </c>
      <c r="C732" s="15" t="s">
        <v>1297</v>
      </c>
      <c r="D732" s="12" t="s">
        <v>42</v>
      </c>
      <c r="E732" s="12" t="str">
        <f t="shared" si="93"/>
        <v>4</v>
      </c>
      <c r="F732" s="12" t="s">
        <v>1025</v>
      </c>
      <c r="G732" s="37" t="s">
        <v>1492</v>
      </c>
      <c r="H732" s="12">
        <f t="shared" si="94"/>
        <v>11</v>
      </c>
      <c r="I732" s="38" t="str">
        <f t="shared" si="91"/>
        <v>4.1.3.13.01</v>
      </c>
      <c r="J732" s="12" t="str">
        <f t="shared" si="92"/>
        <v>DOACOES E CONTRIBUICOES</v>
      </c>
      <c r="K732" s="12" t="s">
        <v>1015</v>
      </c>
      <c r="L732" s="70" t="s">
        <v>1695</v>
      </c>
      <c r="M732" s="70" t="s">
        <v>1695</v>
      </c>
      <c r="N732" s="39"/>
      <c r="O732" s="39"/>
      <c r="S732" s="6" t="b">
        <f>C732='Plano de Contas sem ponto'!C732</f>
        <v>1</v>
      </c>
    </row>
    <row r="733" spans="1:19" x14ac:dyDescent="0.2">
      <c r="A733" s="12" t="s">
        <v>1299</v>
      </c>
      <c r="B733" s="12" t="s">
        <v>54</v>
      </c>
      <c r="C733" s="12" t="s">
        <v>1300</v>
      </c>
      <c r="D733" s="12" t="s">
        <v>42</v>
      </c>
      <c r="E733" s="12" t="str">
        <f t="shared" si="93"/>
        <v>4</v>
      </c>
      <c r="F733" s="12" t="s">
        <v>1025</v>
      </c>
      <c r="G733" s="37" t="s">
        <v>1492</v>
      </c>
      <c r="H733" s="12">
        <f t="shared" si="94"/>
        <v>16</v>
      </c>
      <c r="I733" s="38" t="str">
        <f t="shared" si="91"/>
        <v>-</v>
      </c>
      <c r="J733" s="12" t="str">
        <f t="shared" si="92"/>
        <v>DOACOES E CONTRIBUICOES</v>
      </c>
      <c r="K733" s="12" t="s">
        <v>1015</v>
      </c>
      <c r="L733" s="70" t="s">
        <v>1695</v>
      </c>
      <c r="M733" s="70" t="s">
        <v>3098</v>
      </c>
      <c r="N733" s="12"/>
      <c r="O733" s="39"/>
      <c r="S733" s="6" t="b">
        <f>C733='Plano de Contas sem ponto'!C733</f>
        <v>1</v>
      </c>
    </row>
    <row r="734" spans="1:19" x14ac:dyDescent="0.2">
      <c r="A734" s="12" t="s">
        <v>1301</v>
      </c>
      <c r="B734" s="12" t="s">
        <v>54</v>
      </c>
      <c r="C734" s="12" t="s">
        <v>922</v>
      </c>
      <c r="D734" s="12" t="s">
        <v>42</v>
      </c>
      <c r="E734" s="12" t="str">
        <f t="shared" si="93"/>
        <v>4</v>
      </c>
      <c r="F734" s="12" t="s">
        <v>1025</v>
      </c>
      <c r="G734" s="37" t="s">
        <v>1492</v>
      </c>
      <c r="H734" s="12">
        <f t="shared" si="94"/>
        <v>16</v>
      </c>
      <c r="I734" s="38" t="str">
        <f t="shared" si="91"/>
        <v>-</v>
      </c>
      <c r="J734" s="12" t="str">
        <f t="shared" si="92"/>
        <v>DOACOES E CONTRIBUICOES</v>
      </c>
      <c r="K734" s="12" t="s">
        <v>1015</v>
      </c>
      <c r="L734" s="70" t="s">
        <v>1695</v>
      </c>
      <c r="M734" s="70" t="s">
        <v>3099</v>
      </c>
      <c r="N734" s="12"/>
      <c r="O734" s="39"/>
      <c r="S734" s="6" t="b">
        <f>C734='Plano de Contas sem ponto'!C734</f>
        <v>1</v>
      </c>
    </row>
    <row r="735" spans="1:19" x14ac:dyDescent="0.2">
      <c r="A735" s="12" t="s">
        <v>1302</v>
      </c>
      <c r="B735" s="12" t="s">
        <v>54</v>
      </c>
      <c r="C735" s="12" t="s">
        <v>1303</v>
      </c>
      <c r="D735" s="12" t="s">
        <v>42</v>
      </c>
      <c r="E735" s="12" t="str">
        <f t="shared" si="93"/>
        <v>4</v>
      </c>
      <c r="F735" s="12" t="s">
        <v>1025</v>
      </c>
      <c r="G735" s="37" t="s">
        <v>1492</v>
      </c>
      <c r="H735" s="12">
        <f t="shared" si="94"/>
        <v>16</v>
      </c>
      <c r="I735" s="38" t="str">
        <f t="shared" si="91"/>
        <v>-</v>
      </c>
      <c r="J735" s="12" t="str">
        <f t="shared" si="92"/>
        <v>DOACOES E CONTRIBUICOES</v>
      </c>
      <c r="K735" s="12" t="s">
        <v>1015</v>
      </c>
      <c r="L735" s="12" t="s">
        <v>1695</v>
      </c>
      <c r="M735" s="70" t="s">
        <v>3100</v>
      </c>
      <c r="N735" s="12"/>
      <c r="O735" s="39"/>
      <c r="S735" s="6" t="b">
        <f>C735='Plano de Contas sem ponto'!C735</f>
        <v>1</v>
      </c>
    </row>
    <row r="736" spans="1:19" x14ac:dyDescent="0.2">
      <c r="A736" s="12" t="s">
        <v>1304</v>
      </c>
      <c r="B736" s="12" t="s">
        <v>54</v>
      </c>
      <c r="C736" s="12" t="s">
        <v>1305</v>
      </c>
      <c r="D736" s="12" t="s">
        <v>42</v>
      </c>
      <c r="E736" s="12" t="str">
        <f t="shared" si="93"/>
        <v>4</v>
      </c>
      <c r="F736" s="12" t="s">
        <v>1025</v>
      </c>
      <c r="G736" s="37" t="s">
        <v>1492</v>
      </c>
      <c r="H736" s="12">
        <f t="shared" si="94"/>
        <v>16</v>
      </c>
      <c r="I736" s="38" t="str">
        <f t="shared" si="91"/>
        <v>-</v>
      </c>
      <c r="J736" s="12" t="str">
        <f t="shared" si="92"/>
        <v>DOACOES E CONTRIBUICOES</v>
      </c>
      <c r="K736" s="12" t="s">
        <v>1015</v>
      </c>
      <c r="L736" s="71" t="s">
        <v>3104</v>
      </c>
      <c r="M736" s="72" t="s">
        <v>1585</v>
      </c>
      <c r="N736" s="12"/>
      <c r="O736" s="39"/>
      <c r="S736" s="6" t="b">
        <f>C736='Plano de Contas sem ponto'!C736</f>
        <v>1</v>
      </c>
    </row>
    <row r="737" spans="1:19" x14ac:dyDescent="0.2">
      <c r="A737" s="1" t="s">
        <v>1306</v>
      </c>
      <c r="B737" s="1" t="s">
        <v>40</v>
      </c>
      <c r="C737" s="1" t="s">
        <v>1307</v>
      </c>
      <c r="D737" s="2" t="s">
        <v>42</v>
      </c>
      <c r="E737" s="2" t="str">
        <f t="shared" si="93"/>
        <v>4</v>
      </c>
      <c r="F737" s="2" t="s">
        <v>1025</v>
      </c>
      <c r="G737" s="4" t="s">
        <v>1492</v>
      </c>
      <c r="H737" s="2">
        <f t="shared" si="94"/>
        <v>8</v>
      </c>
      <c r="I737" s="3" t="str">
        <f t="shared" si="91"/>
        <v>-</v>
      </c>
      <c r="J737" s="2" t="str">
        <f t="shared" si="92"/>
        <v>BAIXAS DE COBRANCAS</v>
      </c>
      <c r="K737" s="2" t="s">
        <v>1015</v>
      </c>
      <c r="L737" s="2" t="s">
        <v>1719</v>
      </c>
      <c r="M737" s="6" t="s">
        <v>1692</v>
      </c>
      <c r="S737" s="6" t="b">
        <f>C737='Plano de Contas sem ponto'!C737</f>
        <v>1</v>
      </c>
    </row>
    <row r="738" spans="1:19" x14ac:dyDescent="0.2">
      <c r="A738" s="1" t="s">
        <v>1308</v>
      </c>
      <c r="B738" s="1" t="s">
        <v>40</v>
      </c>
      <c r="C738" s="1" t="s">
        <v>1307</v>
      </c>
      <c r="D738" s="2" t="s">
        <v>42</v>
      </c>
      <c r="E738" s="2" t="str">
        <f t="shared" si="93"/>
        <v>4</v>
      </c>
      <c r="F738" s="2" t="s">
        <v>1025</v>
      </c>
      <c r="G738" s="4" t="s">
        <v>1492</v>
      </c>
      <c r="H738" s="2">
        <f t="shared" si="94"/>
        <v>11</v>
      </c>
      <c r="I738" s="3" t="str">
        <f t="shared" ref="I738:I801" si="101">IF(H738=11,A738,"-")</f>
        <v>4.1.3.14.01</v>
      </c>
      <c r="J738" s="2" t="str">
        <f t="shared" ref="J738:J801" si="102">IF(H738&lt;11,C738,IF(I738&lt;&gt;"-",C738,J737))</f>
        <v>BAIXAS DE COBRANCAS</v>
      </c>
      <c r="K738" s="2" t="s">
        <v>1015</v>
      </c>
      <c r="L738" s="2" t="s">
        <v>1719</v>
      </c>
      <c r="M738" s="6" t="s">
        <v>1692</v>
      </c>
      <c r="S738" s="6" t="b">
        <f>C738='Plano de Contas sem ponto'!C738</f>
        <v>1</v>
      </c>
    </row>
    <row r="739" spans="1:19" x14ac:dyDescent="0.2">
      <c r="A739" s="2" t="s">
        <v>1309</v>
      </c>
      <c r="B739" s="2" t="s">
        <v>54</v>
      </c>
      <c r="C739" s="2" t="s">
        <v>1307</v>
      </c>
      <c r="D739" s="2" t="s">
        <v>42</v>
      </c>
      <c r="E739" s="2" t="str">
        <f t="shared" ref="E739:E802" si="103">LEFT(A739,1)</f>
        <v>4</v>
      </c>
      <c r="F739" s="2" t="s">
        <v>1025</v>
      </c>
      <c r="G739" s="4" t="s">
        <v>1492</v>
      </c>
      <c r="H739" s="2">
        <f t="shared" ref="H739:H802" si="104">LEN(A739)</f>
        <v>16</v>
      </c>
      <c r="I739" s="3" t="str">
        <f t="shared" si="101"/>
        <v>-</v>
      </c>
      <c r="J739" s="2" t="str">
        <f t="shared" si="102"/>
        <v>BAIXAS DE COBRANCAS</v>
      </c>
      <c r="K739" s="2" t="s">
        <v>1015</v>
      </c>
      <c r="L739" s="2" t="s">
        <v>1719</v>
      </c>
      <c r="M739" s="6" t="s">
        <v>1692</v>
      </c>
      <c r="S739" s="6" t="b">
        <f>C739='Plano de Contas sem ponto'!C739</f>
        <v>1</v>
      </c>
    </row>
    <row r="740" spans="1:19" x14ac:dyDescent="0.2">
      <c r="A740" s="2" t="s">
        <v>1310</v>
      </c>
      <c r="B740" s="2" t="s">
        <v>54</v>
      </c>
      <c r="C740" s="2" t="s">
        <v>1311</v>
      </c>
      <c r="D740" s="2" t="s">
        <v>42</v>
      </c>
      <c r="E740" s="2" t="str">
        <f t="shared" si="103"/>
        <v>4</v>
      </c>
      <c r="F740" s="2" t="s">
        <v>1025</v>
      </c>
      <c r="G740" s="4" t="s">
        <v>1492</v>
      </c>
      <c r="H740" s="2">
        <f t="shared" si="104"/>
        <v>16</v>
      </c>
      <c r="I740" s="3" t="str">
        <f t="shared" si="101"/>
        <v>-</v>
      </c>
      <c r="J740" s="2" t="str">
        <f t="shared" si="102"/>
        <v>BAIXAS DE COBRANCAS</v>
      </c>
      <c r="K740" s="2" t="s">
        <v>1015</v>
      </c>
      <c r="L740" s="2" t="s">
        <v>1719</v>
      </c>
      <c r="M740" s="6" t="s">
        <v>1692</v>
      </c>
      <c r="S740" s="6" t="b">
        <f>C740='Plano de Contas sem ponto'!C740</f>
        <v>1</v>
      </c>
    </row>
    <row r="741" spans="1:19" x14ac:dyDescent="0.2">
      <c r="A741" s="1" t="s">
        <v>1312</v>
      </c>
      <c r="B741" s="1" t="s">
        <v>40</v>
      </c>
      <c r="C741" s="1" t="s">
        <v>1313</v>
      </c>
      <c r="D741" s="2" t="s">
        <v>42</v>
      </c>
      <c r="E741" s="2" t="str">
        <f t="shared" si="103"/>
        <v>4</v>
      </c>
      <c r="F741" s="2" t="s">
        <v>1025</v>
      </c>
      <c r="G741" s="4" t="s">
        <v>1492</v>
      </c>
      <c r="H741" s="2">
        <f t="shared" si="104"/>
        <v>8</v>
      </c>
      <c r="I741" s="3" t="str">
        <f t="shared" si="101"/>
        <v>-</v>
      </c>
      <c r="J741" s="2" t="str">
        <f t="shared" si="102"/>
        <v>PROVISAO P/ CREDITO LIQ. DUVIDOSA</v>
      </c>
      <c r="K741" s="2" t="s">
        <v>1015</v>
      </c>
      <c r="L741" s="2" t="s">
        <v>1519</v>
      </c>
      <c r="S741" s="6" t="b">
        <f>C741='Plano de Contas sem ponto'!C741</f>
        <v>1</v>
      </c>
    </row>
    <row r="742" spans="1:19" x14ac:dyDescent="0.2">
      <c r="A742" s="1" t="s">
        <v>1314</v>
      </c>
      <c r="B742" s="1" t="s">
        <v>40</v>
      </c>
      <c r="C742" s="1" t="s">
        <v>1313</v>
      </c>
      <c r="D742" s="2" t="s">
        <v>42</v>
      </c>
      <c r="E742" s="2" t="str">
        <f t="shared" si="103"/>
        <v>4</v>
      </c>
      <c r="F742" s="2" t="s">
        <v>1025</v>
      </c>
      <c r="G742" s="4" t="s">
        <v>1492</v>
      </c>
      <c r="H742" s="2">
        <f t="shared" si="104"/>
        <v>11</v>
      </c>
      <c r="I742" s="3" t="str">
        <f t="shared" si="101"/>
        <v>4.1.3.15.01</v>
      </c>
      <c r="J742" s="2" t="str">
        <f t="shared" si="102"/>
        <v>PROVISAO P/ CREDITO LIQ. DUVIDOSA</v>
      </c>
      <c r="K742" s="2" t="s">
        <v>1015</v>
      </c>
      <c r="L742" s="2" t="s">
        <v>1519</v>
      </c>
      <c r="S742" s="6" t="b">
        <f>C742='Plano de Contas sem ponto'!C742</f>
        <v>1</v>
      </c>
    </row>
    <row r="743" spans="1:19" x14ac:dyDescent="0.2">
      <c r="A743" s="2" t="s">
        <v>1315</v>
      </c>
      <c r="B743" s="2" t="s">
        <v>54</v>
      </c>
      <c r="C743" s="2" t="s">
        <v>1313</v>
      </c>
      <c r="D743" s="2" t="s">
        <v>42</v>
      </c>
      <c r="E743" s="2" t="str">
        <f t="shared" si="103"/>
        <v>4</v>
      </c>
      <c r="F743" s="2" t="s">
        <v>1025</v>
      </c>
      <c r="G743" s="4" t="s">
        <v>1492</v>
      </c>
      <c r="H743" s="2">
        <f t="shared" si="104"/>
        <v>16</v>
      </c>
      <c r="I743" s="3" t="str">
        <f t="shared" si="101"/>
        <v>-</v>
      </c>
      <c r="J743" s="2" t="str">
        <f t="shared" si="102"/>
        <v>PROVISAO P/ CREDITO LIQ. DUVIDOSA</v>
      </c>
      <c r="K743" s="2" t="s">
        <v>1015</v>
      </c>
      <c r="L743" s="2" t="s">
        <v>1719</v>
      </c>
      <c r="M743" s="2" t="s">
        <v>1519</v>
      </c>
      <c r="S743" s="6" t="b">
        <f>C743='Plano de Contas sem ponto'!C743</f>
        <v>1</v>
      </c>
    </row>
    <row r="744" spans="1:19" x14ac:dyDescent="0.2">
      <c r="A744" s="1" t="s">
        <v>1316</v>
      </c>
      <c r="B744" s="1" t="s">
        <v>40</v>
      </c>
      <c r="C744" s="1" t="s">
        <v>1317</v>
      </c>
      <c r="D744" s="2" t="s">
        <v>196</v>
      </c>
      <c r="E744" s="2" t="str">
        <f t="shared" si="103"/>
        <v>4</v>
      </c>
      <c r="F744" s="2" t="s">
        <v>1025</v>
      </c>
      <c r="G744" s="4" t="s">
        <v>1492</v>
      </c>
      <c r="H744" s="2">
        <f t="shared" si="104"/>
        <v>8</v>
      </c>
      <c r="I744" s="3" t="str">
        <f t="shared" si="101"/>
        <v>-</v>
      </c>
      <c r="J744" s="2" t="str">
        <f t="shared" si="102"/>
        <v>CREDITO DE COFINS</v>
      </c>
      <c r="K744" s="2" t="s">
        <v>1015</v>
      </c>
      <c r="L744" s="2" t="s">
        <v>1719</v>
      </c>
      <c r="M744" s="6" t="s">
        <v>1676</v>
      </c>
      <c r="S744" s="6" t="b">
        <f>C744='Plano de Contas sem ponto'!C744</f>
        <v>1</v>
      </c>
    </row>
    <row r="745" spans="1:19" x14ac:dyDescent="0.2">
      <c r="A745" s="1" t="s">
        <v>1318</v>
      </c>
      <c r="B745" s="1" t="s">
        <v>40</v>
      </c>
      <c r="C745" s="1" t="s">
        <v>1319</v>
      </c>
      <c r="D745" s="2" t="s">
        <v>196</v>
      </c>
      <c r="E745" s="2" t="str">
        <f t="shared" si="103"/>
        <v>4</v>
      </c>
      <c r="F745" s="2" t="s">
        <v>1025</v>
      </c>
      <c r="G745" s="4" t="s">
        <v>1492</v>
      </c>
      <c r="H745" s="2">
        <f t="shared" si="104"/>
        <v>11</v>
      </c>
      <c r="I745" s="3" t="str">
        <f t="shared" si="101"/>
        <v>4.1.3.16.01</v>
      </c>
      <c r="J745" s="2" t="str">
        <f t="shared" si="102"/>
        <v>CREDITO DE COFINS - LEI 10.833</v>
      </c>
      <c r="K745" s="2" t="s">
        <v>1015</v>
      </c>
      <c r="L745" s="2" t="s">
        <v>1719</v>
      </c>
      <c r="M745" s="6" t="s">
        <v>1676</v>
      </c>
      <c r="S745" s="6" t="b">
        <f>C745='Plano de Contas sem ponto'!C745</f>
        <v>1</v>
      </c>
    </row>
    <row r="746" spans="1:19" x14ac:dyDescent="0.2">
      <c r="A746" s="2" t="s">
        <v>1320</v>
      </c>
      <c r="B746" s="2" t="s">
        <v>54</v>
      </c>
      <c r="C746" s="2" t="s">
        <v>1321</v>
      </c>
      <c r="D746" s="2" t="s">
        <v>196</v>
      </c>
      <c r="E746" s="2" t="str">
        <f t="shared" si="103"/>
        <v>4</v>
      </c>
      <c r="F746" s="2" t="s">
        <v>1025</v>
      </c>
      <c r="G746" s="4" t="s">
        <v>1492</v>
      </c>
      <c r="H746" s="2">
        <f t="shared" si="104"/>
        <v>16</v>
      </c>
      <c r="I746" s="3" t="str">
        <f t="shared" si="101"/>
        <v>-</v>
      </c>
      <c r="J746" s="2" t="str">
        <f t="shared" si="102"/>
        <v>CREDITO DE COFINS - LEI 10.833</v>
      </c>
      <c r="K746" s="2" t="s">
        <v>1015</v>
      </c>
      <c r="L746" s="2" t="s">
        <v>1719</v>
      </c>
      <c r="M746" s="6" t="s">
        <v>1676</v>
      </c>
      <c r="S746" s="6" t="b">
        <f>C746='Plano de Contas sem ponto'!C746</f>
        <v>1</v>
      </c>
    </row>
    <row r="747" spans="1:19" x14ac:dyDescent="0.2">
      <c r="A747" s="1" t="s">
        <v>1322</v>
      </c>
      <c r="B747" s="1" t="s">
        <v>40</v>
      </c>
      <c r="C747" s="1" t="s">
        <v>1323</v>
      </c>
      <c r="D747" s="2" t="s">
        <v>42</v>
      </c>
      <c r="E747" s="2" t="str">
        <f t="shared" si="103"/>
        <v>4</v>
      </c>
      <c r="F747" s="2" t="s">
        <v>1025</v>
      </c>
      <c r="G747" s="4" t="s">
        <v>1492</v>
      </c>
      <c r="H747" s="2">
        <f t="shared" si="104"/>
        <v>8</v>
      </c>
      <c r="I747" s="3" t="str">
        <f t="shared" si="101"/>
        <v>-</v>
      </c>
      <c r="J747" s="2" t="str">
        <f t="shared" si="102"/>
        <v>OUTRAS DESPESAS ADMINISTRATIVAS</v>
      </c>
      <c r="K747" s="2" t="s">
        <v>1015</v>
      </c>
      <c r="L747" s="6" t="s">
        <v>1599</v>
      </c>
      <c r="S747" s="6" t="b">
        <f>C747='Plano de Contas sem ponto'!C747</f>
        <v>1</v>
      </c>
    </row>
    <row r="748" spans="1:19" x14ac:dyDescent="0.2">
      <c r="A748" s="1" t="s">
        <v>1324</v>
      </c>
      <c r="B748" s="1" t="s">
        <v>40</v>
      </c>
      <c r="C748" s="1" t="s">
        <v>1323</v>
      </c>
      <c r="D748" s="2" t="s">
        <v>42</v>
      </c>
      <c r="E748" s="2" t="str">
        <f t="shared" si="103"/>
        <v>4</v>
      </c>
      <c r="F748" s="2" t="s">
        <v>1025</v>
      </c>
      <c r="G748" s="4" t="s">
        <v>1492</v>
      </c>
      <c r="H748" s="2">
        <f t="shared" si="104"/>
        <v>11</v>
      </c>
      <c r="I748" s="3" t="str">
        <f t="shared" si="101"/>
        <v>4.1.3.17.01</v>
      </c>
      <c r="J748" s="2" t="str">
        <f t="shared" si="102"/>
        <v>OUTRAS DESPESAS ADMINISTRATIVAS</v>
      </c>
      <c r="K748" s="2" t="s">
        <v>1015</v>
      </c>
      <c r="L748" s="6" t="s">
        <v>1599</v>
      </c>
      <c r="S748" s="6" t="b">
        <f>C748='Plano de Contas sem ponto'!C748</f>
        <v>1</v>
      </c>
    </row>
    <row r="749" spans="1:19" x14ac:dyDescent="0.2">
      <c r="A749" s="2" t="s">
        <v>1325</v>
      </c>
      <c r="B749" s="2" t="s">
        <v>54</v>
      </c>
      <c r="C749" s="2" t="s">
        <v>1326</v>
      </c>
      <c r="D749" s="2" t="s">
        <v>42</v>
      </c>
      <c r="E749" s="2" t="str">
        <f t="shared" si="103"/>
        <v>4</v>
      </c>
      <c r="F749" s="2" t="s">
        <v>1025</v>
      </c>
      <c r="G749" s="4" t="s">
        <v>1492</v>
      </c>
      <c r="H749" s="2">
        <f t="shared" si="104"/>
        <v>16</v>
      </c>
      <c r="I749" s="3" t="str">
        <f t="shared" si="101"/>
        <v>-</v>
      </c>
      <c r="J749" s="2" t="str">
        <f t="shared" si="102"/>
        <v>OUTRAS DESPESAS ADMINISTRATIVAS</v>
      </c>
      <c r="K749" s="2" t="s">
        <v>1015</v>
      </c>
      <c r="L749" s="2" t="s">
        <v>1719</v>
      </c>
      <c r="M749" s="6" t="s">
        <v>1677</v>
      </c>
      <c r="S749" s="6" t="b">
        <f>C749='Plano de Contas sem ponto'!C749</f>
        <v>1</v>
      </c>
    </row>
    <row r="750" spans="1:19" x14ac:dyDescent="0.2">
      <c r="A750" s="2" t="s">
        <v>1327</v>
      </c>
      <c r="B750" s="2" t="s">
        <v>54</v>
      </c>
      <c r="C750" s="2" t="s">
        <v>1328</v>
      </c>
      <c r="D750" s="2" t="s">
        <v>42</v>
      </c>
      <c r="E750" s="2" t="str">
        <f t="shared" si="103"/>
        <v>4</v>
      </c>
      <c r="F750" s="2" t="s">
        <v>1025</v>
      </c>
      <c r="G750" s="4" t="s">
        <v>1492</v>
      </c>
      <c r="H750" s="2">
        <f t="shared" si="104"/>
        <v>16</v>
      </c>
      <c r="I750" s="3" t="str">
        <f t="shared" si="101"/>
        <v>-</v>
      </c>
      <c r="J750" s="2" t="str">
        <f t="shared" si="102"/>
        <v>OUTRAS DESPESAS ADMINISTRATIVAS</v>
      </c>
      <c r="K750" s="2" t="s">
        <v>1015</v>
      </c>
      <c r="L750" s="2" t="s">
        <v>1719</v>
      </c>
      <c r="M750" s="6" t="s">
        <v>1678</v>
      </c>
      <c r="S750" s="6" t="b">
        <f>C750='Plano de Contas sem ponto'!C750</f>
        <v>1</v>
      </c>
    </row>
    <row r="751" spans="1:19" x14ac:dyDescent="0.2">
      <c r="A751" s="2" t="s">
        <v>1329</v>
      </c>
      <c r="B751" s="2" t="s">
        <v>54</v>
      </c>
      <c r="C751" s="2" t="s">
        <v>1330</v>
      </c>
      <c r="D751" s="2" t="s">
        <v>42</v>
      </c>
      <c r="E751" s="2" t="str">
        <f t="shared" si="103"/>
        <v>4</v>
      </c>
      <c r="F751" s="2" t="s">
        <v>1025</v>
      </c>
      <c r="G751" s="4" t="s">
        <v>1492</v>
      </c>
      <c r="H751" s="2">
        <f t="shared" si="104"/>
        <v>16</v>
      </c>
      <c r="I751" s="3" t="str">
        <f t="shared" si="101"/>
        <v>-</v>
      </c>
      <c r="J751" s="2" t="str">
        <f t="shared" si="102"/>
        <v>OUTRAS DESPESAS ADMINISTRATIVAS</v>
      </c>
      <c r="K751" s="2" t="s">
        <v>1015</v>
      </c>
      <c r="L751" s="2" t="s">
        <v>1719</v>
      </c>
      <c r="M751" s="6" t="s">
        <v>1680</v>
      </c>
      <c r="S751" s="6" t="b">
        <f>C751='Plano de Contas sem ponto'!C751</f>
        <v>1</v>
      </c>
    </row>
    <row r="752" spans="1:19" x14ac:dyDescent="0.2">
      <c r="A752" s="2" t="s">
        <v>1331</v>
      </c>
      <c r="B752" s="2" t="s">
        <v>54</v>
      </c>
      <c r="C752" s="2" t="s">
        <v>1332</v>
      </c>
      <c r="D752" s="2" t="s">
        <v>42</v>
      </c>
      <c r="E752" s="2" t="str">
        <f t="shared" si="103"/>
        <v>4</v>
      </c>
      <c r="F752" s="2" t="s">
        <v>1025</v>
      </c>
      <c r="G752" s="4" t="s">
        <v>1492</v>
      </c>
      <c r="H752" s="2">
        <f t="shared" si="104"/>
        <v>16</v>
      </c>
      <c r="I752" s="3" t="str">
        <f t="shared" si="101"/>
        <v>-</v>
      </c>
      <c r="J752" s="2" t="str">
        <f t="shared" si="102"/>
        <v>OUTRAS DESPESAS ADMINISTRATIVAS</v>
      </c>
      <c r="K752" s="2" t="s">
        <v>1015</v>
      </c>
      <c r="L752" s="2" t="s">
        <v>1719</v>
      </c>
      <c r="M752" s="6" t="s">
        <v>1679</v>
      </c>
      <c r="S752" s="6" t="b">
        <f>C752='Plano de Contas sem ponto'!C752</f>
        <v>1</v>
      </c>
    </row>
    <row r="753" spans="1:19" x14ac:dyDescent="0.2">
      <c r="A753" s="2" t="s">
        <v>1333</v>
      </c>
      <c r="B753" s="2" t="s">
        <v>54</v>
      </c>
      <c r="C753" s="2" t="s">
        <v>1334</v>
      </c>
      <c r="D753" s="2" t="s">
        <v>42</v>
      </c>
      <c r="E753" s="2" t="str">
        <f t="shared" si="103"/>
        <v>4</v>
      </c>
      <c r="F753" s="2" t="s">
        <v>1025</v>
      </c>
      <c r="G753" s="4" t="s">
        <v>1492</v>
      </c>
      <c r="H753" s="2">
        <f t="shared" si="104"/>
        <v>16</v>
      </c>
      <c r="I753" s="3" t="str">
        <f t="shared" si="101"/>
        <v>-</v>
      </c>
      <c r="J753" s="2" t="str">
        <f t="shared" si="102"/>
        <v>OUTRAS DESPESAS ADMINISTRATIVAS</v>
      </c>
      <c r="K753" s="2" t="s">
        <v>1015</v>
      </c>
      <c r="L753" s="2" t="s">
        <v>1719</v>
      </c>
      <c r="M753" s="6" t="s">
        <v>1681</v>
      </c>
      <c r="S753" s="6" t="b">
        <f>C753='Plano de Contas sem ponto'!C753</f>
        <v>1</v>
      </c>
    </row>
    <row r="754" spans="1:19" x14ac:dyDescent="0.2">
      <c r="A754" s="2" t="s">
        <v>1335</v>
      </c>
      <c r="B754" s="2" t="s">
        <v>54</v>
      </c>
      <c r="C754" s="2" t="s">
        <v>1323</v>
      </c>
      <c r="D754" s="2" t="s">
        <v>42</v>
      </c>
      <c r="E754" s="2" t="str">
        <f t="shared" si="103"/>
        <v>4</v>
      </c>
      <c r="F754" s="2" t="s">
        <v>1025</v>
      </c>
      <c r="G754" s="4" t="s">
        <v>1492</v>
      </c>
      <c r="H754" s="2">
        <f t="shared" si="104"/>
        <v>16</v>
      </c>
      <c r="I754" s="3" t="str">
        <f t="shared" si="101"/>
        <v>-</v>
      </c>
      <c r="J754" s="2" t="str">
        <f t="shared" si="102"/>
        <v>OUTRAS DESPESAS ADMINISTRATIVAS</v>
      </c>
      <c r="K754" s="2" t="s">
        <v>1015</v>
      </c>
      <c r="L754" s="2" t="s">
        <v>1719</v>
      </c>
      <c r="M754" s="6" t="s">
        <v>1682</v>
      </c>
      <c r="S754" s="6" t="b">
        <f>C754='Plano de Contas sem ponto'!C754</f>
        <v>1</v>
      </c>
    </row>
    <row r="755" spans="1:19" x14ac:dyDescent="0.2">
      <c r="A755" s="2" t="s">
        <v>1336</v>
      </c>
      <c r="B755" s="2" t="s">
        <v>54</v>
      </c>
      <c r="C755" s="2" t="s">
        <v>1337</v>
      </c>
      <c r="D755" s="2" t="s">
        <v>42</v>
      </c>
      <c r="E755" s="2" t="str">
        <f t="shared" si="103"/>
        <v>4</v>
      </c>
      <c r="F755" s="2" t="s">
        <v>1025</v>
      </c>
      <c r="G755" s="4" t="s">
        <v>1492</v>
      </c>
      <c r="H755" s="2">
        <f t="shared" si="104"/>
        <v>16</v>
      </c>
      <c r="I755" s="3" t="str">
        <f t="shared" si="101"/>
        <v>-</v>
      </c>
      <c r="J755" s="2" t="str">
        <f t="shared" si="102"/>
        <v>OUTRAS DESPESAS ADMINISTRATIVAS</v>
      </c>
      <c r="K755" s="2" t="s">
        <v>1015</v>
      </c>
      <c r="L755" s="2" t="s">
        <v>1719</v>
      </c>
      <c r="M755" s="6" t="s">
        <v>1683</v>
      </c>
      <c r="S755" s="6" t="b">
        <f>C755='Plano de Contas sem ponto'!C755</f>
        <v>1</v>
      </c>
    </row>
    <row r="756" spans="1:19" x14ac:dyDescent="0.2">
      <c r="A756" s="2" t="s">
        <v>1338</v>
      </c>
      <c r="B756" s="2" t="s">
        <v>54</v>
      </c>
      <c r="C756" s="11" t="s">
        <v>1525</v>
      </c>
      <c r="D756" s="2" t="s">
        <v>42</v>
      </c>
      <c r="E756" s="2" t="str">
        <f t="shared" si="103"/>
        <v>4</v>
      </c>
      <c r="F756" s="2" t="s">
        <v>1025</v>
      </c>
      <c r="G756" s="4" t="s">
        <v>1492</v>
      </c>
      <c r="H756" s="2">
        <f t="shared" si="104"/>
        <v>16</v>
      </c>
      <c r="I756" s="3" t="str">
        <f t="shared" si="101"/>
        <v>-</v>
      </c>
      <c r="J756" s="2" t="str">
        <f t="shared" si="102"/>
        <v>OUTRAS DESPESAS ADMINISTRATIVAS</v>
      </c>
      <c r="K756" s="2" t="s">
        <v>1015</v>
      </c>
      <c r="L756" s="2" t="s">
        <v>1719</v>
      </c>
      <c r="M756" s="6" t="s">
        <v>1684</v>
      </c>
      <c r="S756" s="6" t="b">
        <f>C756='Plano de Contas sem ponto'!C756</f>
        <v>1</v>
      </c>
    </row>
    <row r="757" spans="1:19" x14ac:dyDescent="0.2">
      <c r="A757" s="2" t="s">
        <v>1339</v>
      </c>
      <c r="B757" s="2" t="s">
        <v>54</v>
      </c>
      <c r="C757" s="2" t="s">
        <v>1526</v>
      </c>
      <c r="D757" s="2" t="s">
        <v>42</v>
      </c>
      <c r="E757" s="2" t="str">
        <f t="shared" si="103"/>
        <v>4</v>
      </c>
      <c r="F757" s="2" t="s">
        <v>1025</v>
      </c>
      <c r="G757" s="4" t="s">
        <v>1492</v>
      </c>
      <c r="H757" s="2">
        <f t="shared" si="104"/>
        <v>16</v>
      </c>
      <c r="I757" s="3" t="str">
        <f t="shared" si="101"/>
        <v>-</v>
      </c>
      <c r="J757" s="2" t="str">
        <f t="shared" si="102"/>
        <v>OUTRAS DESPESAS ADMINISTRATIVAS</v>
      </c>
      <c r="K757" s="2" t="s">
        <v>1015</v>
      </c>
      <c r="L757" s="2" t="s">
        <v>1719</v>
      </c>
      <c r="M757" s="6" t="s">
        <v>1685</v>
      </c>
      <c r="S757" s="6" t="b">
        <f>C757='Plano de Contas sem ponto'!C757</f>
        <v>1</v>
      </c>
    </row>
    <row r="758" spans="1:19" x14ac:dyDescent="0.2">
      <c r="A758" s="2" t="s">
        <v>1340</v>
      </c>
      <c r="B758" s="2" t="s">
        <v>54</v>
      </c>
      <c r="C758" s="2" t="s">
        <v>1341</v>
      </c>
      <c r="D758" s="2" t="s">
        <v>42</v>
      </c>
      <c r="E758" s="2" t="str">
        <f t="shared" si="103"/>
        <v>4</v>
      </c>
      <c r="F758" s="2" t="s">
        <v>1025</v>
      </c>
      <c r="G758" s="4" t="s">
        <v>1492</v>
      </c>
      <c r="H758" s="2">
        <f t="shared" si="104"/>
        <v>16</v>
      </c>
      <c r="I758" s="3" t="str">
        <f t="shared" si="101"/>
        <v>-</v>
      </c>
      <c r="J758" s="2" t="str">
        <f t="shared" si="102"/>
        <v>OUTRAS DESPESAS ADMINISTRATIVAS</v>
      </c>
      <c r="K758" s="2" t="s">
        <v>1015</v>
      </c>
      <c r="L758" s="2" t="s">
        <v>1719</v>
      </c>
      <c r="M758" s="6" t="s">
        <v>1686</v>
      </c>
      <c r="S758" s="6" t="b">
        <f>C758='Plano de Contas sem ponto'!C758</f>
        <v>1</v>
      </c>
    </row>
    <row r="759" spans="1:19" x14ac:dyDescent="0.2">
      <c r="A759" s="2" t="s">
        <v>1342</v>
      </c>
      <c r="B759" s="2" t="s">
        <v>54</v>
      </c>
      <c r="C759" s="2" t="s">
        <v>1343</v>
      </c>
      <c r="D759" s="2" t="s">
        <v>42</v>
      </c>
      <c r="E759" s="2" t="str">
        <f t="shared" si="103"/>
        <v>4</v>
      </c>
      <c r="F759" s="2" t="s">
        <v>1025</v>
      </c>
      <c r="G759" s="4" t="s">
        <v>1492</v>
      </c>
      <c r="H759" s="2">
        <f t="shared" si="104"/>
        <v>16</v>
      </c>
      <c r="I759" s="3" t="str">
        <f t="shared" si="101"/>
        <v>-</v>
      </c>
      <c r="J759" s="2" t="str">
        <f t="shared" si="102"/>
        <v>OUTRAS DESPESAS ADMINISTRATIVAS</v>
      </c>
      <c r="K759" s="2" t="s">
        <v>1015</v>
      </c>
      <c r="L759" s="2" t="s">
        <v>1719</v>
      </c>
      <c r="M759" s="6" t="s">
        <v>1687</v>
      </c>
      <c r="S759" s="6" t="b">
        <f>C759='Plano de Contas sem ponto'!C759</f>
        <v>1</v>
      </c>
    </row>
    <row r="760" spans="1:19" x14ac:dyDescent="0.2">
      <c r="A760" s="9" t="s">
        <v>1344</v>
      </c>
      <c r="B760" s="9" t="s">
        <v>54</v>
      </c>
      <c r="C760" s="9" t="s">
        <v>1345</v>
      </c>
      <c r="D760" s="2" t="s">
        <v>42</v>
      </c>
      <c r="E760" s="2" t="str">
        <f t="shared" si="103"/>
        <v>4</v>
      </c>
      <c r="F760" s="2" t="s">
        <v>1025</v>
      </c>
      <c r="G760" s="4" t="s">
        <v>1492</v>
      </c>
      <c r="H760" s="2">
        <f t="shared" si="104"/>
        <v>16</v>
      </c>
      <c r="I760" s="3" t="str">
        <f t="shared" si="101"/>
        <v>-</v>
      </c>
      <c r="J760" s="2" t="str">
        <f t="shared" si="102"/>
        <v>OUTRAS DESPESAS ADMINISTRATIVAS</v>
      </c>
      <c r="K760" s="2" t="s">
        <v>1015</v>
      </c>
      <c r="L760" s="2" t="s">
        <v>1719</v>
      </c>
      <c r="M760" s="6" t="s">
        <v>1688</v>
      </c>
      <c r="S760" s="6" t="b">
        <f>C760='Plano de Contas sem ponto'!C760</f>
        <v>1</v>
      </c>
    </row>
    <row r="761" spans="1:19" x14ac:dyDescent="0.2">
      <c r="A761" s="1" t="s">
        <v>1346</v>
      </c>
      <c r="B761" s="1" t="s">
        <v>40</v>
      </c>
      <c r="C761" s="1" t="s">
        <v>1347</v>
      </c>
      <c r="D761" s="2" t="s">
        <v>42</v>
      </c>
      <c r="E761" s="2" t="str">
        <f t="shared" si="103"/>
        <v>4</v>
      </c>
      <c r="F761" s="2" t="s">
        <v>1025</v>
      </c>
      <c r="G761" s="4" t="s">
        <v>1492</v>
      </c>
      <c r="H761" s="2">
        <f t="shared" si="104"/>
        <v>8</v>
      </c>
      <c r="I761" s="3" t="str">
        <f t="shared" si="101"/>
        <v>-</v>
      </c>
      <c r="J761" s="2" t="str">
        <f t="shared" si="102"/>
        <v>DEPRECIACAO / AMORTIZACAO</v>
      </c>
      <c r="K761" s="2" t="s">
        <v>1015</v>
      </c>
      <c r="L761" s="2" t="s">
        <v>1516</v>
      </c>
      <c r="M761" s="2" t="s">
        <v>1518</v>
      </c>
      <c r="S761" s="6" t="b">
        <f>C761='Plano de Contas sem ponto'!C761</f>
        <v>1</v>
      </c>
    </row>
    <row r="762" spans="1:19" x14ac:dyDescent="0.2">
      <c r="A762" s="1" t="s">
        <v>1348</v>
      </c>
      <c r="B762" s="1" t="s">
        <v>40</v>
      </c>
      <c r="C762" s="1" t="s">
        <v>1347</v>
      </c>
      <c r="D762" s="2" t="s">
        <v>42</v>
      </c>
      <c r="E762" s="2" t="str">
        <f t="shared" si="103"/>
        <v>4</v>
      </c>
      <c r="F762" s="2" t="s">
        <v>1025</v>
      </c>
      <c r="G762" s="4" t="s">
        <v>1492</v>
      </c>
      <c r="H762" s="2">
        <f t="shared" si="104"/>
        <v>11</v>
      </c>
      <c r="I762" s="3" t="str">
        <f t="shared" si="101"/>
        <v>4.1.3.18.01</v>
      </c>
      <c r="J762" s="2" t="str">
        <f t="shared" si="102"/>
        <v>DEPRECIACAO / AMORTIZACAO</v>
      </c>
      <c r="K762" s="2" t="s">
        <v>1015</v>
      </c>
      <c r="L762" s="2" t="s">
        <v>1516</v>
      </c>
      <c r="M762" s="2" t="s">
        <v>1518</v>
      </c>
      <c r="S762" s="6" t="b">
        <f>C762='Plano de Contas sem ponto'!C762</f>
        <v>1</v>
      </c>
    </row>
    <row r="763" spans="1:19" x14ac:dyDescent="0.2">
      <c r="A763" s="2" t="s">
        <v>1349</v>
      </c>
      <c r="B763" s="2" t="s">
        <v>54</v>
      </c>
      <c r="C763" s="2" t="s">
        <v>389</v>
      </c>
      <c r="D763" s="2" t="s">
        <v>42</v>
      </c>
      <c r="E763" s="2" t="str">
        <f t="shared" si="103"/>
        <v>4</v>
      </c>
      <c r="F763" s="2" t="s">
        <v>1025</v>
      </c>
      <c r="G763" s="4" t="s">
        <v>1492</v>
      </c>
      <c r="H763" s="2">
        <f t="shared" si="104"/>
        <v>16</v>
      </c>
      <c r="I763" s="3" t="str">
        <f t="shared" si="101"/>
        <v>-</v>
      </c>
      <c r="J763" s="2" t="str">
        <f t="shared" si="102"/>
        <v>DEPRECIACAO / AMORTIZACAO</v>
      </c>
      <c r="K763" s="2" t="s">
        <v>1015</v>
      </c>
      <c r="L763" s="2" t="s">
        <v>1516</v>
      </c>
      <c r="M763" s="2" t="s">
        <v>1518</v>
      </c>
      <c r="S763" s="6" t="b">
        <f>C763='Plano de Contas sem ponto'!C763</f>
        <v>1</v>
      </c>
    </row>
    <row r="764" spans="1:19" x14ac:dyDescent="0.2">
      <c r="A764" s="2" t="s">
        <v>1350</v>
      </c>
      <c r="B764" s="2" t="s">
        <v>54</v>
      </c>
      <c r="C764" s="2" t="s">
        <v>391</v>
      </c>
      <c r="D764" s="2" t="s">
        <v>42</v>
      </c>
      <c r="E764" s="2" t="str">
        <f t="shared" si="103"/>
        <v>4</v>
      </c>
      <c r="F764" s="2" t="s">
        <v>1025</v>
      </c>
      <c r="G764" s="4" t="s">
        <v>1492</v>
      </c>
      <c r="H764" s="2">
        <f t="shared" si="104"/>
        <v>16</v>
      </c>
      <c r="I764" s="3" t="str">
        <f t="shared" si="101"/>
        <v>-</v>
      </c>
      <c r="J764" s="2" t="str">
        <f t="shared" si="102"/>
        <v>DEPRECIACAO / AMORTIZACAO</v>
      </c>
      <c r="K764" s="2" t="s">
        <v>1015</v>
      </c>
      <c r="L764" s="2" t="s">
        <v>1516</v>
      </c>
      <c r="M764" s="2" t="s">
        <v>1518</v>
      </c>
      <c r="S764" s="6" t="b">
        <f>C764='Plano de Contas sem ponto'!C764</f>
        <v>1</v>
      </c>
    </row>
    <row r="765" spans="1:19" x14ac:dyDescent="0.2">
      <c r="A765" s="2" t="s">
        <v>1351</v>
      </c>
      <c r="B765" s="2" t="s">
        <v>54</v>
      </c>
      <c r="C765" s="2" t="s">
        <v>393</v>
      </c>
      <c r="D765" s="2" t="s">
        <v>42</v>
      </c>
      <c r="E765" s="2" t="str">
        <f t="shared" si="103"/>
        <v>4</v>
      </c>
      <c r="F765" s="2" t="s">
        <v>1025</v>
      </c>
      <c r="G765" s="4" t="s">
        <v>1492</v>
      </c>
      <c r="H765" s="2">
        <f t="shared" si="104"/>
        <v>16</v>
      </c>
      <c r="I765" s="3" t="str">
        <f t="shared" si="101"/>
        <v>-</v>
      </c>
      <c r="J765" s="2" t="str">
        <f t="shared" si="102"/>
        <v>DEPRECIACAO / AMORTIZACAO</v>
      </c>
      <c r="K765" s="2" t="s">
        <v>1015</v>
      </c>
      <c r="L765" s="2" t="s">
        <v>1516</v>
      </c>
      <c r="M765" s="2" t="s">
        <v>1518</v>
      </c>
      <c r="S765" s="6" t="b">
        <f>C765='Plano de Contas sem ponto'!C765</f>
        <v>1</v>
      </c>
    </row>
    <row r="766" spans="1:19" x14ac:dyDescent="0.2">
      <c r="A766" s="2" t="s">
        <v>1352</v>
      </c>
      <c r="B766" s="2" t="s">
        <v>54</v>
      </c>
      <c r="C766" s="2" t="s">
        <v>395</v>
      </c>
      <c r="D766" s="2" t="s">
        <v>42</v>
      </c>
      <c r="E766" s="2" t="str">
        <f t="shared" si="103"/>
        <v>4</v>
      </c>
      <c r="F766" s="2" t="s">
        <v>1025</v>
      </c>
      <c r="G766" s="4" t="s">
        <v>1492</v>
      </c>
      <c r="H766" s="2">
        <f t="shared" si="104"/>
        <v>16</v>
      </c>
      <c r="I766" s="3" t="str">
        <f t="shared" si="101"/>
        <v>-</v>
      </c>
      <c r="J766" s="2" t="str">
        <f t="shared" si="102"/>
        <v>DEPRECIACAO / AMORTIZACAO</v>
      </c>
      <c r="K766" s="2" t="s">
        <v>1015</v>
      </c>
      <c r="L766" s="2" t="s">
        <v>1516</v>
      </c>
      <c r="M766" s="2" t="s">
        <v>1518</v>
      </c>
      <c r="S766" s="6" t="b">
        <f>C766='Plano de Contas sem ponto'!C766</f>
        <v>1</v>
      </c>
    </row>
    <row r="767" spans="1:19" x14ac:dyDescent="0.2">
      <c r="A767" s="2" t="s">
        <v>1353</v>
      </c>
      <c r="B767" s="2" t="s">
        <v>54</v>
      </c>
      <c r="C767" s="2" t="s">
        <v>397</v>
      </c>
      <c r="D767" s="2" t="s">
        <v>42</v>
      </c>
      <c r="E767" s="2" t="str">
        <f t="shared" si="103"/>
        <v>4</v>
      </c>
      <c r="F767" s="2" t="s">
        <v>1025</v>
      </c>
      <c r="G767" s="4" t="s">
        <v>1492</v>
      </c>
      <c r="H767" s="2">
        <f t="shared" si="104"/>
        <v>16</v>
      </c>
      <c r="I767" s="3" t="str">
        <f t="shared" si="101"/>
        <v>-</v>
      </c>
      <c r="J767" s="2" t="str">
        <f t="shared" si="102"/>
        <v>DEPRECIACAO / AMORTIZACAO</v>
      </c>
      <c r="K767" s="2" t="s">
        <v>1015</v>
      </c>
      <c r="L767" s="2" t="s">
        <v>1516</v>
      </c>
      <c r="M767" s="2" t="s">
        <v>1518</v>
      </c>
      <c r="S767" s="6" t="b">
        <f>C767='Plano de Contas sem ponto'!C767</f>
        <v>1</v>
      </c>
    </row>
    <row r="768" spans="1:19" x14ac:dyDescent="0.2">
      <c r="A768" s="2" t="s">
        <v>1354</v>
      </c>
      <c r="B768" s="2" t="s">
        <v>54</v>
      </c>
      <c r="C768" s="2" t="s">
        <v>401</v>
      </c>
      <c r="D768" s="2" t="s">
        <v>42</v>
      </c>
      <c r="E768" s="2" t="str">
        <f t="shared" si="103"/>
        <v>4</v>
      </c>
      <c r="F768" s="2" t="s">
        <v>1025</v>
      </c>
      <c r="G768" s="4" t="s">
        <v>1492</v>
      </c>
      <c r="H768" s="2">
        <f t="shared" si="104"/>
        <v>16</v>
      </c>
      <c r="I768" s="3" t="str">
        <f t="shared" si="101"/>
        <v>-</v>
      </c>
      <c r="J768" s="2" t="str">
        <f t="shared" si="102"/>
        <v>DEPRECIACAO / AMORTIZACAO</v>
      </c>
      <c r="K768" s="2" t="s">
        <v>1015</v>
      </c>
      <c r="L768" s="2" t="s">
        <v>1516</v>
      </c>
      <c r="M768" s="2" t="s">
        <v>1518</v>
      </c>
      <c r="S768" s="6" t="b">
        <f>C768='Plano de Contas sem ponto'!C768</f>
        <v>1</v>
      </c>
    </row>
    <row r="769" spans="1:19" x14ac:dyDescent="0.2">
      <c r="A769" s="2" t="s">
        <v>1355</v>
      </c>
      <c r="B769" s="2" t="s">
        <v>54</v>
      </c>
      <c r="C769" s="2" t="s">
        <v>403</v>
      </c>
      <c r="D769" s="2" t="s">
        <v>42</v>
      </c>
      <c r="E769" s="2" t="str">
        <f t="shared" si="103"/>
        <v>4</v>
      </c>
      <c r="F769" s="2" t="s">
        <v>1025</v>
      </c>
      <c r="G769" s="4" t="s">
        <v>1492</v>
      </c>
      <c r="H769" s="2">
        <f t="shared" si="104"/>
        <v>16</v>
      </c>
      <c r="I769" s="3" t="str">
        <f t="shared" si="101"/>
        <v>-</v>
      </c>
      <c r="J769" s="2" t="str">
        <f t="shared" si="102"/>
        <v>DEPRECIACAO / AMORTIZACAO</v>
      </c>
      <c r="K769" s="2" t="s">
        <v>1015</v>
      </c>
      <c r="L769" s="2" t="s">
        <v>1516</v>
      </c>
      <c r="M769" s="2" t="s">
        <v>1518</v>
      </c>
      <c r="S769" s="6" t="b">
        <f>C769='Plano de Contas sem ponto'!C769</f>
        <v>1</v>
      </c>
    </row>
    <row r="770" spans="1:19" x14ac:dyDescent="0.2">
      <c r="A770" s="2" t="s">
        <v>1356</v>
      </c>
      <c r="B770" s="2" t="s">
        <v>54</v>
      </c>
      <c r="C770" s="2" t="s">
        <v>405</v>
      </c>
      <c r="D770" s="2" t="s">
        <v>42</v>
      </c>
      <c r="E770" s="2" t="str">
        <f t="shared" si="103"/>
        <v>4</v>
      </c>
      <c r="F770" s="2" t="s">
        <v>1025</v>
      </c>
      <c r="G770" s="4" t="s">
        <v>1492</v>
      </c>
      <c r="H770" s="2">
        <f t="shared" si="104"/>
        <v>16</v>
      </c>
      <c r="I770" s="3" t="str">
        <f t="shared" si="101"/>
        <v>-</v>
      </c>
      <c r="J770" s="2" t="str">
        <f t="shared" si="102"/>
        <v>DEPRECIACAO / AMORTIZACAO</v>
      </c>
      <c r="K770" s="2" t="s">
        <v>1015</v>
      </c>
      <c r="L770" s="2" t="s">
        <v>1516</v>
      </c>
      <c r="M770" s="2" t="s">
        <v>1518</v>
      </c>
      <c r="S770" s="6" t="b">
        <f>C770='Plano de Contas sem ponto'!C770</f>
        <v>1</v>
      </c>
    </row>
    <row r="771" spans="1:19" x14ac:dyDescent="0.2">
      <c r="A771" s="2" t="s">
        <v>1357</v>
      </c>
      <c r="B771" s="2" t="s">
        <v>54</v>
      </c>
      <c r="C771" s="2" t="s">
        <v>1358</v>
      </c>
      <c r="D771" s="2" t="s">
        <v>42</v>
      </c>
      <c r="E771" s="2" t="str">
        <f t="shared" si="103"/>
        <v>4</v>
      </c>
      <c r="F771" s="2" t="s">
        <v>1025</v>
      </c>
      <c r="G771" s="4" t="s">
        <v>1492</v>
      </c>
      <c r="H771" s="2">
        <f t="shared" si="104"/>
        <v>16</v>
      </c>
      <c r="I771" s="3" t="str">
        <f t="shared" si="101"/>
        <v>-</v>
      </c>
      <c r="J771" s="2" t="str">
        <f t="shared" si="102"/>
        <v>DEPRECIACAO / AMORTIZACAO</v>
      </c>
      <c r="K771" s="2" t="s">
        <v>1015</v>
      </c>
      <c r="L771" s="2" t="s">
        <v>1516</v>
      </c>
      <c r="M771" s="2" t="s">
        <v>1518</v>
      </c>
      <c r="S771" s="6" t="b">
        <f>C771='Plano de Contas sem ponto'!C771</f>
        <v>1</v>
      </c>
    </row>
    <row r="772" spans="1:19" x14ac:dyDescent="0.2">
      <c r="A772" s="1" t="s">
        <v>1359</v>
      </c>
      <c r="B772" s="1" t="s">
        <v>40</v>
      </c>
      <c r="C772" s="1" t="s">
        <v>1360</v>
      </c>
      <c r="D772" s="2" t="s">
        <v>42</v>
      </c>
      <c r="E772" s="2" t="str">
        <f t="shared" si="103"/>
        <v>4</v>
      </c>
      <c r="F772" s="2" t="s">
        <v>1025</v>
      </c>
      <c r="G772" s="4" t="s">
        <v>1492</v>
      </c>
      <c r="H772" s="2">
        <f t="shared" si="104"/>
        <v>8</v>
      </c>
      <c r="I772" s="3" t="str">
        <f t="shared" si="101"/>
        <v>-</v>
      </c>
      <c r="J772" s="2" t="str">
        <f t="shared" si="102"/>
        <v>ACORDOS JUDICIAIS</v>
      </c>
      <c r="K772" s="2" t="s">
        <v>1015</v>
      </c>
      <c r="L772" s="2" t="s">
        <v>1719</v>
      </c>
      <c r="M772" s="2" t="s">
        <v>1690</v>
      </c>
      <c r="S772" s="6" t="b">
        <f>C772='Plano de Contas sem ponto'!C772</f>
        <v>1</v>
      </c>
    </row>
    <row r="773" spans="1:19" x14ac:dyDescent="0.2">
      <c r="A773" s="1" t="s">
        <v>1361</v>
      </c>
      <c r="B773" s="1" t="s">
        <v>40</v>
      </c>
      <c r="C773" s="1" t="s">
        <v>1360</v>
      </c>
      <c r="D773" s="2" t="s">
        <v>42</v>
      </c>
      <c r="E773" s="2" t="str">
        <f t="shared" si="103"/>
        <v>4</v>
      </c>
      <c r="F773" s="2" t="s">
        <v>1025</v>
      </c>
      <c r="G773" s="4" t="s">
        <v>1492</v>
      </c>
      <c r="H773" s="2">
        <f t="shared" si="104"/>
        <v>11</v>
      </c>
      <c r="I773" s="3" t="str">
        <f t="shared" si="101"/>
        <v>4.1.3.21.01</v>
      </c>
      <c r="J773" s="2" t="str">
        <f t="shared" si="102"/>
        <v>ACORDOS JUDICIAIS</v>
      </c>
      <c r="K773" s="2" t="s">
        <v>1015</v>
      </c>
      <c r="L773" s="2" t="s">
        <v>1719</v>
      </c>
      <c r="M773" s="2" t="s">
        <v>1690</v>
      </c>
      <c r="S773" s="6" t="b">
        <f>C773='Plano de Contas sem ponto'!C773</f>
        <v>1</v>
      </c>
    </row>
    <row r="774" spans="1:19" x14ac:dyDescent="0.2">
      <c r="A774" s="2" t="s">
        <v>1362</v>
      </c>
      <c r="B774" s="2" t="s">
        <v>54</v>
      </c>
      <c r="C774" s="2" t="s">
        <v>1363</v>
      </c>
      <c r="D774" s="2" t="s">
        <v>42</v>
      </c>
      <c r="E774" s="2" t="str">
        <f t="shared" si="103"/>
        <v>4</v>
      </c>
      <c r="F774" s="2" t="s">
        <v>1025</v>
      </c>
      <c r="G774" s="4" t="s">
        <v>1492</v>
      </c>
      <c r="H774" s="2">
        <f t="shared" si="104"/>
        <v>16</v>
      </c>
      <c r="I774" s="3" t="str">
        <f t="shared" si="101"/>
        <v>-</v>
      </c>
      <c r="J774" s="2" t="str">
        <f t="shared" si="102"/>
        <v>ACORDOS JUDICIAIS</v>
      </c>
      <c r="K774" s="2" t="s">
        <v>1015</v>
      </c>
      <c r="L774" s="2" t="s">
        <v>1719</v>
      </c>
      <c r="M774" s="2" t="s">
        <v>1690</v>
      </c>
      <c r="S774" s="6" t="b">
        <f>C774='Plano de Contas sem ponto'!C774</f>
        <v>1</v>
      </c>
    </row>
    <row r="775" spans="1:19" x14ac:dyDescent="0.2">
      <c r="A775" s="2" t="s">
        <v>1364</v>
      </c>
      <c r="B775" s="2" t="s">
        <v>54</v>
      </c>
      <c r="C775" s="2" t="s">
        <v>1365</v>
      </c>
      <c r="D775" s="2" t="s">
        <v>42</v>
      </c>
      <c r="E775" s="2" t="str">
        <f t="shared" si="103"/>
        <v>4</v>
      </c>
      <c r="F775" s="2" t="s">
        <v>1025</v>
      </c>
      <c r="G775" s="4" t="s">
        <v>1492</v>
      </c>
      <c r="H775" s="2">
        <f t="shared" si="104"/>
        <v>16</v>
      </c>
      <c r="I775" s="3" t="str">
        <f t="shared" si="101"/>
        <v>-</v>
      </c>
      <c r="J775" s="2" t="str">
        <f t="shared" si="102"/>
        <v>ACORDOS JUDICIAIS</v>
      </c>
      <c r="K775" s="2" t="s">
        <v>1015</v>
      </c>
      <c r="L775" s="2" t="s">
        <v>1719</v>
      </c>
      <c r="M775" s="2" t="s">
        <v>1690</v>
      </c>
      <c r="S775" s="6" t="b">
        <f>C775='Plano de Contas sem ponto'!C775</f>
        <v>1</v>
      </c>
    </row>
    <row r="776" spans="1:19" x14ac:dyDescent="0.2">
      <c r="A776" s="2" t="s">
        <v>1366</v>
      </c>
      <c r="B776" s="2" t="s">
        <v>54</v>
      </c>
      <c r="C776" s="2" t="s">
        <v>1367</v>
      </c>
      <c r="D776" s="2" t="s">
        <v>42</v>
      </c>
      <c r="E776" s="2" t="str">
        <f t="shared" si="103"/>
        <v>4</v>
      </c>
      <c r="F776" s="2" t="s">
        <v>1025</v>
      </c>
      <c r="G776" s="4" t="s">
        <v>1492</v>
      </c>
      <c r="H776" s="2">
        <f t="shared" si="104"/>
        <v>16</v>
      </c>
      <c r="I776" s="3" t="str">
        <f t="shared" si="101"/>
        <v>-</v>
      </c>
      <c r="J776" s="2" t="str">
        <f t="shared" si="102"/>
        <v>ACORDOS JUDICIAIS</v>
      </c>
      <c r="K776" s="2" t="s">
        <v>1015</v>
      </c>
      <c r="L776" s="2" t="s">
        <v>1719</v>
      </c>
      <c r="M776" s="2" t="s">
        <v>1690</v>
      </c>
      <c r="S776" s="6" t="b">
        <f>C776='Plano de Contas sem ponto'!C776</f>
        <v>1</v>
      </c>
    </row>
    <row r="777" spans="1:19" x14ac:dyDescent="0.2">
      <c r="A777" s="1" t="s">
        <v>1368</v>
      </c>
      <c r="B777" s="1" t="s">
        <v>40</v>
      </c>
      <c r="C777" s="1" t="s">
        <v>1369</v>
      </c>
      <c r="D777" s="2" t="s">
        <v>42</v>
      </c>
      <c r="E777" s="2" t="str">
        <f t="shared" si="103"/>
        <v>4</v>
      </c>
      <c r="F777" s="2" t="s">
        <v>1025</v>
      </c>
      <c r="G777" s="4" t="s">
        <v>1492</v>
      </c>
      <c r="H777" s="2">
        <f t="shared" si="104"/>
        <v>8</v>
      </c>
      <c r="I777" s="3" t="str">
        <f t="shared" si="101"/>
        <v>-</v>
      </c>
      <c r="J777" s="2" t="str">
        <f t="shared" si="102"/>
        <v>IMPOSTOS E TAXAS</v>
      </c>
      <c r="K777" s="2" t="s">
        <v>1015</v>
      </c>
      <c r="L777" s="2" t="s">
        <v>1719</v>
      </c>
      <c r="M777" s="2" t="s">
        <v>1583</v>
      </c>
      <c r="S777" s="6" t="b">
        <f>C777='Plano de Contas sem ponto'!C777</f>
        <v>1</v>
      </c>
    </row>
    <row r="778" spans="1:19" x14ac:dyDescent="0.2">
      <c r="A778" s="1" t="s">
        <v>1370</v>
      </c>
      <c r="B778" s="1" t="s">
        <v>40</v>
      </c>
      <c r="C778" s="1" t="s">
        <v>1369</v>
      </c>
      <c r="D778" s="2" t="s">
        <v>42</v>
      </c>
      <c r="E778" s="2" t="str">
        <f t="shared" si="103"/>
        <v>4</v>
      </c>
      <c r="F778" s="2" t="s">
        <v>1025</v>
      </c>
      <c r="G778" s="4" t="s">
        <v>1492</v>
      </c>
      <c r="H778" s="2">
        <f t="shared" si="104"/>
        <v>11</v>
      </c>
      <c r="I778" s="3" t="str">
        <f t="shared" si="101"/>
        <v>4.1.3.22.01</v>
      </c>
      <c r="J778" s="2" t="str">
        <f t="shared" si="102"/>
        <v>IMPOSTOS E TAXAS</v>
      </c>
      <c r="K778" s="2" t="s">
        <v>1015</v>
      </c>
      <c r="L778" s="2" t="s">
        <v>1719</v>
      </c>
      <c r="M778" s="2" t="s">
        <v>1583</v>
      </c>
      <c r="S778" s="6" t="b">
        <f>C778='Plano de Contas sem ponto'!C778</f>
        <v>1</v>
      </c>
    </row>
    <row r="779" spans="1:19" x14ac:dyDescent="0.2">
      <c r="A779" s="2" t="s">
        <v>1371</v>
      </c>
      <c r="B779" s="2" t="s">
        <v>54</v>
      </c>
      <c r="C779" s="2" t="s">
        <v>1369</v>
      </c>
      <c r="D779" s="2" t="s">
        <v>42</v>
      </c>
      <c r="E779" s="2" t="str">
        <f t="shared" si="103"/>
        <v>4</v>
      </c>
      <c r="F779" s="2" t="s">
        <v>1025</v>
      </c>
      <c r="G779" s="4" t="s">
        <v>1492</v>
      </c>
      <c r="H779" s="2">
        <f t="shared" si="104"/>
        <v>16</v>
      </c>
      <c r="I779" s="3" t="str">
        <f t="shared" si="101"/>
        <v>-</v>
      </c>
      <c r="J779" s="2" t="str">
        <f t="shared" si="102"/>
        <v>IMPOSTOS E TAXAS</v>
      </c>
      <c r="K779" s="2" t="s">
        <v>1015</v>
      </c>
      <c r="L779" s="2" t="s">
        <v>1719</v>
      </c>
      <c r="M779" s="2" t="s">
        <v>1583</v>
      </c>
      <c r="S779" s="6" t="b">
        <f>C779='Plano de Contas sem ponto'!C779</f>
        <v>1</v>
      </c>
    </row>
    <row r="780" spans="1:19" x14ac:dyDescent="0.2">
      <c r="A780" s="2" t="s">
        <v>1372</v>
      </c>
      <c r="B780" s="2" t="s">
        <v>54</v>
      </c>
      <c r="C780" s="2" t="s">
        <v>1373</v>
      </c>
      <c r="D780" s="2" t="s">
        <v>42</v>
      </c>
      <c r="E780" s="2" t="str">
        <f t="shared" si="103"/>
        <v>4</v>
      </c>
      <c r="F780" s="2" t="s">
        <v>1025</v>
      </c>
      <c r="G780" s="4" t="s">
        <v>1492</v>
      </c>
      <c r="H780" s="2">
        <f t="shared" si="104"/>
        <v>16</v>
      </c>
      <c r="I780" s="3" t="str">
        <f t="shared" si="101"/>
        <v>-</v>
      </c>
      <c r="J780" s="2" t="str">
        <f t="shared" si="102"/>
        <v>IMPOSTOS E TAXAS</v>
      </c>
      <c r="K780" s="2" t="s">
        <v>1015</v>
      </c>
      <c r="L780" s="2" t="s">
        <v>1719</v>
      </c>
      <c r="M780" s="2" t="s">
        <v>1583</v>
      </c>
      <c r="S780" s="6" t="b">
        <f>C780='Plano de Contas sem ponto'!C780</f>
        <v>1</v>
      </c>
    </row>
    <row r="781" spans="1:19" x14ac:dyDescent="0.2">
      <c r="A781" s="15" t="s">
        <v>1374</v>
      </c>
      <c r="B781" s="15" t="s">
        <v>40</v>
      </c>
      <c r="C781" s="15" t="s">
        <v>1375</v>
      </c>
      <c r="D781" s="12" t="s">
        <v>42</v>
      </c>
      <c r="E781" s="12" t="str">
        <f t="shared" si="103"/>
        <v>4</v>
      </c>
      <c r="F781" s="12" t="s">
        <v>1025</v>
      </c>
      <c r="G781" s="37" t="s">
        <v>1492</v>
      </c>
      <c r="H781" s="12">
        <f t="shared" si="104"/>
        <v>8</v>
      </c>
      <c r="I781" s="38" t="str">
        <f t="shared" si="101"/>
        <v>-</v>
      </c>
      <c r="J781" s="12" t="str">
        <f t="shared" si="102"/>
        <v>REPRESENTAÇÃO INSTITUCIONAL</v>
      </c>
      <c r="K781" s="12" t="s">
        <v>1015</v>
      </c>
      <c r="L781" s="12" t="s">
        <v>1582</v>
      </c>
      <c r="M781" s="12" t="s">
        <v>1582</v>
      </c>
      <c r="S781" s="6" t="b">
        <f>C781='Plano de Contas sem ponto'!C781</f>
        <v>1</v>
      </c>
    </row>
    <row r="782" spans="1:19" x14ac:dyDescent="0.2">
      <c r="A782" s="15" t="s">
        <v>1376</v>
      </c>
      <c r="B782" s="15" t="s">
        <v>40</v>
      </c>
      <c r="C782" s="15" t="s">
        <v>1375</v>
      </c>
      <c r="D782" s="12" t="s">
        <v>42</v>
      </c>
      <c r="E782" s="12" t="str">
        <f t="shared" si="103"/>
        <v>4</v>
      </c>
      <c r="F782" s="12" t="s">
        <v>1025</v>
      </c>
      <c r="G782" s="37" t="s">
        <v>1492</v>
      </c>
      <c r="H782" s="12">
        <f t="shared" si="104"/>
        <v>11</v>
      </c>
      <c r="I782" s="38" t="str">
        <f t="shared" si="101"/>
        <v>4.1.3.23.01</v>
      </c>
      <c r="J782" s="12" t="str">
        <f t="shared" si="102"/>
        <v>REPRESENTAÇÃO INSTITUCIONAL</v>
      </c>
      <c r="K782" s="12" t="s">
        <v>1015</v>
      </c>
      <c r="L782" s="12" t="s">
        <v>1582</v>
      </c>
      <c r="M782" s="12" t="s">
        <v>1582</v>
      </c>
      <c r="S782" s="6" t="b">
        <f>C782='Plano de Contas sem ponto'!C782</f>
        <v>1</v>
      </c>
    </row>
    <row r="783" spans="1:19" x14ac:dyDescent="0.2">
      <c r="A783" s="12" t="s">
        <v>1377</v>
      </c>
      <c r="B783" s="12" t="s">
        <v>54</v>
      </c>
      <c r="C783" s="12" t="s">
        <v>1378</v>
      </c>
      <c r="D783" s="12" t="s">
        <v>42</v>
      </c>
      <c r="E783" s="12" t="str">
        <f t="shared" si="103"/>
        <v>4</v>
      </c>
      <c r="F783" s="12" t="s">
        <v>1025</v>
      </c>
      <c r="G783" s="37" t="s">
        <v>1492</v>
      </c>
      <c r="H783" s="12">
        <f t="shared" si="104"/>
        <v>16</v>
      </c>
      <c r="I783" s="38" t="str">
        <f t="shared" si="101"/>
        <v>-</v>
      </c>
      <c r="J783" s="12" t="str">
        <f t="shared" si="102"/>
        <v>REPRESENTAÇÃO INSTITUCIONAL</v>
      </c>
      <c r="K783" s="12" t="s">
        <v>1015</v>
      </c>
      <c r="L783" s="12" t="s">
        <v>1582</v>
      </c>
      <c r="M783" s="12" t="s">
        <v>1679</v>
      </c>
      <c r="S783" s="6" t="b">
        <f>C783='Plano de Contas sem ponto'!C783</f>
        <v>1</v>
      </c>
    </row>
    <row r="784" spans="1:19" x14ac:dyDescent="0.2">
      <c r="A784" s="12" t="s">
        <v>1379</v>
      </c>
      <c r="B784" s="12" t="s">
        <v>54</v>
      </c>
      <c r="C784" s="12" t="s">
        <v>1380</v>
      </c>
      <c r="D784" s="12" t="s">
        <v>42</v>
      </c>
      <c r="E784" s="12" t="str">
        <f t="shared" si="103"/>
        <v>4</v>
      </c>
      <c r="F784" s="12" t="s">
        <v>1025</v>
      </c>
      <c r="G784" s="37" t="s">
        <v>1492</v>
      </c>
      <c r="H784" s="12">
        <f t="shared" si="104"/>
        <v>16</v>
      </c>
      <c r="I784" s="38" t="str">
        <f t="shared" si="101"/>
        <v>-</v>
      </c>
      <c r="J784" s="12" t="str">
        <f t="shared" si="102"/>
        <v>REPRESENTAÇÃO INSTITUCIONAL</v>
      </c>
      <c r="K784" s="12" t="s">
        <v>1015</v>
      </c>
      <c r="L784" s="12" t="s">
        <v>1582</v>
      </c>
      <c r="M784" s="12" t="s">
        <v>3101</v>
      </c>
      <c r="S784" s="6" t="b">
        <f>C784='Plano de Contas sem ponto'!C784</f>
        <v>1</v>
      </c>
    </row>
    <row r="785" spans="1:19" x14ac:dyDescent="0.2">
      <c r="A785" s="12" t="s">
        <v>1381</v>
      </c>
      <c r="B785" s="12" t="s">
        <v>54</v>
      </c>
      <c r="C785" s="12" t="s">
        <v>1382</v>
      </c>
      <c r="D785" s="12" t="s">
        <v>42</v>
      </c>
      <c r="E785" s="12" t="str">
        <f t="shared" si="103"/>
        <v>4</v>
      </c>
      <c r="F785" s="12" t="s">
        <v>1025</v>
      </c>
      <c r="G785" s="37" t="s">
        <v>1492</v>
      </c>
      <c r="H785" s="12">
        <f t="shared" si="104"/>
        <v>16</v>
      </c>
      <c r="I785" s="38" t="str">
        <f t="shared" si="101"/>
        <v>-</v>
      </c>
      <c r="J785" s="12" t="str">
        <f t="shared" si="102"/>
        <v>REPRESENTAÇÃO INSTITUCIONAL</v>
      </c>
      <c r="K785" s="12" t="s">
        <v>1015</v>
      </c>
      <c r="L785" s="12" t="s">
        <v>1582</v>
      </c>
      <c r="M785" s="12" t="s">
        <v>3102</v>
      </c>
      <c r="S785" s="6" t="b">
        <f>C785='Plano de Contas sem ponto'!C785</f>
        <v>1</v>
      </c>
    </row>
    <row r="786" spans="1:19" x14ac:dyDescent="0.2">
      <c r="A786" s="1" t="s">
        <v>1383</v>
      </c>
      <c r="B786" s="1" t="s">
        <v>40</v>
      </c>
      <c r="C786" s="1" t="s">
        <v>1384</v>
      </c>
      <c r="D786" s="2" t="s">
        <v>42</v>
      </c>
      <c r="E786" s="2" t="str">
        <f t="shared" si="103"/>
        <v>4</v>
      </c>
      <c r="F786" s="2" t="s">
        <v>1025</v>
      </c>
      <c r="G786" s="4" t="s">
        <v>1492</v>
      </c>
      <c r="H786" s="2">
        <f t="shared" si="104"/>
        <v>5</v>
      </c>
      <c r="I786" s="3" t="str">
        <f t="shared" si="101"/>
        <v>-</v>
      </c>
      <c r="J786" s="2" t="str">
        <f t="shared" si="102"/>
        <v>DESPESAS FINANCEIRAS</v>
      </c>
      <c r="K786" s="2" t="s">
        <v>2767</v>
      </c>
      <c r="L786" s="2" t="s">
        <v>1385</v>
      </c>
      <c r="S786" s="6" t="b">
        <f>C786='Plano de Contas sem ponto'!C786</f>
        <v>1</v>
      </c>
    </row>
    <row r="787" spans="1:19" x14ac:dyDescent="0.2">
      <c r="A787" s="1" t="s">
        <v>1386</v>
      </c>
      <c r="B787" s="1" t="s">
        <v>40</v>
      </c>
      <c r="C787" s="1" t="s">
        <v>1387</v>
      </c>
      <c r="D787" s="2" t="s">
        <v>42</v>
      </c>
      <c r="E787" s="2" t="str">
        <f t="shared" si="103"/>
        <v>4</v>
      </c>
      <c r="F787" s="2" t="s">
        <v>1025</v>
      </c>
      <c r="G787" s="4" t="s">
        <v>1492</v>
      </c>
      <c r="H787" s="2">
        <f t="shared" si="104"/>
        <v>8</v>
      </c>
      <c r="I787" s="3" t="str">
        <f t="shared" si="101"/>
        <v>-</v>
      </c>
      <c r="J787" s="2" t="str">
        <f t="shared" si="102"/>
        <v>APLICACOES FINANCEIRAS / CAMBIO</v>
      </c>
      <c r="K787" s="2" t="s">
        <v>2767</v>
      </c>
      <c r="L787" s="2" t="s">
        <v>1385</v>
      </c>
      <c r="S787" s="6" t="b">
        <f>C787='Plano de Contas sem ponto'!C787</f>
        <v>1</v>
      </c>
    </row>
    <row r="788" spans="1:19" x14ac:dyDescent="0.2">
      <c r="A788" s="1" t="s">
        <v>1388</v>
      </c>
      <c r="B788" s="1" t="s">
        <v>40</v>
      </c>
      <c r="C788" s="1" t="s">
        <v>169</v>
      </c>
      <c r="D788" s="2" t="s">
        <v>42</v>
      </c>
      <c r="E788" s="2" t="str">
        <f t="shared" si="103"/>
        <v>4</v>
      </c>
      <c r="F788" s="2" t="s">
        <v>1025</v>
      </c>
      <c r="G788" s="4" t="s">
        <v>1492</v>
      </c>
      <c r="H788" s="2">
        <f t="shared" si="104"/>
        <v>11</v>
      </c>
      <c r="I788" s="3" t="str">
        <f t="shared" si="101"/>
        <v>4.1.4.01.01</v>
      </c>
      <c r="J788" s="2" t="str">
        <f t="shared" si="102"/>
        <v>APLICACOES FINANCEIRAS</v>
      </c>
      <c r="K788" s="2" t="s">
        <v>2767</v>
      </c>
      <c r="L788" s="2" t="s">
        <v>1385</v>
      </c>
      <c r="S788" s="6" t="b">
        <f>C788='Plano de Contas sem ponto'!C788</f>
        <v>1</v>
      </c>
    </row>
    <row r="789" spans="1:19" x14ac:dyDescent="0.2">
      <c r="A789" s="2" t="s">
        <v>1389</v>
      </c>
      <c r="B789" s="2" t="s">
        <v>54</v>
      </c>
      <c r="C789" s="2" t="s">
        <v>1390</v>
      </c>
      <c r="D789" s="2" t="s">
        <v>42</v>
      </c>
      <c r="E789" s="2" t="str">
        <f t="shared" si="103"/>
        <v>4</v>
      </c>
      <c r="F789" s="2" t="s">
        <v>1025</v>
      </c>
      <c r="G789" s="4" t="s">
        <v>1492</v>
      </c>
      <c r="H789" s="2">
        <f t="shared" si="104"/>
        <v>16</v>
      </c>
      <c r="I789" s="3" t="str">
        <f t="shared" si="101"/>
        <v>-</v>
      </c>
      <c r="J789" s="2" t="str">
        <f t="shared" si="102"/>
        <v>APLICACOES FINANCEIRAS</v>
      </c>
      <c r="K789" s="2" t="s">
        <v>2767</v>
      </c>
      <c r="L789" s="2" t="s">
        <v>1385</v>
      </c>
      <c r="M789" s="10" t="s">
        <v>1568</v>
      </c>
      <c r="S789" s="6" t="b">
        <f>C789='Plano de Contas sem ponto'!C789</f>
        <v>1</v>
      </c>
    </row>
    <row r="790" spans="1:19" x14ac:dyDescent="0.2">
      <c r="A790" s="2" t="s">
        <v>1391</v>
      </c>
      <c r="B790" s="2" t="s">
        <v>54</v>
      </c>
      <c r="C790" s="2" t="s">
        <v>1392</v>
      </c>
      <c r="D790" s="2" t="s">
        <v>42</v>
      </c>
      <c r="E790" s="2" t="str">
        <f t="shared" si="103"/>
        <v>4</v>
      </c>
      <c r="F790" s="2" t="s">
        <v>1025</v>
      </c>
      <c r="G790" s="4" t="s">
        <v>1492</v>
      </c>
      <c r="H790" s="2">
        <f t="shared" si="104"/>
        <v>16</v>
      </c>
      <c r="I790" s="3" t="str">
        <f t="shared" si="101"/>
        <v>-</v>
      </c>
      <c r="J790" s="2" t="str">
        <f t="shared" si="102"/>
        <v>APLICACOES FINANCEIRAS</v>
      </c>
      <c r="K790" s="2" t="s">
        <v>2767</v>
      </c>
      <c r="L790" s="2" t="s">
        <v>1385</v>
      </c>
      <c r="M790" s="10" t="s">
        <v>1571</v>
      </c>
      <c r="S790" s="6" t="b">
        <f>C790='Plano de Contas sem ponto'!C790</f>
        <v>1</v>
      </c>
    </row>
    <row r="791" spans="1:19" x14ac:dyDescent="0.2">
      <c r="A791" s="1" t="s">
        <v>1393</v>
      </c>
      <c r="B791" s="1" t="s">
        <v>40</v>
      </c>
      <c r="C791" s="1" t="s">
        <v>1394</v>
      </c>
      <c r="D791" s="2" t="s">
        <v>42</v>
      </c>
      <c r="E791" s="2" t="str">
        <f t="shared" si="103"/>
        <v>4</v>
      </c>
      <c r="F791" s="2" t="s">
        <v>1025</v>
      </c>
      <c r="G791" s="4" t="s">
        <v>1492</v>
      </c>
      <c r="H791" s="2">
        <f t="shared" si="104"/>
        <v>11</v>
      </c>
      <c r="I791" s="3" t="str">
        <f t="shared" si="101"/>
        <v>4.1.4.01.02</v>
      </c>
      <c r="J791" s="2" t="str">
        <f t="shared" si="102"/>
        <v>CAMBIO</v>
      </c>
      <c r="K791" s="2" t="s">
        <v>2767</v>
      </c>
      <c r="L791" s="2" t="s">
        <v>1385</v>
      </c>
      <c r="M791" s="10" t="s">
        <v>1570</v>
      </c>
      <c r="S791" s="6" t="b">
        <f>C791='Plano de Contas sem ponto'!C791</f>
        <v>1</v>
      </c>
    </row>
    <row r="792" spans="1:19" x14ac:dyDescent="0.2">
      <c r="A792" s="2" t="s">
        <v>1395</v>
      </c>
      <c r="B792" s="2" t="s">
        <v>54</v>
      </c>
      <c r="C792" s="2" t="s">
        <v>1396</v>
      </c>
      <c r="D792" s="2" t="s">
        <v>42</v>
      </c>
      <c r="E792" s="2" t="str">
        <f t="shared" si="103"/>
        <v>4</v>
      </c>
      <c r="F792" s="2" t="s">
        <v>1025</v>
      </c>
      <c r="G792" s="4" t="s">
        <v>1492</v>
      </c>
      <c r="H792" s="2">
        <f t="shared" si="104"/>
        <v>16</v>
      </c>
      <c r="I792" s="3" t="str">
        <f t="shared" si="101"/>
        <v>-</v>
      </c>
      <c r="J792" s="2" t="str">
        <f t="shared" si="102"/>
        <v>CAMBIO</v>
      </c>
      <c r="K792" s="2" t="s">
        <v>2767</v>
      </c>
      <c r="L792" s="2" t="s">
        <v>1385</v>
      </c>
      <c r="M792" s="10" t="s">
        <v>1570</v>
      </c>
      <c r="S792" s="6" t="b">
        <f>C792='Plano de Contas sem ponto'!C792</f>
        <v>1</v>
      </c>
    </row>
    <row r="793" spans="1:19" x14ac:dyDescent="0.2">
      <c r="A793" s="2" t="s">
        <v>1397</v>
      </c>
      <c r="B793" s="2" t="s">
        <v>54</v>
      </c>
      <c r="C793" s="2" t="s">
        <v>1398</v>
      </c>
      <c r="D793" s="2" t="s">
        <v>42</v>
      </c>
      <c r="E793" s="2" t="str">
        <f t="shared" si="103"/>
        <v>4</v>
      </c>
      <c r="F793" s="2" t="s">
        <v>1025</v>
      </c>
      <c r="G793" s="4" t="s">
        <v>1492</v>
      </c>
      <c r="H793" s="2">
        <f t="shared" si="104"/>
        <v>16</v>
      </c>
      <c r="I793" s="3" t="str">
        <f t="shared" si="101"/>
        <v>-</v>
      </c>
      <c r="J793" s="2" t="str">
        <f t="shared" si="102"/>
        <v>CAMBIO</v>
      </c>
      <c r="K793" s="2" t="s">
        <v>2767</v>
      </c>
      <c r="L793" s="2" t="s">
        <v>1385</v>
      </c>
      <c r="M793" s="10" t="s">
        <v>1570</v>
      </c>
      <c r="S793" s="6" t="b">
        <f>C793='Plano de Contas sem ponto'!C793</f>
        <v>1</v>
      </c>
    </row>
    <row r="794" spans="1:19" x14ac:dyDescent="0.2">
      <c r="A794" s="2" t="s">
        <v>1399</v>
      </c>
      <c r="B794" s="2" t="s">
        <v>54</v>
      </c>
      <c r="C794" s="2" t="s">
        <v>1400</v>
      </c>
      <c r="D794" s="2" t="s">
        <v>42</v>
      </c>
      <c r="E794" s="2" t="str">
        <f t="shared" si="103"/>
        <v>4</v>
      </c>
      <c r="F794" s="2" t="s">
        <v>1025</v>
      </c>
      <c r="G794" s="4" t="s">
        <v>1492</v>
      </c>
      <c r="H794" s="2">
        <f t="shared" si="104"/>
        <v>16</v>
      </c>
      <c r="I794" s="3" t="str">
        <f t="shared" si="101"/>
        <v>-</v>
      </c>
      <c r="J794" s="2" t="str">
        <f t="shared" si="102"/>
        <v>CAMBIO</v>
      </c>
      <c r="K794" s="2" t="s">
        <v>2767</v>
      </c>
      <c r="L794" s="2" t="s">
        <v>1385</v>
      </c>
      <c r="M794" s="10" t="s">
        <v>1570</v>
      </c>
      <c r="S794" s="6" t="b">
        <f>C794='Plano de Contas sem ponto'!C794</f>
        <v>1</v>
      </c>
    </row>
    <row r="795" spans="1:19" x14ac:dyDescent="0.2">
      <c r="A795" s="2" t="s">
        <v>1401</v>
      </c>
      <c r="B795" s="2" t="s">
        <v>54</v>
      </c>
      <c r="C795" s="2" t="s">
        <v>1402</v>
      </c>
      <c r="D795" s="2" t="s">
        <v>42</v>
      </c>
      <c r="E795" s="2" t="str">
        <f t="shared" si="103"/>
        <v>4</v>
      </c>
      <c r="F795" s="2" t="s">
        <v>1025</v>
      </c>
      <c r="G795" s="4" t="s">
        <v>1492</v>
      </c>
      <c r="H795" s="2">
        <f t="shared" si="104"/>
        <v>16</v>
      </c>
      <c r="I795" s="3" t="str">
        <f t="shared" si="101"/>
        <v>-</v>
      </c>
      <c r="J795" s="2" t="str">
        <f t="shared" si="102"/>
        <v>CAMBIO</v>
      </c>
      <c r="K795" s="2" t="s">
        <v>2767</v>
      </c>
      <c r="L795" s="2" t="s">
        <v>1385</v>
      </c>
      <c r="M795" s="10" t="s">
        <v>1570</v>
      </c>
      <c r="S795" s="6" t="b">
        <f>C795='Plano de Contas sem ponto'!C795</f>
        <v>1</v>
      </c>
    </row>
    <row r="796" spans="1:19" x14ac:dyDescent="0.2">
      <c r="A796" s="2" t="s">
        <v>1403</v>
      </c>
      <c r="B796" s="2" t="s">
        <v>54</v>
      </c>
      <c r="C796" s="2" t="s">
        <v>1404</v>
      </c>
      <c r="D796" s="2" t="s">
        <v>42</v>
      </c>
      <c r="E796" s="2" t="str">
        <f t="shared" si="103"/>
        <v>4</v>
      </c>
      <c r="F796" s="2" t="s">
        <v>1025</v>
      </c>
      <c r="G796" s="4" t="s">
        <v>1492</v>
      </c>
      <c r="H796" s="2">
        <f t="shared" si="104"/>
        <v>16</v>
      </c>
      <c r="I796" s="3" t="str">
        <f t="shared" si="101"/>
        <v>-</v>
      </c>
      <c r="J796" s="2" t="str">
        <f t="shared" si="102"/>
        <v>CAMBIO</v>
      </c>
      <c r="K796" s="2" t="s">
        <v>2767</v>
      </c>
      <c r="L796" s="2" t="s">
        <v>1385</v>
      </c>
      <c r="M796" s="10" t="s">
        <v>1570</v>
      </c>
      <c r="S796" s="6" t="b">
        <f>C796='Plano de Contas sem ponto'!C796</f>
        <v>1</v>
      </c>
    </row>
    <row r="797" spans="1:19" x14ac:dyDescent="0.2">
      <c r="A797" s="1" t="s">
        <v>1405</v>
      </c>
      <c r="B797" s="1" t="s">
        <v>40</v>
      </c>
      <c r="C797" s="1" t="s">
        <v>1406</v>
      </c>
      <c r="D797" s="2" t="s">
        <v>42</v>
      </c>
      <c r="E797" s="2" t="str">
        <f t="shared" si="103"/>
        <v>4</v>
      </c>
      <c r="F797" s="2" t="s">
        <v>1025</v>
      </c>
      <c r="G797" s="4" t="s">
        <v>1492</v>
      </c>
      <c r="H797" s="2">
        <f t="shared" si="104"/>
        <v>8</v>
      </c>
      <c r="I797" s="3" t="str">
        <f t="shared" si="101"/>
        <v>-</v>
      </c>
      <c r="J797" s="2" t="str">
        <f t="shared" si="102"/>
        <v>DESPESAS BANCARIAS</v>
      </c>
      <c r="K797" s="2" t="s">
        <v>2767</v>
      </c>
      <c r="L797" s="2" t="s">
        <v>1385</v>
      </c>
      <c r="M797" s="10" t="s">
        <v>1571</v>
      </c>
      <c r="S797" s="6" t="b">
        <f>C797='Plano de Contas sem ponto'!C797</f>
        <v>1</v>
      </c>
    </row>
    <row r="798" spans="1:19" x14ac:dyDescent="0.2">
      <c r="A798" s="1" t="s">
        <v>1407</v>
      </c>
      <c r="B798" s="1" t="s">
        <v>40</v>
      </c>
      <c r="C798" s="1" t="s">
        <v>1406</v>
      </c>
      <c r="D798" s="2" t="s">
        <v>42</v>
      </c>
      <c r="E798" s="2" t="str">
        <f t="shared" si="103"/>
        <v>4</v>
      </c>
      <c r="F798" s="2" t="s">
        <v>1025</v>
      </c>
      <c r="G798" s="4" t="s">
        <v>1492</v>
      </c>
      <c r="H798" s="2">
        <f t="shared" si="104"/>
        <v>11</v>
      </c>
      <c r="I798" s="3" t="str">
        <f t="shared" si="101"/>
        <v>4.1.4.02.01</v>
      </c>
      <c r="J798" s="2" t="str">
        <f t="shared" si="102"/>
        <v>DESPESAS BANCARIAS</v>
      </c>
      <c r="K798" s="2" t="s">
        <v>2767</v>
      </c>
      <c r="L798" s="2" t="s">
        <v>1385</v>
      </c>
      <c r="M798" s="10" t="s">
        <v>1571</v>
      </c>
      <c r="S798" s="6" t="b">
        <f>C798='Plano de Contas sem ponto'!C798</f>
        <v>1</v>
      </c>
    </row>
    <row r="799" spans="1:19" x14ac:dyDescent="0.2">
      <c r="A799" s="2" t="s">
        <v>1408</v>
      </c>
      <c r="B799" s="2" t="s">
        <v>54</v>
      </c>
      <c r="C799" s="2" t="s">
        <v>1409</v>
      </c>
      <c r="D799" s="2" t="s">
        <v>42</v>
      </c>
      <c r="E799" s="2" t="str">
        <f t="shared" si="103"/>
        <v>4</v>
      </c>
      <c r="F799" s="2" t="s">
        <v>1025</v>
      </c>
      <c r="G799" s="4" t="s">
        <v>1492</v>
      </c>
      <c r="H799" s="2">
        <f t="shared" si="104"/>
        <v>16</v>
      </c>
      <c r="I799" s="3" t="str">
        <f t="shared" si="101"/>
        <v>-</v>
      </c>
      <c r="J799" s="2" t="str">
        <f t="shared" si="102"/>
        <v>DESPESAS BANCARIAS</v>
      </c>
      <c r="K799" s="2" t="s">
        <v>2767</v>
      </c>
      <c r="L799" s="2" t="s">
        <v>1385</v>
      </c>
      <c r="M799" s="10" t="s">
        <v>1571</v>
      </c>
      <c r="S799" s="6" t="b">
        <f>C799='Plano de Contas sem ponto'!C799</f>
        <v>1</v>
      </c>
    </row>
    <row r="800" spans="1:19" x14ac:dyDescent="0.2">
      <c r="A800" s="1" t="s">
        <v>1410</v>
      </c>
      <c r="B800" s="1" t="s">
        <v>40</v>
      </c>
      <c r="C800" s="1" t="s">
        <v>1411</v>
      </c>
      <c r="D800" s="2" t="s">
        <v>42</v>
      </c>
      <c r="E800" s="2" t="str">
        <f t="shared" si="103"/>
        <v>4</v>
      </c>
      <c r="F800" s="2" t="s">
        <v>1025</v>
      </c>
      <c r="G800" s="4" t="s">
        <v>1492</v>
      </c>
      <c r="H800" s="2">
        <f t="shared" si="104"/>
        <v>8</v>
      </c>
      <c r="I800" s="3" t="str">
        <f t="shared" si="101"/>
        <v>-</v>
      </c>
      <c r="J800" s="2" t="str">
        <f t="shared" si="102"/>
        <v>OUTRAS DESPESAS FINANCEIRAS</v>
      </c>
      <c r="K800" s="2" t="s">
        <v>2767</v>
      </c>
      <c r="L800" s="2" t="s">
        <v>1385</v>
      </c>
      <c r="M800" s="10" t="s">
        <v>1571</v>
      </c>
      <c r="S800" s="6" t="b">
        <f>C800='Plano de Contas sem ponto'!C800</f>
        <v>1</v>
      </c>
    </row>
    <row r="801" spans="1:19" x14ac:dyDescent="0.2">
      <c r="A801" s="1" t="s">
        <v>1412</v>
      </c>
      <c r="B801" s="1" t="s">
        <v>40</v>
      </c>
      <c r="C801" s="1" t="s">
        <v>1411</v>
      </c>
      <c r="D801" s="2" t="s">
        <v>42</v>
      </c>
      <c r="E801" s="2" t="str">
        <f t="shared" si="103"/>
        <v>4</v>
      </c>
      <c r="F801" s="2" t="s">
        <v>1025</v>
      </c>
      <c r="G801" s="4" t="s">
        <v>1492</v>
      </c>
      <c r="H801" s="2">
        <f t="shared" si="104"/>
        <v>11</v>
      </c>
      <c r="I801" s="3" t="str">
        <f t="shared" si="101"/>
        <v>4.1.4.03.01</v>
      </c>
      <c r="J801" s="2" t="str">
        <f t="shared" si="102"/>
        <v>OUTRAS DESPESAS FINANCEIRAS</v>
      </c>
      <c r="K801" s="2" t="s">
        <v>2767</v>
      </c>
      <c r="L801" s="2" t="s">
        <v>1385</v>
      </c>
      <c r="M801" s="10" t="s">
        <v>1571</v>
      </c>
      <c r="S801" s="6" t="b">
        <f>C801='Plano de Contas sem ponto'!C801</f>
        <v>1</v>
      </c>
    </row>
    <row r="802" spans="1:19" x14ac:dyDescent="0.2">
      <c r="A802" s="2" t="s">
        <v>1413</v>
      </c>
      <c r="B802" s="2" t="s">
        <v>54</v>
      </c>
      <c r="C802" s="2" t="s">
        <v>1414</v>
      </c>
      <c r="D802" s="2" t="s">
        <v>42</v>
      </c>
      <c r="E802" s="2" t="str">
        <f t="shared" si="103"/>
        <v>4</v>
      </c>
      <c r="F802" s="2" t="s">
        <v>1025</v>
      </c>
      <c r="G802" s="4" t="s">
        <v>1492</v>
      </c>
      <c r="H802" s="2">
        <f t="shared" si="104"/>
        <v>16</v>
      </c>
      <c r="I802" s="3" t="str">
        <f t="shared" ref="I802:I819" si="105">IF(H802=11,A802,"-")</f>
        <v>-</v>
      </c>
      <c r="J802" s="2" t="str">
        <f t="shared" ref="J802:J847" si="106">IF(H802&lt;11,C802,IF(I802&lt;&gt;"-",C802,J801))</f>
        <v>OUTRAS DESPESAS FINANCEIRAS</v>
      </c>
      <c r="K802" s="2" t="s">
        <v>2767</v>
      </c>
      <c r="L802" s="2" t="s">
        <v>1385</v>
      </c>
      <c r="M802" s="10" t="s">
        <v>1571</v>
      </c>
      <c r="S802" s="6" t="b">
        <f>C802='Plano de Contas sem ponto'!C802</f>
        <v>1</v>
      </c>
    </row>
    <row r="803" spans="1:19" x14ac:dyDescent="0.2">
      <c r="A803" s="2" t="s">
        <v>1415</v>
      </c>
      <c r="B803" s="2" t="s">
        <v>54</v>
      </c>
      <c r="C803" s="2" t="s">
        <v>1416</v>
      </c>
      <c r="D803" s="2" t="s">
        <v>42</v>
      </c>
      <c r="E803" s="2" t="str">
        <f t="shared" ref="E803:E847" si="107">LEFT(A803,1)</f>
        <v>4</v>
      </c>
      <c r="F803" s="2" t="s">
        <v>1025</v>
      </c>
      <c r="G803" s="4" t="s">
        <v>1492</v>
      </c>
      <c r="H803" s="2">
        <f t="shared" ref="H803:H847" si="108">LEN(A803)</f>
        <v>16</v>
      </c>
      <c r="I803" s="3" t="str">
        <f t="shared" si="105"/>
        <v>-</v>
      </c>
      <c r="J803" s="2" t="str">
        <f t="shared" si="106"/>
        <v>OUTRAS DESPESAS FINANCEIRAS</v>
      </c>
      <c r="K803" s="2" t="s">
        <v>2767</v>
      </c>
      <c r="L803" s="2" t="s">
        <v>1385</v>
      </c>
      <c r="M803" s="10" t="s">
        <v>1571</v>
      </c>
      <c r="S803" s="6" t="b">
        <f>C803='Plano de Contas sem ponto'!C803</f>
        <v>1</v>
      </c>
    </row>
    <row r="804" spans="1:19" x14ac:dyDescent="0.2">
      <c r="A804" s="2" t="s">
        <v>1417</v>
      </c>
      <c r="B804" s="2" t="s">
        <v>54</v>
      </c>
      <c r="C804" s="2" t="s">
        <v>1418</v>
      </c>
      <c r="D804" s="2" t="s">
        <v>42</v>
      </c>
      <c r="E804" s="2" t="str">
        <f t="shared" si="107"/>
        <v>4</v>
      </c>
      <c r="F804" s="2" t="s">
        <v>1025</v>
      </c>
      <c r="G804" s="4" t="s">
        <v>1492</v>
      </c>
      <c r="H804" s="2">
        <f t="shared" si="108"/>
        <v>16</v>
      </c>
      <c r="I804" s="3" t="str">
        <f t="shared" si="105"/>
        <v>-</v>
      </c>
      <c r="J804" s="2" t="str">
        <f t="shared" si="106"/>
        <v>OUTRAS DESPESAS FINANCEIRAS</v>
      </c>
      <c r="K804" s="2" t="s">
        <v>2767</v>
      </c>
      <c r="L804" s="2" t="s">
        <v>1385</v>
      </c>
      <c r="M804" s="10" t="s">
        <v>1571</v>
      </c>
      <c r="S804" s="6" t="b">
        <f>C804='Plano de Contas sem ponto'!C804</f>
        <v>1</v>
      </c>
    </row>
    <row r="805" spans="1:19" x14ac:dyDescent="0.2">
      <c r="A805" s="2" t="s">
        <v>1419</v>
      </c>
      <c r="B805" s="2" t="s">
        <v>54</v>
      </c>
      <c r="C805" s="2" t="s">
        <v>1420</v>
      </c>
      <c r="D805" s="2" t="s">
        <v>42</v>
      </c>
      <c r="E805" s="2" t="str">
        <f t="shared" si="107"/>
        <v>4</v>
      </c>
      <c r="F805" s="2" t="s">
        <v>1025</v>
      </c>
      <c r="G805" s="4" t="s">
        <v>1492</v>
      </c>
      <c r="H805" s="2">
        <f t="shared" si="108"/>
        <v>16</v>
      </c>
      <c r="I805" s="3" t="str">
        <f t="shared" si="105"/>
        <v>-</v>
      </c>
      <c r="J805" s="2" t="str">
        <f t="shared" si="106"/>
        <v>OUTRAS DESPESAS FINANCEIRAS</v>
      </c>
      <c r="K805" s="2" t="s">
        <v>2767</v>
      </c>
      <c r="L805" s="2" t="s">
        <v>1385</v>
      </c>
      <c r="M805" s="10" t="s">
        <v>1571</v>
      </c>
      <c r="S805" s="6" t="b">
        <f>C805='Plano de Contas sem ponto'!C805</f>
        <v>1</v>
      </c>
    </row>
    <row r="806" spans="1:19" x14ac:dyDescent="0.2">
      <c r="A806" s="2" t="s">
        <v>1421</v>
      </c>
      <c r="B806" s="2" t="s">
        <v>54</v>
      </c>
      <c r="C806" s="2" t="s">
        <v>1422</v>
      </c>
      <c r="D806" s="2" t="s">
        <v>42</v>
      </c>
      <c r="E806" s="2" t="str">
        <f t="shared" si="107"/>
        <v>4</v>
      </c>
      <c r="F806" s="2" t="s">
        <v>1025</v>
      </c>
      <c r="G806" s="4" t="s">
        <v>1492</v>
      </c>
      <c r="H806" s="2">
        <f t="shared" si="108"/>
        <v>16</v>
      </c>
      <c r="I806" s="3" t="str">
        <f t="shared" si="105"/>
        <v>-</v>
      </c>
      <c r="J806" s="2" t="str">
        <f t="shared" si="106"/>
        <v>OUTRAS DESPESAS FINANCEIRAS</v>
      </c>
      <c r="K806" s="2" t="s">
        <v>2767</v>
      </c>
      <c r="L806" s="2" t="s">
        <v>1385</v>
      </c>
      <c r="M806" s="6" t="s">
        <v>1572</v>
      </c>
      <c r="S806" s="6" t="b">
        <f>C806='Plano de Contas sem ponto'!C806</f>
        <v>1</v>
      </c>
    </row>
    <row r="807" spans="1:19" x14ac:dyDescent="0.2">
      <c r="A807" s="2" t="s">
        <v>1423</v>
      </c>
      <c r="B807" s="2" t="s">
        <v>54</v>
      </c>
      <c r="C807" s="2" t="s">
        <v>1424</v>
      </c>
      <c r="D807" s="2" t="s">
        <v>42</v>
      </c>
      <c r="E807" s="2" t="str">
        <f t="shared" si="107"/>
        <v>4</v>
      </c>
      <c r="F807" s="2" t="s">
        <v>1025</v>
      </c>
      <c r="G807" s="4" t="s">
        <v>1492</v>
      </c>
      <c r="H807" s="2">
        <f t="shared" si="108"/>
        <v>16</v>
      </c>
      <c r="I807" s="3" t="str">
        <f t="shared" si="105"/>
        <v>-</v>
      </c>
      <c r="J807" s="2" t="str">
        <f t="shared" si="106"/>
        <v>OUTRAS DESPESAS FINANCEIRAS</v>
      </c>
      <c r="K807" s="2" t="s">
        <v>2767</v>
      </c>
      <c r="L807" s="2" t="s">
        <v>1385</v>
      </c>
      <c r="M807" s="6" t="s">
        <v>1424</v>
      </c>
      <c r="S807" s="6" t="b">
        <f>C807='Plano de Contas sem ponto'!C807</f>
        <v>1</v>
      </c>
    </row>
    <row r="808" spans="1:19" x14ac:dyDescent="0.2">
      <c r="A808" s="2" t="s">
        <v>1425</v>
      </c>
      <c r="B808" s="2" t="s">
        <v>54</v>
      </c>
      <c r="C808" s="2" t="s">
        <v>1426</v>
      </c>
      <c r="D808" s="2" t="s">
        <v>42</v>
      </c>
      <c r="E808" s="2" t="str">
        <f t="shared" si="107"/>
        <v>4</v>
      </c>
      <c r="F808" s="2" t="s">
        <v>1025</v>
      </c>
      <c r="G808" s="4" t="s">
        <v>1492</v>
      </c>
      <c r="H808" s="2">
        <f t="shared" si="108"/>
        <v>16</v>
      </c>
      <c r="I808" s="3" t="str">
        <f t="shared" si="105"/>
        <v>-</v>
      </c>
      <c r="J808" s="2" t="str">
        <f t="shared" si="106"/>
        <v>OUTRAS DESPESAS FINANCEIRAS</v>
      </c>
      <c r="K808" s="2" t="s">
        <v>2767</v>
      </c>
      <c r="L808" s="2" t="s">
        <v>1385</v>
      </c>
      <c r="M808" s="10" t="s">
        <v>1569</v>
      </c>
      <c r="S808" s="6" t="b">
        <f>C808='Plano de Contas sem ponto'!C808</f>
        <v>1</v>
      </c>
    </row>
    <row r="809" spans="1:19" x14ac:dyDescent="0.2">
      <c r="A809" s="2" t="s">
        <v>1427</v>
      </c>
      <c r="B809" s="2" t="s">
        <v>54</v>
      </c>
      <c r="C809" s="2" t="s">
        <v>1428</v>
      </c>
      <c r="D809" s="2" t="s">
        <v>42</v>
      </c>
      <c r="E809" s="2" t="str">
        <f t="shared" si="107"/>
        <v>4</v>
      </c>
      <c r="F809" s="2" t="s">
        <v>1025</v>
      </c>
      <c r="G809" s="4" t="s">
        <v>1492</v>
      </c>
      <c r="H809" s="2">
        <f t="shared" si="108"/>
        <v>16</v>
      </c>
      <c r="I809" s="3" t="str">
        <f t="shared" si="105"/>
        <v>-</v>
      </c>
      <c r="J809" s="2" t="str">
        <f t="shared" si="106"/>
        <v>OUTRAS DESPESAS FINANCEIRAS</v>
      </c>
      <c r="K809" s="2" t="s">
        <v>2767</v>
      </c>
      <c r="L809" s="2" t="s">
        <v>1385</v>
      </c>
      <c r="M809" s="10" t="s">
        <v>1573</v>
      </c>
      <c r="S809" s="6" t="b">
        <f>C809='Plano de Contas sem ponto'!C809</f>
        <v>1</v>
      </c>
    </row>
    <row r="810" spans="1:19" x14ac:dyDescent="0.2">
      <c r="A810" s="2" t="s">
        <v>1429</v>
      </c>
      <c r="B810" s="2" t="s">
        <v>54</v>
      </c>
      <c r="C810" s="2" t="s">
        <v>1411</v>
      </c>
      <c r="D810" s="2" t="s">
        <v>42</v>
      </c>
      <c r="E810" s="2" t="str">
        <f t="shared" si="107"/>
        <v>4</v>
      </c>
      <c r="F810" s="2" t="s">
        <v>1025</v>
      </c>
      <c r="G810" s="4" t="s">
        <v>1492</v>
      </c>
      <c r="H810" s="2">
        <f t="shared" si="108"/>
        <v>16</v>
      </c>
      <c r="I810" s="3" t="str">
        <f t="shared" si="105"/>
        <v>-</v>
      </c>
      <c r="J810" s="2" t="str">
        <f t="shared" si="106"/>
        <v>OUTRAS DESPESAS FINANCEIRAS</v>
      </c>
      <c r="K810" s="2" t="s">
        <v>2767</v>
      </c>
      <c r="L810" s="2" t="s">
        <v>1385</v>
      </c>
      <c r="M810" s="10" t="s">
        <v>1571</v>
      </c>
      <c r="S810" s="6" t="b">
        <f>C810='Plano de Contas sem ponto'!C810</f>
        <v>1</v>
      </c>
    </row>
    <row r="811" spans="1:19" x14ac:dyDescent="0.2">
      <c r="A811" s="1" t="s">
        <v>1430</v>
      </c>
      <c r="B811" s="1" t="s">
        <v>40</v>
      </c>
      <c r="C811" s="1" t="s">
        <v>1431</v>
      </c>
      <c r="D811" s="2" t="s">
        <v>42</v>
      </c>
      <c r="E811" s="2" t="str">
        <f t="shared" si="107"/>
        <v>4</v>
      </c>
      <c r="F811" s="2" t="s">
        <v>1025</v>
      </c>
      <c r="G811" s="4" t="s">
        <v>1492</v>
      </c>
      <c r="H811" s="2">
        <f t="shared" si="108"/>
        <v>8</v>
      </c>
      <c r="I811" s="3" t="str">
        <f t="shared" si="105"/>
        <v>-</v>
      </c>
      <c r="J811" s="2" t="str">
        <f t="shared" si="106"/>
        <v>ENCARGOS SOBRE TRIBUTOS</v>
      </c>
      <c r="K811" s="2" t="s">
        <v>2767</v>
      </c>
      <c r="L811" s="2" t="s">
        <v>1385</v>
      </c>
      <c r="M811" s="10" t="s">
        <v>1571</v>
      </c>
      <c r="S811" s="6" t="b">
        <f>C811='Plano de Contas sem ponto'!C811</f>
        <v>1</v>
      </c>
    </row>
    <row r="812" spans="1:19" x14ac:dyDescent="0.2">
      <c r="A812" s="1" t="s">
        <v>1432</v>
      </c>
      <c r="B812" s="1" t="s">
        <v>40</v>
      </c>
      <c r="C812" s="1" t="s">
        <v>1431</v>
      </c>
      <c r="D812" s="2" t="s">
        <v>42</v>
      </c>
      <c r="E812" s="2" t="str">
        <f t="shared" si="107"/>
        <v>4</v>
      </c>
      <c r="F812" s="2" t="s">
        <v>1025</v>
      </c>
      <c r="G812" s="4" t="s">
        <v>1492</v>
      </c>
      <c r="H812" s="2">
        <f t="shared" si="108"/>
        <v>11</v>
      </c>
      <c r="I812" s="3" t="str">
        <f t="shared" si="105"/>
        <v>4.1.4.04.01</v>
      </c>
      <c r="J812" s="2" t="str">
        <f t="shared" si="106"/>
        <v>ENCARGOS SOBRE TRIBUTOS</v>
      </c>
      <c r="K812" s="2" t="s">
        <v>2767</v>
      </c>
      <c r="L812" s="2" t="s">
        <v>1385</v>
      </c>
      <c r="M812" s="10" t="s">
        <v>1571</v>
      </c>
      <c r="S812" s="6" t="b">
        <f>C812='Plano de Contas sem ponto'!C812</f>
        <v>1</v>
      </c>
    </row>
    <row r="813" spans="1:19" x14ac:dyDescent="0.2">
      <c r="A813" s="2" t="s">
        <v>1433</v>
      </c>
      <c r="B813" s="2" t="s">
        <v>54</v>
      </c>
      <c r="C813" s="2" t="s">
        <v>1434</v>
      </c>
      <c r="D813" s="2" t="s">
        <v>42</v>
      </c>
      <c r="E813" s="2" t="str">
        <f t="shared" si="107"/>
        <v>4</v>
      </c>
      <c r="F813" s="2" t="s">
        <v>1025</v>
      </c>
      <c r="G813" s="4" t="s">
        <v>1492</v>
      </c>
      <c r="H813" s="2">
        <f t="shared" si="108"/>
        <v>16</v>
      </c>
      <c r="I813" s="3" t="str">
        <f t="shared" si="105"/>
        <v>-</v>
      </c>
      <c r="J813" s="2" t="str">
        <f t="shared" si="106"/>
        <v>ENCARGOS SOBRE TRIBUTOS</v>
      </c>
      <c r="K813" s="2" t="s">
        <v>2767</v>
      </c>
      <c r="L813" s="2" t="s">
        <v>1385</v>
      </c>
      <c r="M813" s="10" t="s">
        <v>1571</v>
      </c>
      <c r="S813" s="6" t="b">
        <f>C813='Plano de Contas sem ponto'!C813</f>
        <v>1</v>
      </c>
    </row>
    <row r="814" spans="1:19" x14ac:dyDescent="0.2">
      <c r="A814" s="2" t="s">
        <v>1435</v>
      </c>
      <c r="B814" s="2" t="s">
        <v>54</v>
      </c>
      <c r="C814" s="2" t="s">
        <v>1436</v>
      </c>
      <c r="D814" s="2" t="s">
        <v>42</v>
      </c>
      <c r="E814" s="2" t="str">
        <f t="shared" si="107"/>
        <v>4</v>
      </c>
      <c r="F814" s="2" t="s">
        <v>1025</v>
      </c>
      <c r="G814" s="4" t="s">
        <v>1492</v>
      </c>
      <c r="H814" s="2">
        <f t="shared" si="108"/>
        <v>16</v>
      </c>
      <c r="I814" s="3" t="str">
        <f t="shared" si="105"/>
        <v>-</v>
      </c>
      <c r="J814" s="2" t="str">
        <f t="shared" si="106"/>
        <v>ENCARGOS SOBRE TRIBUTOS</v>
      </c>
      <c r="K814" s="2" t="s">
        <v>2767</v>
      </c>
      <c r="L814" s="2" t="s">
        <v>1385</v>
      </c>
      <c r="M814" s="10" t="s">
        <v>1571</v>
      </c>
      <c r="S814" s="6" t="b">
        <f>C814='Plano de Contas sem ponto'!C814</f>
        <v>1</v>
      </c>
    </row>
    <row r="815" spans="1:19" x14ac:dyDescent="0.2">
      <c r="A815" s="7" t="s">
        <v>1437</v>
      </c>
      <c r="B815" s="8" t="s">
        <v>40</v>
      </c>
      <c r="C815" s="8" t="s">
        <v>1438</v>
      </c>
      <c r="D815" s="3" t="s">
        <v>42</v>
      </c>
      <c r="E815" s="2" t="str">
        <f t="shared" si="107"/>
        <v>4</v>
      </c>
      <c r="F815" s="2" t="s">
        <v>1025</v>
      </c>
      <c r="G815" s="4" t="s">
        <v>1492</v>
      </c>
      <c r="H815" s="2">
        <f t="shared" si="108"/>
        <v>8</v>
      </c>
      <c r="I815" s="3" t="str">
        <f t="shared" si="105"/>
        <v>-</v>
      </c>
      <c r="J815" s="2" t="str">
        <f t="shared" si="106"/>
        <v>MULTAS</v>
      </c>
      <c r="K815" s="2" t="s">
        <v>2767</v>
      </c>
      <c r="L815" s="2" t="s">
        <v>1385</v>
      </c>
      <c r="M815" s="10" t="s">
        <v>1571</v>
      </c>
      <c r="S815" s="6" t="b">
        <f>C815='Plano de Contas sem ponto'!C815</f>
        <v>1</v>
      </c>
    </row>
    <row r="816" spans="1:19" x14ac:dyDescent="0.2">
      <c r="A816" s="7" t="s">
        <v>1439</v>
      </c>
      <c r="B816" s="8" t="s">
        <v>40</v>
      </c>
      <c r="C816" s="8" t="s">
        <v>1438</v>
      </c>
      <c r="D816" s="3" t="s">
        <v>42</v>
      </c>
      <c r="E816" s="2" t="str">
        <f t="shared" si="107"/>
        <v>4</v>
      </c>
      <c r="F816" s="2" t="s">
        <v>1025</v>
      </c>
      <c r="G816" s="4" t="s">
        <v>1492</v>
      </c>
      <c r="H816" s="2">
        <f t="shared" si="108"/>
        <v>11</v>
      </c>
      <c r="I816" s="3" t="str">
        <f t="shared" si="105"/>
        <v>4.1.4.05.01</v>
      </c>
      <c r="J816" s="2" t="str">
        <f t="shared" si="106"/>
        <v>MULTAS</v>
      </c>
      <c r="K816" s="2" t="s">
        <v>2767</v>
      </c>
      <c r="L816" s="2" t="s">
        <v>1385</v>
      </c>
      <c r="M816" s="10" t="s">
        <v>1571</v>
      </c>
      <c r="S816" s="6" t="b">
        <f>C816='Plano de Contas sem ponto'!C816</f>
        <v>1</v>
      </c>
    </row>
    <row r="817" spans="1:19" x14ac:dyDescent="0.2">
      <c r="A817" s="9" t="s">
        <v>1440</v>
      </c>
      <c r="B817" s="3" t="s">
        <v>54</v>
      </c>
      <c r="C817" s="3" t="s">
        <v>1441</v>
      </c>
      <c r="D817" s="3" t="s">
        <v>42</v>
      </c>
      <c r="E817" s="2" t="str">
        <f t="shared" si="107"/>
        <v>4</v>
      </c>
      <c r="F817" s="2" t="s">
        <v>1025</v>
      </c>
      <c r="G817" s="4" t="s">
        <v>1492</v>
      </c>
      <c r="H817" s="2">
        <f t="shared" si="108"/>
        <v>16</v>
      </c>
      <c r="I817" s="3" t="str">
        <f t="shared" si="105"/>
        <v>-</v>
      </c>
      <c r="J817" s="2" t="str">
        <f t="shared" si="106"/>
        <v>MULTAS</v>
      </c>
      <c r="K817" s="2" t="s">
        <v>2767</v>
      </c>
      <c r="L817" s="2" t="s">
        <v>1385</v>
      </c>
      <c r="M817" s="10" t="s">
        <v>1571</v>
      </c>
      <c r="S817" s="6" t="b">
        <f>C817='Plano de Contas sem ponto'!C817</f>
        <v>1</v>
      </c>
    </row>
    <row r="818" spans="1:19" x14ac:dyDescent="0.2">
      <c r="A818" s="8" t="s">
        <v>1442</v>
      </c>
      <c r="B818" s="8" t="s">
        <v>40</v>
      </c>
      <c r="C818" s="8" t="s">
        <v>1443</v>
      </c>
      <c r="D818" s="3" t="s">
        <v>42</v>
      </c>
      <c r="E818" s="2" t="str">
        <f t="shared" si="107"/>
        <v>4</v>
      </c>
      <c r="F818" s="2" t="s">
        <v>1025</v>
      </c>
      <c r="G818" s="4" t="s">
        <v>1492</v>
      </c>
      <c r="H818" s="2">
        <f t="shared" si="108"/>
        <v>5</v>
      </c>
      <c r="I818" s="3" t="str">
        <f t="shared" si="105"/>
        <v>-</v>
      </c>
      <c r="J818" s="2" t="str">
        <f t="shared" si="106"/>
        <v>DESPESAS PATRIMONIAL</v>
      </c>
      <c r="K818" s="2" t="s">
        <v>926</v>
      </c>
      <c r="S818" s="6" t="b">
        <f>C818='Plano de Contas sem ponto'!C818</f>
        <v>1</v>
      </c>
    </row>
    <row r="819" spans="1:19" x14ac:dyDescent="0.2">
      <c r="A819" s="8" t="s">
        <v>1444</v>
      </c>
      <c r="B819" s="8" t="s">
        <v>40</v>
      </c>
      <c r="C819" s="8" t="s">
        <v>925</v>
      </c>
      <c r="D819" s="3" t="s">
        <v>42</v>
      </c>
      <c r="E819" s="2" t="str">
        <f t="shared" si="107"/>
        <v>4</v>
      </c>
      <c r="F819" s="2" t="s">
        <v>1025</v>
      </c>
      <c r="G819" s="4" t="s">
        <v>1492</v>
      </c>
      <c r="H819" s="2">
        <f t="shared" si="108"/>
        <v>8</v>
      </c>
      <c r="I819" s="3" t="str">
        <f t="shared" si="105"/>
        <v>-</v>
      </c>
      <c r="J819" s="2" t="str">
        <f t="shared" si="106"/>
        <v>PARTICIPACAO EM OUTRAS SOCIEDADES</v>
      </c>
      <c r="K819" s="2" t="s">
        <v>926</v>
      </c>
      <c r="S819" s="6" t="b">
        <f>C819='Plano de Contas sem ponto'!C819</f>
        <v>1</v>
      </c>
    </row>
    <row r="820" spans="1:19" x14ac:dyDescent="0.2">
      <c r="A820" s="8" t="s">
        <v>1445</v>
      </c>
      <c r="B820" s="8" t="s">
        <v>40</v>
      </c>
      <c r="C820" s="8" t="s">
        <v>925</v>
      </c>
      <c r="D820" s="3" t="s">
        <v>42</v>
      </c>
      <c r="E820" s="2" t="str">
        <f t="shared" si="107"/>
        <v>4</v>
      </c>
      <c r="F820" s="2" t="s">
        <v>1025</v>
      </c>
      <c r="G820" s="4" t="s">
        <v>1492</v>
      </c>
      <c r="H820" s="2">
        <f t="shared" si="108"/>
        <v>11</v>
      </c>
      <c r="I820" s="3" t="str">
        <f>IF(H820=11,A820,"-")</f>
        <v>4.1.5.01.01</v>
      </c>
      <c r="J820" s="2" t="str">
        <f t="shared" si="106"/>
        <v>PARTICIPACAO EM OUTRAS SOCIEDADES</v>
      </c>
      <c r="K820" s="2" t="s">
        <v>926</v>
      </c>
      <c r="S820" s="6" t="b">
        <f>C820='Plano de Contas sem ponto'!C820</f>
        <v>1</v>
      </c>
    </row>
    <row r="821" spans="1:19" x14ac:dyDescent="0.2">
      <c r="A821" s="3" t="s">
        <v>1446</v>
      </c>
      <c r="B821" s="3" t="s">
        <v>54</v>
      </c>
      <c r="C821" s="3" t="s">
        <v>925</v>
      </c>
      <c r="D821" s="3" t="s">
        <v>42</v>
      </c>
      <c r="E821" s="2" t="str">
        <f t="shared" si="107"/>
        <v>4</v>
      </c>
      <c r="F821" s="2" t="s">
        <v>1025</v>
      </c>
      <c r="G821" s="4" t="s">
        <v>1492</v>
      </c>
      <c r="H821" s="2">
        <f t="shared" si="108"/>
        <v>16</v>
      </c>
      <c r="I821" s="3" t="str">
        <f t="shared" ref="I821:I847" si="109">IF(H821=11,A821,"-")</f>
        <v>-</v>
      </c>
      <c r="J821" s="2" t="str">
        <f t="shared" si="106"/>
        <v>PARTICIPACAO EM OUTRAS SOCIEDADES</v>
      </c>
      <c r="K821" s="2" t="s">
        <v>926</v>
      </c>
      <c r="S821" s="6" t="b">
        <f>C821='Plano de Contas sem ponto'!C821</f>
        <v>1</v>
      </c>
    </row>
    <row r="822" spans="1:19" x14ac:dyDescent="0.2">
      <c r="A822" s="1" t="s">
        <v>1447</v>
      </c>
      <c r="B822" s="1" t="s">
        <v>40</v>
      </c>
      <c r="C822" s="1" t="s">
        <v>1448</v>
      </c>
      <c r="D822" s="2" t="s">
        <v>42</v>
      </c>
      <c r="E822" s="2" t="str">
        <f t="shared" si="107"/>
        <v>4</v>
      </c>
      <c r="F822" s="2" t="s">
        <v>1025</v>
      </c>
      <c r="G822" s="4" t="s">
        <v>1492</v>
      </c>
      <c r="H822" s="2">
        <f t="shared" si="108"/>
        <v>3</v>
      </c>
      <c r="I822" s="3" t="str">
        <f t="shared" si="109"/>
        <v>-</v>
      </c>
      <c r="J822" s="2" t="str">
        <f t="shared" si="106"/>
        <v>DESPESAS NAO OPERACIONAIS</v>
      </c>
      <c r="K822" s="2" t="s">
        <v>963</v>
      </c>
      <c r="S822" s="6" t="b">
        <f>C822='Plano de Contas sem ponto'!C822</f>
        <v>1</v>
      </c>
    </row>
    <row r="823" spans="1:19" x14ac:dyDescent="0.2">
      <c r="A823" s="1" t="s">
        <v>1449</v>
      </c>
      <c r="B823" s="1" t="s">
        <v>40</v>
      </c>
      <c r="C823" s="1" t="s">
        <v>1448</v>
      </c>
      <c r="D823" s="2" t="s">
        <v>42</v>
      </c>
      <c r="E823" s="2" t="str">
        <f t="shared" si="107"/>
        <v>4</v>
      </c>
      <c r="F823" s="2" t="s">
        <v>1025</v>
      </c>
      <c r="G823" s="4" t="s">
        <v>1492</v>
      </c>
      <c r="H823" s="2">
        <f t="shared" si="108"/>
        <v>5</v>
      </c>
      <c r="I823" s="3" t="str">
        <f t="shared" si="109"/>
        <v>-</v>
      </c>
      <c r="J823" s="2" t="str">
        <f t="shared" si="106"/>
        <v>DESPESAS NAO OPERACIONAIS</v>
      </c>
      <c r="K823" s="2" t="s">
        <v>963</v>
      </c>
      <c r="S823" s="6" t="b">
        <f>C823='Plano de Contas sem ponto'!C823</f>
        <v>1</v>
      </c>
    </row>
    <row r="824" spans="1:19" x14ac:dyDescent="0.2">
      <c r="A824" s="1" t="s">
        <v>1450</v>
      </c>
      <c r="B824" s="1" t="s">
        <v>40</v>
      </c>
      <c r="C824" s="1" t="s">
        <v>1448</v>
      </c>
      <c r="D824" s="2" t="s">
        <v>42</v>
      </c>
      <c r="E824" s="2" t="str">
        <f t="shared" si="107"/>
        <v>4</v>
      </c>
      <c r="F824" s="2" t="s">
        <v>1025</v>
      </c>
      <c r="G824" s="4" t="s">
        <v>1492</v>
      </c>
      <c r="H824" s="2">
        <f t="shared" si="108"/>
        <v>8</v>
      </c>
      <c r="I824" s="3" t="str">
        <f t="shared" si="109"/>
        <v>-</v>
      </c>
      <c r="J824" s="2" t="str">
        <f t="shared" si="106"/>
        <v>DESPESAS NAO OPERACIONAIS</v>
      </c>
      <c r="K824" s="2" t="s">
        <v>963</v>
      </c>
      <c r="S824" s="6" t="b">
        <f>C824='Plano de Contas sem ponto'!C824</f>
        <v>1</v>
      </c>
    </row>
    <row r="825" spans="1:19" x14ac:dyDescent="0.2">
      <c r="A825" s="1" t="s">
        <v>1451</v>
      </c>
      <c r="B825" s="1" t="s">
        <v>40</v>
      </c>
      <c r="C825" s="1" t="s">
        <v>1448</v>
      </c>
      <c r="D825" s="2" t="s">
        <v>42</v>
      </c>
      <c r="E825" s="2" t="str">
        <f t="shared" si="107"/>
        <v>4</v>
      </c>
      <c r="F825" s="2" t="s">
        <v>1025</v>
      </c>
      <c r="G825" s="4" t="s">
        <v>1492</v>
      </c>
      <c r="H825" s="2">
        <f t="shared" si="108"/>
        <v>11</v>
      </c>
      <c r="I825" s="3" t="str">
        <f t="shared" si="109"/>
        <v>4.2.1.01.01</v>
      </c>
      <c r="J825" s="2" t="str">
        <f t="shared" si="106"/>
        <v>DESPESAS NAO OPERACIONAIS</v>
      </c>
      <c r="K825" s="2" t="s">
        <v>963</v>
      </c>
      <c r="S825" s="6" t="b">
        <f>C825='Plano de Contas sem ponto'!C825</f>
        <v>1</v>
      </c>
    </row>
    <row r="826" spans="1:19" x14ac:dyDescent="0.2">
      <c r="A826" s="2" t="s">
        <v>1452</v>
      </c>
      <c r="B826" s="2" t="s">
        <v>54</v>
      </c>
      <c r="C826" s="2" t="s">
        <v>1453</v>
      </c>
      <c r="D826" s="2" t="s">
        <v>42</v>
      </c>
      <c r="E826" s="2" t="str">
        <f t="shared" si="107"/>
        <v>4</v>
      </c>
      <c r="F826" s="2" t="s">
        <v>1025</v>
      </c>
      <c r="G826" s="4" t="s">
        <v>1492</v>
      </c>
      <c r="H826" s="2">
        <f t="shared" si="108"/>
        <v>16</v>
      </c>
      <c r="I826" s="3" t="str">
        <f t="shared" si="109"/>
        <v>-</v>
      </c>
      <c r="J826" s="2" t="str">
        <f t="shared" si="106"/>
        <v>DESPESAS NAO OPERACIONAIS</v>
      </c>
      <c r="K826" s="2" t="s">
        <v>963</v>
      </c>
      <c r="S826" s="6" t="b">
        <f>C826='Plano de Contas sem ponto'!C826</f>
        <v>1</v>
      </c>
    </row>
    <row r="827" spans="1:19" x14ac:dyDescent="0.2">
      <c r="A827" s="2" t="s">
        <v>1454</v>
      </c>
      <c r="B827" s="2" t="s">
        <v>54</v>
      </c>
      <c r="C827" s="2" t="s">
        <v>1455</v>
      </c>
      <c r="D827" s="2" t="s">
        <v>42</v>
      </c>
      <c r="E827" s="2" t="str">
        <f t="shared" si="107"/>
        <v>4</v>
      </c>
      <c r="F827" s="2" t="s">
        <v>1025</v>
      </c>
      <c r="G827" s="4" t="s">
        <v>1492</v>
      </c>
      <c r="H827" s="2">
        <f t="shared" si="108"/>
        <v>16</v>
      </c>
      <c r="I827" s="3" t="str">
        <f t="shared" si="109"/>
        <v>-</v>
      </c>
      <c r="J827" s="2" t="str">
        <f t="shared" si="106"/>
        <v>DESPESAS NAO OPERACIONAIS</v>
      </c>
      <c r="K827" s="2" t="s">
        <v>963</v>
      </c>
      <c r="S827" s="6" t="b">
        <f>C827='Plano de Contas sem ponto'!C827</f>
        <v>1</v>
      </c>
    </row>
    <row r="828" spans="1:19" x14ac:dyDescent="0.2">
      <c r="A828" s="2" t="s">
        <v>1456</v>
      </c>
      <c r="B828" s="2" t="s">
        <v>54</v>
      </c>
      <c r="C828" s="2" t="s">
        <v>1457</v>
      </c>
      <c r="D828" s="2" t="s">
        <v>42</v>
      </c>
      <c r="E828" s="2" t="str">
        <f t="shared" si="107"/>
        <v>4</v>
      </c>
      <c r="F828" s="2" t="s">
        <v>1025</v>
      </c>
      <c r="G828" s="4" t="s">
        <v>1492</v>
      </c>
      <c r="H828" s="2">
        <f t="shared" si="108"/>
        <v>16</v>
      </c>
      <c r="I828" s="3" t="str">
        <f t="shared" si="109"/>
        <v>-</v>
      </c>
      <c r="J828" s="2" t="str">
        <f t="shared" si="106"/>
        <v>DESPESAS NAO OPERACIONAIS</v>
      </c>
      <c r="K828" s="2" t="s">
        <v>963</v>
      </c>
      <c r="S828" s="6" t="b">
        <f>C828='Plano de Contas sem ponto'!C828</f>
        <v>1</v>
      </c>
    </row>
    <row r="829" spans="1:19" x14ac:dyDescent="0.2">
      <c r="A829" s="1" t="s">
        <v>1458</v>
      </c>
      <c r="B829" s="1" t="s">
        <v>40</v>
      </c>
      <c r="C829" s="1" t="s">
        <v>1459</v>
      </c>
      <c r="D829" s="2" t="s">
        <v>42</v>
      </c>
      <c r="E829" s="2" t="str">
        <f t="shared" si="107"/>
        <v>4</v>
      </c>
      <c r="F829" s="2" t="s">
        <v>1025</v>
      </c>
      <c r="G829" s="4" t="s">
        <v>1492</v>
      </c>
      <c r="H829" s="2">
        <f t="shared" si="108"/>
        <v>3</v>
      </c>
      <c r="I829" s="3" t="str">
        <f t="shared" si="109"/>
        <v>-</v>
      </c>
      <c r="J829" s="2" t="str">
        <f t="shared" si="106"/>
        <v>IMPOSTOS E PARTICIPAÇÕES SOBRE O LUCRO</v>
      </c>
      <c r="K829" s="2" t="s">
        <v>1460</v>
      </c>
      <c r="S829" s="6" t="b">
        <f>C829='Plano de Contas sem ponto'!C829</f>
        <v>1</v>
      </c>
    </row>
    <row r="830" spans="1:19" x14ac:dyDescent="0.2">
      <c r="A830" s="1" t="s">
        <v>1461</v>
      </c>
      <c r="B830" s="1" t="s">
        <v>40</v>
      </c>
      <c r="C830" s="1" t="s">
        <v>1462</v>
      </c>
      <c r="D830" s="2" t="s">
        <v>42</v>
      </c>
      <c r="E830" s="2" t="str">
        <f t="shared" si="107"/>
        <v>4</v>
      </c>
      <c r="F830" s="2" t="s">
        <v>1025</v>
      </c>
      <c r="G830" s="4" t="s">
        <v>1492</v>
      </c>
      <c r="H830" s="2">
        <f t="shared" si="108"/>
        <v>5</v>
      </c>
      <c r="I830" s="3" t="str">
        <f t="shared" si="109"/>
        <v>-</v>
      </c>
      <c r="J830" s="2" t="str">
        <f t="shared" si="106"/>
        <v>IMPOSTOS E CONTRIBUIÇÕES</v>
      </c>
      <c r="K830" s="2" t="s">
        <v>1460</v>
      </c>
      <c r="S830" s="6" t="b">
        <f>C830='Plano de Contas sem ponto'!C830</f>
        <v>1</v>
      </c>
    </row>
    <row r="831" spans="1:19" x14ac:dyDescent="0.2">
      <c r="A831" s="1" t="s">
        <v>1463</v>
      </c>
      <c r="B831" s="1" t="s">
        <v>40</v>
      </c>
      <c r="C831" s="1" t="s">
        <v>1462</v>
      </c>
      <c r="D831" s="2" t="s">
        <v>42</v>
      </c>
      <c r="E831" s="2" t="str">
        <f t="shared" si="107"/>
        <v>4</v>
      </c>
      <c r="F831" s="2" t="s">
        <v>1025</v>
      </c>
      <c r="G831" s="4" t="s">
        <v>1492</v>
      </c>
      <c r="H831" s="2">
        <f t="shared" si="108"/>
        <v>8</v>
      </c>
      <c r="I831" s="3" t="str">
        <f t="shared" si="109"/>
        <v>-</v>
      </c>
      <c r="J831" s="2" t="str">
        <f t="shared" si="106"/>
        <v>IMPOSTOS E CONTRIBUIÇÕES</v>
      </c>
      <c r="K831" s="2" t="s">
        <v>1460</v>
      </c>
      <c r="S831" s="6" t="b">
        <f>C831='Plano de Contas sem ponto'!C831</f>
        <v>1</v>
      </c>
    </row>
    <row r="832" spans="1:19" x14ac:dyDescent="0.2">
      <c r="A832" s="1" t="s">
        <v>1464</v>
      </c>
      <c r="B832" s="1" t="s">
        <v>40</v>
      </c>
      <c r="C832" s="1" t="s">
        <v>1462</v>
      </c>
      <c r="D832" s="2" t="s">
        <v>42</v>
      </c>
      <c r="E832" s="2" t="str">
        <f t="shared" si="107"/>
        <v>4</v>
      </c>
      <c r="F832" s="2" t="s">
        <v>1025</v>
      </c>
      <c r="G832" s="4" t="s">
        <v>1492</v>
      </c>
      <c r="H832" s="2">
        <f t="shared" si="108"/>
        <v>11</v>
      </c>
      <c r="I832" s="3" t="str">
        <f t="shared" si="109"/>
        <v>4.3.1.01.01</v>
      </c>
      <c r="J832" s="2" t="str">
        <f t="shared" si="106"/>
        <v>IMPOSTOS E CONTRIBUIÇÕES</v>
      </c>
      <c r="K832" s="2" t="s">
        <v>1460</v>
      </c>
      <c r="S832" s="6" t="b">
        <f>C832='Plano de Contas sem ponto'!C832</f>
        <v>1</v>
      </c>
    </row>
    <row r="833" spans="1:19" x14ac:dyDescent="0.2">
      <c r="A833" s="2" t="s">
        <v>1465</v>
      </c>
      <c r="B833" s="2" t="s">
        <v>54</v>
      </c>
      <c r="C833" s="2" t="s">
        <v>563</v>
      </c>
      <c r="D833" s="2" t="s">
        <v>42</v>
      </c>
      <c r="E833" s="2" t="str">
        <f t="shared" si="107"/>
        <v>4</v>
      </c>
      <c r="F833" s="2" t="s">
        <v>1025</v>
      </c>
      <c r="G833" s="4" t="s">
        <v>1492</v>
      </c>
      <c r="H833" s="2">
        <f t="shared" si="108"/>
        <v>16</v>
      </c>
      <c r="I833" s="3" t="str">
        <f t="shared" si="109"/>
        <v>-</v>
      </c>
      <c r="J833" s="2" t="str">
        <f t="shared" si="106"/>
        <v>IMPOSTOS E CONTRIBUIÇÕES</v>
      </c>
      <c r="K833" s="2" t="s">
        <v>1460</v>
      </c>
      <c r="S833" s="6" t="b">
        <f>C833='Plano de Contas sem ponto'!C833</f>
        <v>1</v>
      </c>
    </row>
    <row r="834" spans="1:19" x14ac:dyDescent="0.2">
      <c r="A834" s="2" t="s">
        <v>1466</v>
      </c>
      <c r="B834" s="2" t="s">
        <v>54</v>
      </c>
      <c r="C834" s="2" t="s">
        <v>566</v>
      </c>
      <c r="D834" s="2" t="s">
        <v>42</v>
      </c>
      <c r="E834" s="2" t="str">
        <f t="shared" si="107"/>
        <v>4</v>
      </c>
      <c r="F834" s="2" t="s">
        <v>1025</v>
      </c>
      <c r="G834" s="4" t="s">
        <v>1492</v>
      </c>
      <c r="H834" s="2">
        <f t="shared" si="108"/>
        <v>16</v>
      </c>
      <c r="I834" s="3" t="str">
        <f t="shared" si="109"/>
        <v>-</v>
      </c>
      <c r="J834" s="2" t="str">
        <f t="shared" si="106"/>
        <v>IMPOSTOS E CONTRIBUIÇÕES</v>
      </c>
      <c r="K834" s="2" t="s">
        <v>1460</v>
      </c>
      <c r="S834" s="6" t="b">
        <f>C834='Plano de Contas sem ponto'!C834</f>
        <v>1</v>
      </c>
    </row>
    <row r="835" spans="1:19" x14ac:dyDescent="0.2">
      <c r="A835" s="1" t="s">
        <v>1467</v>
      </c>
      <c r="B835" s="1" t="s">
        <v>40</v>
      </c>
      <c r="C835" s="1" t="s">
        <v>1468</v>
      </c>
      <c r="D835" s="2" t="s">
        <v>42</v>
      </c>
      <c r="E835" s="2" t="str">
        <f t="shared" si="107"/>
        <v>4</v>
      </c>
      <c r="F835" s="2" t="s">
        <v>1025</v>
      </c>
      <c r="G835" s="4" t="s">
        <v>1492</v>
      </c>
      <c r="H835" s="2">
        <f t="shared" si="108"/>
        <v>5</v>
      </c>
      <c r="I835" s="3" t="str">
        <f t="shared" si="109"/>
        <v>-</v>
      </c>
      <c r="J835" s="2" t="str">
        <f t="shared" si="106"/>
        <v>PARTICIPAÇÕES SOBRE O LUCRO</v>
      </c>
      <c r="K835" s="2" t="s">
        <v>1469</v>
      </c>
      <c r="S835" s="6" t="b">
        <f>C835='Plano de Contas sem ponto'!C835</f>
        <v>1</v>
      </c>
    </row>
    <row r="836" spans="1:19" x14ac:dyDescent="0.2">
      <c r="A836" s="1" t="s">
        <v>1470</v>
      </c>
      <c r="B836" s="1" t="s">
        <v>40</v>
      </c>
      <c r="C836" s="1" t="s">
        <v>1471</v>
      </c>
      <c r="D836" s="2" t="s">
        <v>42</v>
      </c>
      <c r="E836" s="2" t="str">
        <f t="shared" si="107"/>
        <v>4</v>
      </c>
      <c r="F836" s="2" t="s">
        <v>1025</v>
      </c>
      <c r="G836" s="4" t="s">
        <v>1492</v>
      </c>
      <c r="H836" s="2">
        <f t="shared" si="108"/>
        <v>8</v>
      </c>
      <c r="I836" s="3" t="str">
        <f t="shared" si="109"/>
        <v>-</v>
      </c>
      <c r="J836" s="2" t="str">
        <f t="shared" si="106"/>
        <v>DESPESAS COM PARTICIPAÇÕES SOBRE O LUCRO</v>
      </c>
      <c r="K836" s="2" t="s">
        <v>1469</v>
      </c>
      <c r="S836" s="6" t="b">
        <f>C836='Plano de Contas sem ponto'!C836</f>
        <v>1</v>
      </c>
    </row>
    <row r="837" spans="1:19" x14ac:dyDescent="0.2">
      <c r="A837" s="1" t="s">
        <v>1472</v>
      </c>
      <c r="B837" s="1" t="s">
        <v>40</v>
      </c>
      <c r="C837" s="1" t="s">
        <v>1471</v>
      </c>
      <c r="D837" s="2" t="s">
        <v>42</v>
      </c>
      <c r="E837" s="2" t="str">
        <f t="shared" si="107"/>
        <v>4</v>
      </c>
      <c r="F837" s="2" t="s">
        <v>1025</v>
      </c>
      <c r="G837" s="4" t="s">
        <v>1492</v>
      </c>
      <c r="H837" s="2">
        <f t="shared" si="108"/>
        <v>11</v>
      </c>
      <c r="I837" s="3" t="str">
        <f t="shared" si="109"/>
        <v>4.3.2.01.01</v>
      </c>
      <c r="J837" s="2" t="str">
        <f t="shared" si="106"/>
        <v>DESPESAS COM PARTICIPAÇÕES SOBRE O LUCRO</v>
      </c>
      <c r="K837" s="2" t="s">
        <v>1469</v>
      </c>
      <c r="S837" s="6" t="b">
        <f>C837='Plano de Contas sem ponto'!C837</f>
        <v>1</v>
      </c>
    </row>
    <row r="838" spans="1:19" x14ac:dyDescent="0.2">
      <c r="A838" s="2" t="s">
        <v>1473</v>
      </c>
      <c r="B838" s="2" t="s">
        <v>54</v>
      </c>
      <c r="C838" s="2" t="s">
        <v>1474</v>
      </c>
      <c r="D838" s="2" t="s">
        <v>42</v>
      </c>
      <c r="E838" s="2" t="str">
        <f t="shared" si="107"/>
        <v>4</v>
      </c>
      <c r="F838" s="2" t="s">
        <v>1025</v>
      </c>
      <c r="G838" s="4" t="s">
        <v>1492</v>
      </c>
      <c r="H838" s="2">
        <f t="shared" si="108"/>
        <v>16</v>
      </c>
      <c r="I838" s="3" t="str">
        <f t="shared" si="109"/>
        <v>-</v>
      </c>
      <c r="J838" s="2" t="str">
        <f t="shared" si="106"/>
        <v>DESPESAS COM PARTICIPAÇÕES SOBRE O LUCRO</v>
      </c>
      <c r="K838" s="2" t="s">
        <v>1469</v>
      </c>
      <c r="S838" s="6" t="b">
        <f>C838='Plano de Contas sem ponto'!C838</f>
        <v>1</v>
      </c>
    </row>
    <row r="839" spans="1:19" x14ac:dyDescent="0.2">
      <c r="A839" s="2" t="s">
        <v>1475</v>
      </c>
      <c r="B839" s="2" t="s">
        <v>54</v>
      </c>
      <c r="C839" s="2" t="s">
        <v>1476</v>
      </c>
      <c r="D839" s="2" t="s">
        <v>42</v>
      </c>
      <c r="E839" s="2" t="str">
        <f t="shared" si="107"/>
        <v>4</v>
      </c>
      <c r="F839" s="2" t="s">
        <v>1025</v>
      </c>
      <c r="G839" s="4" t="s">
        <v>1492</v>
      </c>
      <c r="H839" s="2">
        <f t="shared" si="108"/>
        <v>16</v>
      </c>
      <c r="I839" s="3" t="str">
        <f t="shared" si="109"/>
        <v>-</v>
      </c>
      <c r="J839" s="2" t="str">
        <f t="shared" si="106"/>
        <v>DESPESAS COM PARTICIPAÇÕES SOBRE O LUCRO</v>
      </c>
      <c r="K839" s="2" t="s">
        <v>1469</v>
      </c>
      <c r="S839" s="6" t="b">
        <f>C839='Plano de Contas sem ponto'!C839</f>
        <v>1</v>
      </c>
    </row>
    <row r="840" spans="1:19" x14ac:dyDescent="0.2">
      <c r="A840" s="2" t="s">
        <v>1477</v>
      </c>
      <c r="B840" s="2" t="s">
        <v>54</v>
      </c>
      <c r="C840" s="2" t="s">
        <v>1478</v>
      </c>
      <c r="D840" s="2" t="s">
        <v>42</v>
      </c>
      <c r="E840" s="2" t="str">
        <f t="shared" si="107"/>
        <v>4</v>
      </c>
      <c r="F840" s="2" t="s">
        <v>1025</v>
      </c>
      <c r="G840" s="4" t="s">
        <v>1492</v>
      </c>
      <c r="H840" s="2">
        <f t="shared" si="108"/>
        <v>16</v>
      </c>
      <c r="I840" s="3" t="str">
        <f t="shared" si="109"/>
        <v>-</v>
      </c>
      <c r="J840" s="2" t="str">
        <f t="shared" si="106"/>
        <v>DESPESAS COM PARTICIPAÇÕES SOBRE O LUCRO</v>
      </c>
      <c r="K840" s="2" t="s">
        <v>1469</v>
      </c>
      <c r="S840" s="6" t="b">
        <f>C840='Plano de Contas sem ponto'!C840</f>
        <v>1</v>
      </c>
    </row>
    <row r="841" spans="1:19" x14ac:dyDescent="0.2">
      <c r="A841" s="1">
        <v>5</v>
      </c>
      <c r="B841" s="1" t="s">
        <v>40</v>
      </c>
      <c r="C841" s="1" t="s">
        <v>1479</v>
      </c>
      <c r="D841" s="2" t="s">
        <v>793</v>
      </c>
      <c r="E841" s="2" t="str">
        <f t="shared" si="107"/>
        <v>5</v>
      </c>
      <c r="F841" s="2" t="s">
        <v>1480</v>
      </c>
      <c r="G841" s="4" t="s">
        <v>1492</v>
      </c>
      <c r="H841" s="2">
        <f t="shared" si="108"/>
        <v>1</v>
      </c>
      <c r="I841" s="3" t="str">
        <f t="shared" si="109"/>
        <v>-</v>
      </c>
      <c r="J841" s="2" t="str">
        <f t="shared" si="106"/>
        <v>CONTA TRANSITORIA</v>
      </c>
      <c r="K841" s="2" t="s">
        <v>440</v>
      </c>
      <c r="S841" s="6" t="b">
        <f>C841='Plano de Contas sem ponto'!C841</f>
        <v>1</v>
      </c>
    </row>
    <row r="842" spans="1:19" x14ac:dyDescent="0.2">
      <c r="A842" s="1" t="s">
        <v>1481</v>
      </c>
      <c r="B842" s="1" t="s">
        <v>40</v>
      </c>
      <c r="C842" s="1" t="s">
        <v>1479</v>
      </c>
      <c r="D842" s="2" t="s">
        <v>793</v>
      </c>
      <c r="E842" s="2" t="str">
        <f t="shared" si="107"/>
        <v>5</v>
      </c>
      <c r="F842" s="2" t="s">
        <v>1480</v>
      </c>
      <c r="G842" s="4" t="s">
        <v>1492</v>
      </c>
      <c r="H842" s="2">
        <f t="shared" si="108"/>
        <v>3</v>
      </c>
      <c r="I842" s="3" t="str">
        <f t="shared" si="109"/>
        <v>-</v>
      </c>
      <c r="J842" s="2" t="str">
        <f t="shared" si="106"/>
        <v>CONTA TRANSITORIA</v>
      </c>
      <c r="K842" s="2" t="s">
        <v>440</v>
      </c>
      <c r="S842" s="6" t="b">
        <f>C842='Plano de Contas sem ponto'!C842</f>
        <v>1</v>
      </c>
    </row>
    <row r="843" spans="1:19" x14ac:dyDescent="0.2">
      <c r="A843" s="1" t="s">
        <v>1482</v>
      </c>
      <c r="B843" s="1" t="s">
        <v>40</v>
      </c>
      <c r="C843" s="1" t="s">
        <v>1479</v>
      </c>
      <c r="D843" s="2" t="s">
        <v>793</v>
      </c>
      <c r="E843" s="2" t="str">
        <f t="shared" si="107"/>
        <v>5</v>
      </c>
      <c r="F843" s="2" t="s">
        <v>1480</v>
      </c>
      <c r="G843" s="4" t="s">
        <v>1492</v>
      </c>
      <c r="H843" s="2">
        <f t="shared" si="108"/>
        <v>5</v>
      </c>
      <c r="I843" s="3" t="str">
        <f t="shared" si="109"/>
        <v>-</v>
      </c>
      <c r="J843" s="2" t="str">
        <f t="shared" si="106"/>
        <v>CONTA TRANSITORIA</v>
      </c>
      <c r="K843" s="2" t="s">
        <v>440</v>
      </c>
      <c r="S843" s="6" t="b">
        <f>C843='Plano de Contas sem ponto'!C843</f>
        <v>1</v>
      </c>
    </row>
    <row r="844" spans="1:19" x14ac:dyDescent="0.2">
      <c r="A844" s="1" t="s">
        <v>1483</v>
      </c>
      <c r="B844" s="1" t="s">
        <v>40</v>
      </c>
      <c r="C844" s="1" t="s">
        <v>1479</v>
      </c>
      <c r="D844" s="2" t="s">
        <v>793</v>
      </c>
      <c r="E844" s="2" t="str">
        <f t="shared" si="107"/>
        <v>5</v>
      </c>
      <c r="F844" s="2" t="s">
        <v>1480</v>
      </c>
      <c r="G844" s="4" t="s">
        <v>1492</v>
      </c>
      <c r="H844" s="2">
        <f t="shared" si="108"/>
        <v>8</v>
      </c>
      <c r="I844" s="3" t="str">
        <f t="shared" si="109"/>
        <v>-</v>
      </c>
      <c r="J844" s="2" t="str">
        <f t="shared" si="106"/>
        <v>CONTA TRANSITORIA</v>
      </c>
      <c r="K844" s="2" t="s">
        <v>440</v>
      </c>
      <c r="S844" s="6" t="b">
        <f>C844='Plano de Contas sem ponto'!C844</f>
        <v>1</v>
      </c>
    </row>
    <row r="845" spans="1:19" x14ac:dyDescent="0.2">
      <c r="A845" s="1" t="s">
        <v>1484</v>
      </c>
      <c r="B845" s="1" t="s">
        <v>40</v>
      </c>
      <c r="C845" s="1" t="s">
        <v>1479</v>
      </c>
      <c r="D845" s="2" t="s">
        <v>793</v>
      </c>
      <c r="E845" s="2" t="str">
        <f t="shared" si="107"/>
        <v>5</v>
      </c>
      <c r="F845" s="2" t="s">
        <v>1480</v>
      </c>
      <c r="G845" s="4" t="s">
        <v>1492</v>
      </c>
      <c r="H845" s="2">
        <f t="shared" si="108"/>
        <v>11</v>
      </c>
      <c r="I845" s="3" t="str">
        <f t="shared" si="109"/>
        <v>5.1.1.01.01</v>
      </c>
      <c r="J845" s="2" t="str">
        <f t="shared" si="106"/>
        <v>CONTA TRANSITORIA</v>
      </c>
      <c r="K845" s="2" t="s">
        <v>440</v>
      </c>
      <c r="S845" s="6" t="b">
        <f>C845='Plano de Contas sem ponto'!C845</f>
        <v>1</v>
      </c>
    </row>
    <row r="846" spans="1:19" x14ac:dyDescent="0.2">
      <c r="A846" s="2" t="s">
        <v>1485</v>
      </c>
      <c r="B846" s="2" t="s">
        <v>54</v>
      </c>
      <c r="C846" s="2" t="s">
        <v>1486</v>
      </c>
      <c r="D846" s="2" t="s">
        <v>793</v>
      </c>
      <c r="E846" s="2" t="str">
        <f t="shared" si="107"/>
        <v>5</v>
      </c>
      <c r="F846" s="2" t="s">
        <v>1480</v>
      </c>
      <c r="G846" s="4" t="s">
        <v>1492</v>
      </c>
      <c r="H846" s="2">
        <f t="shared" si="108"/>
        <v>16</v>
      </c>
      <c r="I846" s="3" t="str">
        <f t="shared" si="109"/>
        <v>-</v>
      </c>
      <c r="J846" s="2" t="str">
        <f t="shared" si="106"/>
        <v>CONTA TRANSITORIA</v>
      </c>
      <c r="K846" s="2" t="s">
        <v>440</v>
      </c>
      <c r="S846" s="6" t="b">
        <f>C846='Plano de Contas sem ponto'!C846</f>
        <v>1</v>
      </c>
    </row>
    <row r="847" spans="1:19" x14ac:dyDescent="0.2">
      <c r="A847" s="2" t="s">
        <v>1487</v>
      </c>
      <c r="B847" s="2" t="s">
        <v>54</v>
      </c>
      <c r="C847" s="2" t="s">
        <v>1488</v>
      </c>
      <c r="D847" s="2" t="s">
        <v>793</v>
      </c>
      <c r="E847" s="2" t="str">
        <f t="shared" si="107"/>
        <v>5</v>
      </c>
      <c r="F847" s="2" t="s">
        <v>1480</v>
      </c>
      <c r="G847" s="4" t="s">
        <v>1492</v>
      </c>
      <c r="H847" s="2">
        <f t="shared" si="108"/>
        <v>16</v>
      </c>
      <c r="I847" s="3" t="str">
        <f t="shared" si="109"/>
        <v>-</v>
      </c>
      <c r="J847" s="2" t="str">
        <f t="shared" si="106"/>
        <v>CONTA TRANSITORIA</v>
      </c>
      <c r="K847" s="2" t="s">
        <v>440</v>
      </c>
      <c r="S847" s="6" t="b">
        <f>C847='Plano de Contas sem ponto'!C847</f>
        <v>1</v>
      </c>
    </row>
  </sheetData>
  <autoFilter ref="A1:M847" xr:uid="{00000000-0009-0000-0000-000000000000}"/>
  <phoneticPr fontId="16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A2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47"/>
  <sheetViews>
    <sheetView showGridLines="0" zoomScaleNormal="100" workbookViewId="0">
      <pane ySplit="1" topLeftCell="A703" activePane="bottomLeft" state="frozen"/>
      <selection activeCell="M610" sqref="A610:M611"/>
      <selection pane="bottomLeft" activeCell="F727" sqref="F727"/>
    </sheetView>
  </sheetViews>
  <sheetFormatPr defaultColWidth="9.1796875" defaultRowHeight="10" x14ac:dyDescent="0.2"/>
  <cols>
    <col min="1" max="1" width="18.54296875" style="6" customWidth="1"/>
    <col min="2" max="2" width="6.26953125" style="6" customWidth="1"/>
    <col min="3" max="3" width="42" style="6" customWidth="1"/>
    <col min="4" max="5" width="11.26953125" style="6" customWidth="1"/>
    <col min="6" max="6" width="19.26953125" style="6" customWidth="1"/>
    <col min="7" max="7" width="13.7265625" style="6" customWidth="1"/>
    <col min="8" max="8" width="11.1796875" style="6" customWidth="1"/>
    <col min="9" max="9" width="11.26953125" style="6" customWidth="1"/>
    <col min="10" max="10" width="33.54296875" style="2" customWidth="1"/>
    <col min="11" max="11" width="27.26953125" style="2" customWidth="1"/>
    <col min="12" max="12" width="46" style="6" customWidth="1"/>
    <col min="13" max="13" width="32.1796875" style="6" customWidth="1"/>
    <col min="14" max="18" width="9.1796875" style="6"/>
    <col min="19" max="19" width="12.1796875" style="6" bestFit="1" customWidth="1"/>
    <col min="20" max="16384" width="9.1796875" style="6"/>
  </cols>
  <sheetData>
    <row r="1" spans="1:19" s="31" customFormat="1" ht="27" customHeight="1" thickBot="1" x14ac:dyDescent="0.4">
      <c r="A1" s="29" t="s">
        <v>31</v>
      </c>
      <c r="B1" s="30" t="s">
        <v>40</v>
      </c>
      <c r="C1" s="30" t="s">
        <v>32</v>
      </c>
      <c r="D1" s="30" t="s">
        <v>33</v>
      </c>
      <c r="E1" s="30" t="s">
        <v>34</v>
      </c>
      <c r="F1" s="30" t="s">
        <v>35</v>
      </c>
      <c r="G1" s="30" t="s">
        <v>1489</v>
      </c>
      <c r="H1" s="30" t="s">
        <v>36</v>
      </c>
      <c r="I1" s="30" t="s">
        <v>1496</v>
      </c>
      <c r="J1" s="30" t="s">
        <v>37</v>
      </c>
      <c r="K1" s="30" t="s">
        <v>38</v>
      </c>
      <c r="L1" s="30" t="s">
        <v>1497</v>
      </c>
      <c r="M1" s="30" t="s">
        <v>1528</v>
      </c>
      <c r="N1" s="30" t="s">
        <v>1741</v>
      </c>
    </row>
    <row r="2" spans="1:19" x14ac:dyDescent="0.2">
      <c r="A2" s="17" t="s">
        <v>39</v>
      </c>
      <c r="B2" s="1" t="s">
        <v>40</v>
      </c>
      <c r="C2" s="1" t="s">
        <v>41</v>
      </c>
      <c r="D2" s="2" t="s">
        <v>42</v>
      </c>
      <c r="E2" s="2" t="s">
        <v>39</v>
      </c>
      <c r="F2" s="2" t="s">
        <v>43</v>
      </c>
      <c r="G2" s="4" t="s">
        <v>1492</v>
      </c>
      <c r="H2" s="2">
        <v>1</v>
      </c>
      <c r="I2" s="3" t="s">
        <v>1492</v>
      </c>
      <c r="J2" s="2" t="s">
        <v>41</v>
      </c>
      <c r="S2" s="6" t="b">
        <f>C2='Plano de Contas'!C2</f>
        <v>1</v>
      </c>
    </row>
    <row r="3" spans="1:19" x14ac:dyDescent="0.2">
      <c r="A3" s="17" t="s">
        <v>1799</v>
      </c>
      <c r="B3" s="1" t="s">
        <v>40</v>
      </c>
      <c r="C3" s="1" t="s">
        <v>45</v>
      </c>
      <c r="D3" s="2" t="s">
        <v>42</v>
      </c>
      <c r="E3" s="2" t="s">
        <v>39</v>
      </c>
      <c r="F3" s="2" t="s">
        <v>43</v>
      </c>
      <c r="G3" s="2" t="s">
        <v>1490</v>
      </c>
      <c r="H3" s="2">
        <v>3</v>
      </c>
      <c r="I3" s="3" t="s">
        <v>1492</v>
      </c>
      <c r="J3" s="2" t="s">
        <v>45</v>
      </c>
      <c r="S3" s="6" t="b">
        <f>C3='Plano de Contas'!C3</f>
        <v>1</v>
      </c>
    </row>
    <row r="4" spans="1:19" x14ac:dyDescent="0.2">
      <c r="A4" s="17" t="s">
        <v>1800</v>
      </c>
      <c r="B4" s="1" t="s">
        <v>40</v>
      </c>
      <c r="C4" s="1" t="s">
        <v>47</v>
      </c>
      <c r="D4" s="2" t="s">
        <v>42</v>
      </c>
      <c r="E4" s="2" t="s">
        <v>39</v>
      </c>
      <c r="F4" s="2" t="s">
        <v>43</v>
      </c>
      <c r="G4" s="2" t="s">
        <v>1490</v>
      </c>
      <c r="H4" s="2">
        <v>5</v>
      </c>
      <c r="I4" s="3" t="s">
        <v>1492</v>
      </c>
      <c r="J4" s="2" t="s">
        <v>47</v>
      </c>
      <c r="S4" s="6" t="b">
        <f>C4='Plano de Contas'!C4</f>
        <v>1</v>
      </c>
    </row>
    <row r="5" spans="1:19" x14ac:dyDescent="0.2">
      <c r="A5" s="17" t="s">
        <v>1801</v>
      </c>
      <c r="B5" s="1" t="s">
        <v>40</v>
      </c>
      <c r="C5" s="1" t="s">
        <v>49</v>
      </c>
      <c r="D5" s="2" t="s">
        <v>42</v>
      </c>
      <c r="E5" s="2" t="s">
        <v>39</v>
      </c>
      <c r="F5" s="2" t="s">
        <v>43</v>
      </c>
      <c r="G5" s="2" t="s">
        <v>1490</v>
      </c>
      <c r="H5" s="2">
        <v>8</v>
      </c>
      <c r="I5" s="3" t="s">
        <v>1492</v>
      </c>
      <c r="J5" s="2" t="s">
        <v>49</v>
      </c>
      <c r="S5" s="6" t="b">
        <f>C5='Plano de Contas'!C5</f>
        <v>1</v>
      </c>
    </row>
    <row r="6" spans="1:19" x14ac:dyDescent="0.2">
      <c r="A6" s="17" t="s">
        <v>1802</v>
      </c>
      <c r="B6" s="1" t="s">
        <v>40</v>
      </c>
      <c r="C6" s="1" t="s">
        <v>51</v>
      </c>
      <c r="D6" s="2" t="s">
        <v>42</v>
      </c>
      <c r="E6" s="2" t="s">
        <v>39</v>
      </c>
      <c r="F6" s="2" t="s">
        <v>43</v>
      </c>
      <c r="G6" s="2" t="s">
        <v>1490</v>
      </c>
      <c r="H6" s="2">
        <v>11</v>
      </c>
      <c r="I6" s="3" t="s">
        <v>50</v>
      </c>
      <c r="J6" s="2" t="s">
        <v>51</v>
      </c>
      <c r="K6" s="2" t="s">
        <v>52</v>
      </c>
      <c r="L6" s="6" t="s">
        <v>1498</v>
      </c>
      <c r="S6" s="6" t="b">
        <f>C6='Plano de Contas'!C6</f>
        <v>1</v>
      </c>
    </row>
    <row r="7" spans="1:19" x14ac:dyDescent="0.2">
      <c r="A7" s="18" t="s">
        <v>1803</v>
      </c>
      <c r="B7" s="2" t="s">
        <v>54</v>
      </c>
      <c r="C7" s="2" t="s">
        <v>55</v>
      </c>
      <c r="D7" s="2" t="s">
        <v>42</v>
      </c>
      <c r="E7" s="2" t="s">
        <v>39</v>
      </c>
      <c r="F7" s="2" t="s">
        <v>43</v>
      </c>
      <c r="G7" s="2" t="s">
        <v>1490</v>
      </c>
      <c r="H7" s="2">
        <v>16</v>
      </c>
      <c r="I7" s="3" t="s">
        <v>1492</v>
      </c>
      <c r="J7" s="2" t="s">
        <v>51</v>
      </c>
      <c r="K7" s="2" t="s">
        <v>52</v>
      </c>
      <c r="L7" s="6" t="s">
        <v>1498</v>
      </c>
      <c r="S7" s="6" t="b">
        <f>C7='Plano de Contas'!C7</f>
        <v>1</v>
      </c>
    </row>
    <row r="8" spans="1:19" x14ac:dyDescent="0.2">
      <c r="A8" s="18" t="s">
        <v>1804</v>
      </c>
      <c r="B8" s="2" t="s">
        <v>54</v>
      </c>
      <c r="C8" s="2" t="s">
        <v>57</v>
      </c>
      <c r="D8" s="2" t="s">
        <v>42</v>
      </c>
      <c r="E8" s="2" t="s">
        <v>39</v>
      </c>
      <c r="F8" s="2" t="s">
        <v>43</v>
      </c>
      <c r="G8" s="2" t="s">
        <v>1490</v>
      </c>
      <c r="H8" s="2">
        <v>16</v>
      </c>
      <c r="I8" s="3" t="s">
        <v>1492</v>
      </c>
      <c r="J8" s="2" t="s">
        <v>51</v>
      </c>
      <c r="K8" s="2" t="s">
        <v>52</v>
      </c>
      <c r="L8" s="6" t="s">
        <v>1498</v>
      </c>
      <c r="S8" s="6" t="b">
        <f>C8='Plano de Contas'!C8</f>
        <v>1</v>
      </c>
    </row>
    <row r="9" spans="1:19" x14ac:dyDescent="0.2">
      <c r="A9" s="18" t="s">
        <v>1805</v>
      </c>
      <c r="B9" s="2" t="s">
        <v>54</v>
      </c>
      <c r="C9" s="2" t="s">
        <v>59</v>
      </c>
      <c r="D9" s="2" t="s">
        <v>42</v>
      </c>
      <c r="E9" s="2" t="s">
        <v>39</v>
      </c>
      <c r="F9" s="2" t="s">
        <v>43</v>
      </c>
      <c r="G9" s="2" t="s">
        <v>1490</v>
      </c>
      <c r="H9" s="2">
        <v>16</v>
      </c>
      <c r="I9" s="3" t="s">
        <v>1492</v>
      </c>
      <c r="J9" s="2" t="s">
        <v>51</v>
      </c>
      <c r="K9" s="2" t="s">
        <v>52</v>
      </c>
      <c r="L9" s="6" t="s">
        <v>1498</v>
      </c>
      <c r="S9" s="6" t="b">
        <f>C9='Plano de Contas'!C9</f>
        <v>1</v>
      </c>
    </row>
    <row r="10" spans="1:19" x14ac:dyDescent="0.2">
      <c r="A10" s="18" t="s">
        <v>1806</v>
      </c>
      <c r="B10" s="2" t="s">
        <v>54</v>
      </c>
      <c r="C10" s="2" t="s">
        <v>61</v>
      </c>
      <c r="D10" s="2" t="s">
        <v>42</v>
      </c>
      <c r="E10" s="2" t="s">
        <v>39</v>
      </c>
      <c r="F10" s="2" t="s">
        <v>43</v>
      </c>
      <c r="G10" s="2" t="s">
        <v>1490</v>
      </c>
      <c r="H10" s="2">
        <v>16</v>
      </c>
      <c r="I10" s="3" t="s">
        <v>1492</v>
      </c>
      <c r="J10" s="2" t="s">
        <v>51</v>
      </c>
      <c r="K10" s="2" t="s">
        <v>52</v>
      </c>
      <c r="L10" s="6" t="s">
        <v>1498</v>
      </c>
      <c r="S10" s="6" t="b">
        <f>C10='Plano de Contas'!C10</f>
        <v>1</v>
      </c>
    </row>
    <row r="11" spans="1:19" x14ac:dyDescent="0.2">
      <c r="A11" s="18" t="s">
        <v>1807</v>
      </c>
      <c r="B11" s="2" t="s">
        <v>54</v>
      </c>
      <c r="C11" s="2" t="s">
        <v>63</v>
      </c>
      <c r="D11" s="2" t="s">
        <v>42</v>
      </c>
      <c r="E11" s="2" t="s">
        <v>39</v>
      </c>
      <c r="F11" s="2" t="s">
        <v>43</v>
      </c>
      <c r="G11" s="2" t="s">
        <v>1490</v>
      </c>
      <c r="H11" s="2">
        <v>16</v>
      </c>
      <c r="I11" s="3" t="s">
        <v>1492</v>
      </c>
      <c r="J11" s="2" t="s">
        <v>51</v>
      </c>
      <c r="K11" s="2" t="s">
        <v>52</v>
      </c>
      <c r="L11" s="6" t="s">
        <v>1498</v>
      </c>
      <c r="S11" s="6" t="b">
        <f>C11='Plano de Contas'!C11</f>
        <v>1</v>
      </c>
    </row>
    <row r="12" spans="1:19" x14ac:dyDescent="0.2">
      <c r="A12" s="18" t="s">
        <v>1808</v>
      </c>
      <c r="B12" s="2" t="s">
        <v>54</v>
      </c>
      <c r="C12" s="2" t="s">
        <v>65</v>
      </c>
      <c r="D12" s="2" t="s">
        <v>42</v>
      </c>
      <c r="E12" s="2" t="s">
        <v>39</v>
      </c>
      <c r="F12" s="2" t="s">
        <v>43</v>
      </c>
      <c r="G12" s="2" t="s">
        <v>1490</v>
      </c>
      <c r="H12" s="2">
        <v>16</v>
      </c>
      <c r="I12" s="3" t="s">
        <v>1492</v>
      </c>
      <c r="J12" s="2" t="s">
        <v>51</v>
      </c>
      <c r="K12" s="2" t="s">
        <v>52</v>
      </c>
      <c r="L12" s="6" t="s">
        <v>1498</v>
      </c>
      <c r="S12" s="6" t="b">
        <f>C12='Plano de Contas'!C12</f>
        <v>1</v>
      </c>
    </row>
    <row r="13" spans="1:19" x14ac:dyDescent="0.2">
      <c r="A13" s="18" t="s">
        <v>1809</v>
      </c>
      <c r="B13" s="2" t="s">
        <v>54</v>
      </c>
      <c r="C13" s="2" t="s">
        <v>67</v>
      </c>
      <c r="D13" s="2" t="s">
        <v>42</v>
      </c>
      <c r="E13" s="2" t="s">
        <v>39</v>
      </c>
      <c r="F13" s="2" t="s">
        <v>43</v>
      </c>
      <c r="G13" s="2" t="s">
        <v>1490</v>
      </c>
      <c r="H13" s="2">
        <v>16</v>
      </c>
      <c r="I13" s="3" t="s">
        <v>1492</v>
      </c>
      <c r="J13" s="2" t="s">
        <v>51</v>
      </c>
      <c r="K13" s="2" t="s">
        <v>52</v>
      </c>
      <c r="L13" s="6" t="s">
        <v>1498</v>
      </c>
      <c r="S13" s="6" t="b">
        <f>C13='Plano de Contas'!C13</f>
        <v>1</v>
      </c>
    </row>
    <row r="14" spans="1:19" x14ac:dyDescent="0.2">
      <c r="A14" s="18" t="s">
        <v>1810</v>
      </c>
      <c r="B14" s="2" t="s">
        <v>54</v>
      </c>
      <c r="C14" s="2" t="s">
        <v>69</v>
      </c>
      <c r="D14" s="2" t="s">
        <v>42</v>
      </c>
      <c r="E14" s="2" t="s">
        <v>39</v>
      </c>
      <c r="F14" s="2" t="s">
        <v>43</v>
      </c>
      <c r="G14" s="2" t="s">
        <v>1490</v>
      </c>
      <c r="H14" s="2">
        <v>16</v>
      </c>
      <c r="I14" s="3" t="s">
        <v>1492</v>
      </c>
      <c r="J14" s="2" t="s">
        <v>51</v>
      </c>
      <c r="K14" s="2" t="s">
        <v>52</v>
      </c>
      <c r="L14" s="6" t="s">
        <v>1498</v>
      </c>
      <c r="S14" s="6" t="b">
        <f>C14='Plano de Contas'!C14</f>
        <v>1</v>
      </c>
    </row>
    <row r="15" spans="1:19" x14ac:dyDescent="0.2">
      <c r="A15" s="18" t="s">
        <v>1811</v>
      </c>
      <c r="B15" s="2" t="s">
        <v>54</v>
      </c>
      <c r="C15" s="2" t="s">
        <v>71</v>
      </c>
      <c r="D15" s="2" t="s">
        <v>42</v>
      </c>
      <c r="E15" s="2" t="s">
        <v>39</v>
      </c>
      <c r="F15" s="2" t="s">
        <v>43</v>
      </c>
      <c r="G15" s="2" t="s">
        <v>1490</v>
      </c>
      <c r="H15" s="2">
        <v>16</v>
      </c>
      <c r="I15" s="3" t="s">
        <v>1492</v>
      </c>
      <c r="J15" s="2" t="s">
        <v>51</v>
      </c>
      <c r="K15" s="2" t="s">
        <v>52</v>
      </c>
      <c r="L15" s="6" t="s">
        <v>1498</v>
      </c>
      <c r="S15" s="6" t="b">
        <f>C15='Plano de Contas'!C15</f>
        <v>1</v>
      </c>
    </row>
    <row r="16" spans="1:19" x14ac:dyDescent="0.2">
      <c r="A16" s="18" t="s">
        <v>1812</v>
      </c>
      <c r="B16" s="2" t="s">
        <v>54</v>
      </c>
      <c r="C16" s="2" t="s">
        <v>73</v>
      </c>
      <c r="D16" s="2" t="s">
        <v>42</v>
      </c>
      <c r="E16" s="2" t="s">
        <v>39</v>
      </c>
      <c r="F16" s="2" t="s">
        <v>43</v>
      </c>
      <c r="G16" s="2" t="s">
        <v>1490</v>
      </c>
      <c r="H16" s="2">
        <v>16</v>
      </c>
      <c r="I16" s="3" t="s">
        <v>1492</v>
      </c>
      <c r="J16" s="2" t="s">
        <v>51</v>
      </c>
      <c r="K16" s="2" t="s">
        <v>52</v>
      </c>
      <c r="L16" s="6" t="s">
        <v>1498</v>
      </c>
      <c r="S16" s="6" t="b">
        <f>C16='Plano de Contas'!C16</f>
        <v>1</v>
      </c>
    </row>
    <row r="17" spans="1:19" x14ac:dyDescent="0.2">
      <c r="A17" s="17" t="s">
        <v>1813</v>
      </c>
      <c r="B17" s="1" t="s">
        <v>40</v>
      </c>
      <c r="C17" s="1" t="s">
        <v>75</v>
      </c>
      <c r="D17" s="2" t="s">
        <v>42</v>
      </c>
      <c r="E17" s="2" t="s">
        <v>39</v>
      </c>
      <c r="F17" s="2" t="s">
        <v>43</v>
      </c>
      <c r="G17" s="2" t="s">
        <v>1490</v>
      </c>
      <c r="H17" s="2">
        <v>8</v>
      </c>
      <c r="I17" s="3" t="s">
        <v>1492</v>
      </c>
      <c r="J17" s="2" t="s">
        <v>75</v>
      </c>
      <c r="K17" s="2" t="s">
        <v>52</v>
      </c>
      <c r="S17" s="6" t="b">
        <f>C17='Plano de Contas'!C17</f>
        <v>1</v>
      </c>
    </row>
    <row r="18" spans="1:19" x14ac:dyDescent="0.2">
      <c r="A18" s="17" t="s">
        <v>1814</v>
      </c>
      <c r="B18" s="1" t="s">
        <v>40</v>
      </c>
      <c r="C18" s="1" t="s">
        <v>77</v>
      </c>
      <c r="D18" s="2" t="s">
        <v>42</v>
      </c>
      <c r="E18" s="2" t="s">
        <v>39</v>
      </c>
      <c r="F18" s="2" t="s">
        <v>43</v>
      </c>
      <c r="G18" s="2" t="s">
        <v>1490</v>
      </c>
      <c r="H18" s="2">
        <v>11</v>
      </c>
      <c r="I18" s="3" t="s">
        <v>76</v>
      </c>
      <c r="J18" s="2" t="s">
        <v>77</v>
      </c>
      <c r="K18" s="2" t="s">
        <v>52</v>
      </c>
      <c r="L18" s="6" t="s">
        <v>1503</v>
      </c>
      <c r="S18" s="6" t="b">
        <f>C18='Plano de Contas'!C18</f>
        <v>1</v>
      </c>
    </row>
    <row r="19" spans="1:19" x14ac:dyDescent="0.2">
      <c r="A19" s="18" t="s">
        <v>1815</v>
      </c>
      <c r="B19" s="2" t="s">
        <v>54</v>
      </c>
      <c r="C19" s="2" t="s">
        <v>79</v>
      </c>
      <c r="D19" s="2" t="s">
        <v>42</v>
      </c>
      <c r="E19" s="2" t="s">
        <v>39</v>
      </c>
      <c r="F19" s="2" t="s">
        <v>43</v>
      </c>
      <c r="G19" s="2" t="s">
        <v>1490</v>
      </c>
      <c r="H19" s="2">
        <v>16</v>
      </c>
      <c r="I19" s="3" t="s">
        <v>1492</v>
      </c>
      <c r="J19" s="2" t="s">
        <v>77</v>
      </c>
      <c r="K19" s="2" t="s">
        <v>52</v>
      </c>
      <c r="L19" s="6" t="s">
        <v>1503</v>
      </c>
      <c r="S19" s="6" t="b">
        <f>C19='Plano de Contas'!C19</f>
        <v>1</v>
      </c>
    </row>
    <row r="20" spans="1:19" x14ac:dyDescent="0.2">
      <c r="A20" s="18" t="s">
        <v>1816</v>
      </c>
      <c r="B20" s="2" t="s">
        <v>54</v>
      </c>
      <c r="C20" s="2" t="s">
        <v>81</v>
      </c>
      <c r="D20" s="2" t="s">
        <v>42</v>
      </c>
      <c r="E20" s="2" t="s">
        <v>39</v>
      </c>
      <c r="F20" s="2" t="s">
        <v>43</v>
      </c>
      <c r="G20" s="2" t="s">
        <v>1490</v>
      </c>
      <c r="H20" s="2">
        <v>16</v>
      </c>
      <c r="I20" s="3" t="s">
        <v>1492</v>
      </c>
      <c r="J20" s="2" t="s">
        <v>77</v>
      </c>
      <c r="K20" s="2" t="s">
        <v>52</v>
      </c>
      <c r="L20" s="6" t="s">
        <v>1503</v>
      </c>
      <c r="S20" s="6" t="b">
        <f>C20='Plano de Contas'!C20</f>
        <v>1</v>
      </c>
    </row>
    <row r="21" spans="1:19" x14ac:dyDescent="0.2">
      <c r="A21" s="18" t="s">
        <v>1817</v>
      </c>
      <c r="B21" s="2" t="s">
        <v>54</v>
      </c>
      <c r="C21" s="2" t="s">
        <v>83</v>
      </c>
      <c r="D21" s="2" t="s">
        <v>42</v>
      </c>
      <c r="E21" s="2" t="s">
        <v>39</v>
      </c>
      <c r="F21" s="2" t="s">
        <v>43</v>
      </c>
      <c r="G21" s="2" t="s">
        <v>1490</v>
      </c>
      <c r="H21" s="2">
        <v>16</v>
      </c>
      <c r="I21" s="3" t="s">
        <v>1492</v>
      </c>
      <c r="J21" s="2" t="s">
        <v>77</v>
      </c>
      <c r="K21" s="2" t="s">
        <v>52</v>
      </c>
      <c r="L21" s="6" t="s">
        <v>1503</v>
      </c>
      <c r="S21" s="6" t="b">
        <f>C21='Plano de Contas'!C21</f>
        <v>1</v>
      </c>
    </row>
    <row r="22" spans="1:19" x14ac:dyDescent="0.2">
      <c r="A22" s="18" t="s">
        <v>1818</v>
      </c>
      <c r="B22" s="2" t="s">
        <v>54</v>
      </c>
      <c r="C22" s="2" t="s">
        <v>85</v>
      </c>
      <c r="D22" s="2" t="s">
        <v>42</v>
      </c>
      <c r="E22" s="2" t="s">
        <v>39</v>
      </c>
      <c r="F22" s="2" t="s">
        <v>43</v>
      </c>
      <c r="G22" s="2" t="s">
        <v>1490</v>
      </c>
      <c r="H22" s="2">
        <v>16</v>
      </c>
      <c r="I22" s="3" t="s">
        <v>1492</v>
      </c>
      <c r="J22" s="2" t="s">
        <v>77</v>
      </c>
      <c r="K22" s="2" t="s">
        <v>52</v>
      </c>
      <c r="L22" s="6" t="s">
        <v>1503</v>
      </c>
      <c r="S22" s="6" t="b">
        <f>C22='Plano de Contas'!C22</f>
        <v>1</v>
      </c>
    </row>
    <row r="23" spans="1:19" x14ac:dyDescent="0.2">
      <c r="A23" s="18" t="s">
        <v>1819</v>
      </c>
      <c r="B23" s="2" t="s">
        <v>54</v>
      </c>
      <c r="C23" s="2" t="s">
        <v>87</v>
      </c>
      <c r="D23" s="2" t="s">
        <v>42</v>
      </c>
      <c r="E23" s="2" t="s">
        <v>39</v>
      </c>
      <c r="F23" s="2" t="s">
        <v>43</v>
      </c>
      <c r="G23" s="2" t="s">
        <v>1490</v>
      </c>
      <c r="H23" s="2">
        <v>16</v>
      </c>
      <c r="I23" s="3" t="s">
        <v>1492</v>
      </c>
      <c r="J23" s="2" t="s">
        <v>77</v>
      </c>
      <c r="K23" s="2" t="s">
        <v>52</v>
      </c>
      <c r="L23" s="6" t="s">
        <v>1503</v>
      </c>
      <c r="S23" s="6" t="b">
        <f>C23='Plano de Contas'!C23</f>
        <v>1</v>
      </c>
    </row>
    <row r="24" spans="1:19" x14ac:dyDescent="0.2">
      <c r="A24" s="18" t="s">
        <v>1820</v>
      </c>
      <c r="B24" s="2" t="s">
        <v>54</v>
      </c>
      <c r="C24" s="2" t="s">
        <v>89</v>
      </c>
      <c r="D24" s="2" t="s">
        <v>42</v>
      </c>
      <c r="E24" s="2" t="s">
        <v>39</v>
      </c>
      <c r="F24" s="2" t="s">
        <v>43</v>
      </c>
      <c r="G24" s="2" t="s">
        <v>1490</v>
      </c>
      <c r="H24" s="2">
        <v>16</v>
      </c>
      <c r="I24" s="3" t="s">
        <v>1492</v>
      </c>
      <c r="J24" s="2" t="s">
        <v>77</v>
      </c>
      <c r="K24" s="2" t="s">
        <v>52</v>
      </c>
      <c r="L24" s="6" t="s">
        <v>1503</v>
      </c>
      <c r="S24" s="6" t="b">
        <f>C24='Plano de Contas'!C24</f>
        <v>1</v>
      </c>
    </row>
    <row r="25" spans="1:19" x14ac:dyDescent="0.2">
      <c r="A25" s="18" t="s">
        <v>1821</v>
      </c>
      <c r="B25" s="2" t="s">
        <v>54</v>
      </c>
      <c r="C25" s="2" t="s">
        <v>91</v>
      </c>
      <c r="D25" s="2" t="s">
        <v>42</v>
      </c>
      <c r="E25" s="2" t="s">
        <v>39</v>
      </c>
      <c r="F25" s="2" t="s">
        <v>43</v>
      </c>
      <c r="G25" s="2" t="s">
        <v>1490</v>
      </c>
      <c r="H25" s="2">
        <v>16</v>
      </c>
      <c r="I25" s="3" t="s">
        <v>1492</v>
      </c>
      <c r="J25" s="2" t="s">
        <v>77</v>
      </c>
      <c r="K25" s="2" t="s">
        <v>52</v>
      </c>
      <c r="L25" s="6" t="s">
        <v>1503</v>
      </c>
      <c r="S25" s="6" t="b">
        <f>C25='Plano de Contas'!C25</f>
        <v>1</v>
      </c>
    </row>
    <row r="26" spans="1:19" x14ac:dyDescent="0.2">
      <c r="A26" s="18" t="s">
        <v>1822</v>
      </c>
      <c r="B26" s="2" t="s">
        <v>54</v>
      </c>
      <c r="C26" s="2" t="s">
        <v>93</v>
      </c>
      <c r="D26" s="2" t="s">
        <v>42</v>
      </c>
      <c r="E26" s="2" t="s">
        <v>39</v>
      </c>
      <c r="F26" s="2" t="s">
        <v>43</v>
      </c>
      <c r="G26" s="2" t="s">
        <v>1490</v>
      </c>
      <c r="H26" s="2">
        <v>16</v>
      </c>
      <c r="I26" s="3" t="s">
        <v>1492</v>
      </c>
      <c r="J26" s="2" t="s">
        <v>77</v>
      </c>
      <c r="K26" s="2" t="s">
        <v>52</v>
      </c>
      <c r="L26" s="6" t="s">
        <v>1503</v>
      </c>
      <c r="S26" s="6" t="b">
        <f>C26='Plano de Contas'!C26</f>
        <v>1</v>
      </c>
    </row>
    <row r="27" spans="1:19" x14ac:dyDescent="0.2">
      <c r="A27" s="18" t="s">
        <v>1823</v>
      </c>
      <c r="B27" s="2" t="s">
        <v>54</v>
      </c>
      <c r="C27" s="2" t="s">
        <v>95</v>
      </c>
      <c r="D27" s="2" t="s">
        <v>42</v>
      </c>
      <c r="E27" s="2" t="s">
        <v>39</v>
      </c>
      <c r="F27" s="2" t="s">
        <v>43</v>
      </c>
      <c r="G27" s="2" t="s">
        <v>1490</v>
      </c>
      <c r="H27" s="2">
        <v>16</v>
      </c>
      <c r="I27" s="3" t="s">
        <v>1492</v>
      </c>
      <c r="J27" s="2" t="s">
        <v>77</v>
      </c>
      <c r="K27" s="2" t="s">
        <v>52</v>
      </c>
      <c r="L27" s="6" t="s">
        <v>1503</v>
      </c>
      <c r="S27" s="6" t="b">
        <f>C27='Plano de Contas'!C27</f>
        <v>1</v>
      </c>
    </row>
    <row r="28" spans="1:19" x14ac:dyDescent="0.2">
      <c r="A28" s="18" t="s">
        <v>1824</v>
      </c>
      <c r="B28" s="2" t="s">
        <v>54</v>
      </c>
      <c r="C28" s="2" t="s">
        <v>97</v>
      </c>
      <c r="D28" s="2" t="s">
        <v>42</v>
      </c>
      <c r="E28" s="2" t="s">
        <v>39</v>
      </c>
      <c r="F28" s="2" t="s">
        <v>43</v>
      </c>
      <c r="G28" s="2" t="s">
        <v>1490</v>
      </c>
      <c r="H28" s="2">
        <v>16</v>
      </c>
      <c r="I28" s="3" t="s">
        <v>1492</v>
      </c>
      <c r="J28" s="2" t="s">
        <v>77</v>
      </c>
      <c r="K28" s="2" t="s">
        <v>52</v>
      </c>
      <c r="L28" s="6" t="s">
        <v>1503</v>
      </c>
      <c r="S28" s="6" t="b">
        <f>C28='Plano de Contas'!C28</f>
        <v>1</v>
      </c>
    </row>
    <row r="29" spans="1:19" x14ac:dyDescent="0.2">
      <c r="A29" s="18" t="s">
        <v>1825</v>
      </c>
      <c r="B29" s="2" t="s">
        <v>54</v>
      </c>
      <c r="C29" s="2" t="s">
        <v>99</v>
      </c>
      <c r="D29" s="2" t="s">
        <v>42</v>
      </c>
      <c r="E29" s="2" t="s">
        <v>39</v>
      </c>
      <c r="F29" s="2" t="s">
        <v>43</v>
      </c>
      <c r="G29" s="2" t="s">
        <v>1490</v>
      </c>
      <c r="H29" s="2">
        <v>16</v>
      </c>
      <c r="I29" s="3" t="s">
        <v>1492</v>
      </c>
      <c r="J29" s="2" t="s">
        <v>77</v>
      </c>
      <c r="K29" s="2" t="s">
        <v>52</v>
      </c>
      <c r="L29" s="6" t="s">
        <v>1503</v>
      </c>
      <c r="S29" s="6" t="b">
        <f>C29='Plano de Contas'!C29</f>
        <v>1</v>
      </c>
    </row>
    <row r="30" spans="1:19" x14ac:dyDescent="0.2">
      <c r="A30" s="18" t="s">
        <v>1826</v>
      </c>
      <c r="B30" s="2" t="s">
        <v>54</v>
      </c>
      <c r="C30" s="2" t="s">
        <v>101</v>
      </c>
      <c r="D30" s="2" t="s">
        <v>42</v>
      </c>
      <c r="E30" s="2" t="s">
        <v>39</v>
      </c>
      <c r="F30" s="2" t="s">
        <v>43</v>
      </c>
      <c r="G30" s="2" t="s">
        <v>1490</v>
      </c>
      <c r="H30" s="2">
        <v>16</v>
      </c>
      <c r="I30" s="3" t="s">
        <v>1492</v>
      </c>
      <c r="J30" s="2" t="s">
        <v>77</v>
      </c>
      <c r="K30" s="2" t="s">
        <v>52</v>
      </c>
      <c r="L30" s="6" t="s">
        <v>1503</v>
      </c>
      <c r="S30" s="6" t="b">
        <f>C30='Plano de Contas'!C30</f>
        <v>1</v>
      </c>
    </row>
    <row r="31" spans="1:19" x14ac:dyDescent="0.2">
      <c r="A31" s="18" t="s">
        <v>1827</v>
      </c>
      <c r="B31" s="2" t="s">
        <v>54</v>
      </c>
      <c r="C31" s="2" t="s">
        <v>103</v>
      </c>
      <c r="D31" s="2" t="s">
        <v>42</v>
      </c>
      <c r="E31" s="2" t="s">
        <v>39</v>
      </c>
      <c r="F31" s="2" t="s">
        <v>43</v>
      </c>
      <c r="G31" s="2" t="s">
        <v>1490</v>
      </c>
      <c r="H31" s="2">
        <v>16</v>
      </c>
      <c r="I31" s="3" t="s">
        <v>1492</v>
      </c>
      <c r="J31" s="2" t="s">
        <v>77</v>
      </c>
      <c r="K31" s="2" t="s">
        <v>52</v>
      </c>
      <c r="L31" s="6" t="s">
        <v>1503</v>
      </c>
      <c r="S31" s="6" t="b">
        <f>C31='Plano de Contas'!C31</f>
        <v>1</v>
      </c>
    </row>
    <row r="32" spans="1:19" x14ac:dyDescent="0.2">
      <c r="A32" s="18" t="s">
        <v>1828</v>
      </c>
      <c r="B32" s="2" t="s">
        <v>54</v>
      </c>
      <c r="C32" s="2" t="s">
        <v>105</v>
      </c>
      <c r="D32" s="2" t="s">
        <v>42</v>
      </c>
      <c r="E32" s="2" t="s">
        <v>39</v>
      </c>
      <c r="F32" s="2" t="s">
        <v>43</v>
      </c>
      <c r="G32" s="2" t="s">
        <v>1490</v>
      </c>
      <c r="H32" s="2">
        <v>16</v>
      </c>
      <c r="I32" s="3" t="s">
        <v>1492</v>
      </c>
      <c r="J32" s="2" t="s">
        <v>77</v>
      </c>
      <c r="K32" s="2" t="s">
        <v>52</v>
      </c>
      <c r="L32" s="6" t="s">
        <v>1503</v>
      </c>
      <c r="S32" s="6" t="b">
        <f>C32='Plano de Contas'!C32</f>
        <v>1</v>
      </c>
    </row>
    <row r="33" spans="1:19" x14ac:dyDescent="0.2">
      <c r="A33" s="18" t="s">
        <v>1829</v>
      </c>
      <c r="B33" s="2" t="s">
        <v>54</v>
      </c>
      <c r="C33" s="2" t="s">
        <v>107</v>
      </c>
      <c r="D33" s="2" t="s">
        <v>42</v>
      </c>
      <c r="E33" s="2" t="s">
        <v>39</v>
      </c>
      <c r="F33" s="2" t="s">
        <v>43</v>
      </c>
      <c r="G33" s="2" t="s">
        <v>1490</v>
      </c>
      <c r="H33" s="2">
        <v>16</v>
      </c>
      <c r="I33" s="3" t="s">
        <v>1492</v>
      </c>
      <c r="J33" s="2" t="s">
        <v>77</v>
      </c>
      <c r="K33" s="2" t="s">
        <v>52</v>
      </c>
      <c r="L33" s="6" t="s">
        <v>1503</v>
      </c>
      <c r="S33" s="6" t="b">
        <f>C33='Plano de Contas'!C33</f>
        <v>1</v>
      </c>
    </row>
    <row r="34" spans="1:19" x14ac:dyDescent="0.2">
      <c r="A34" s="18" t="s">
        <v>1830</v>
      </c>
      <c r="B34" s="2" t="s">
        <v>54</v>
      </c>
      <c r="C34" s="2" t="s">
        <v>109</v>
      </c>
      <c r="D34" s="2" t="s">
        <v>42</v>
      </c>
      <c r="E34" s="2" t="s">
        <v>39</v>
      </c>
      <c r="F34" s="2" t="s">
        <v>43</v>
      </c>
      <c r="G34" s="2" t="s">
        <v>1490</v>
      </c>
      <c r="H34" s="2">
        <v>16</v>
      </c>
      <c r="I34" s="3" t="s">
        <v>1492</v>
      </c>
      <c r="J34" s="2" t="s">
        <v>77</v>
      </c>
      <c r="K34" s="2" t="s">
        <v>52</v>
      </c>
      <c r="L34" s="6" t="s">
        <v>1503</v>
      </c>
      <c r="S34" s="6" t="b">
        <f>C34='Plano de Contas'!C34</f>
        <v>1</v>
      </c>
    </row>
    <row r="35" spans="1:19" x14ac:dyDescent="0.2">
      <c r="A35" s="18" t="s">
        <v>1831</v>
      </c>
      <c r="B35" s="2" t="s">
        <v>54</v>
      </c>
      <c r="C35" s="2" t="s">
        <v>111</v>
      </c>
      <c r="D35" s="2" t="s">
        <v>42</v>
      </c>
      <c r="E35" s="2" t="s">
        <v>39</v>
      </c>
      <c r="F35" s="2" t="s">
        <v>43</v>
      </c>
      <c r="G35" s="2" t="s">
        <v>1490</v>
      </c>
      <c r="H35" s="2">
        <v>16</v>
      </c>
      <c r="I35" s="3" t="s">
        <v>1492</v>
      </c>
      <c r="J35" s="2" t="s">
        <v>77</v>
      </c>
      <c r="K35" s="2" t="s">
        <v>52</v>
      </c>
      <c r="L35" s="6" t="s">
        <v>1503</v>
      </c>
      <c r="S35" s="6" t="b">
        <f>C35='Plano de Contas'!C35</f>
        <v>1</v>
      </c>
    </row>
    <row r="36" spans="1:19" x14ac:dyDescent="0.2">
      <c r="A36" s="18" t="s">
        <v>1832</v>
      </c>
      <c r="B36" s="2" t="s">
        <v>54</v>
      </c>
      <c r="C36" s="2" t="s">
        <v>113</v>
      </c>
      <c r="D36" s="2" t="s">
        <v>42</v>
      </c>
      <c r="E36" s="2" t="s">
        <v>39</v>
      </c>
      <c r="F36" s="2" t="s">
        <v>43</v>
      </c>
      <c r="G36" s="2" t="s">
        <v>1490</v>
      </c>
      <c r="H36" s="2">
        <v>16</v>
      </c>
      <c r="I36" s="3" t="s">
        <v>1492</v>
      </c>
      <c r="J36" s="2" t="s">
        <v>77</v>
      </c>
      <c r="K36" s="2" t="s">
        <v>52</v>
      </c>
      <c r="L36" s="6" t="s">
        <v>1503</v>
      </c>
      <c r="S36" s="6" t="b">
        <f>C36='Plano de Contas'!C36</f>
        <v>1</v>
      </c>
    </row>
    <row r="37" spans="1:19" x14ac:dyDescent="0.2">
      <c r="A37" s="18" t="s">
        <v>1833</v>
      </c>
      <c r="B37" s="2" t="s">
        <v>54</v>
      </c>
      <c r="C37" s="2" t="s">
        <v>115</v>
      </c>
      <c r="D37" s="2" t="s">
        <v>42</v>
      </c>
      <c r="E37" s="2" t="s">
        <v>39</v>
      </c>
      <c r="F37" s="2" t="s">
        <v>43</v>
      </c>
      <c r="G37" s="2" t="s">
        <v>1490</v>
      </c>
      <c r="H37" s="2">
        <v>16</v>
      </c>
      <c r="I37" s="3" t="s">
        <v>1492</v>
      </c>
      <c r="J37" s="2" t="s">
        <v>77</v>
      </c>
      <c r="K37" s="2" t="s">
        <v>52</v>
      </c>
      <c r="L37" s="6" t="s">
        <v>1503</v>
      </c>
      <c r="S37" s="6" t="b">
        <f>C37='Plano de Contas'!C37</f>
        <v>1</v>
      </c>
    </row>
    <row r="38" spans="1:19" x14ac:dyDescent="0.2">
      <c r="A38" s="18" t="s">
        <v>1834</v>
      </c>
      <c r="B38" s="2" t="s">
        <v>54</v>
      </c>
      <c r="C38" s="2" t="s">
        <v>117</v>
      </c>
      <c r="D38" s="2" t="s">
        <v>42</v>
      </c>
      <c r="E38" s="2" t="s">
        <v>39</v>
      </c>
      <c r="F38" s="2" t="s">
        <v>43</v>
      </c>
      <c r="G38" s="2" t="s">
        <v>1490</v>
      </c>
      <c r="H38" s="2">
        <v>16</v>
      </c>
      <c r="I38" s="3" t="s">
        <v>1492</v>
      </c>
      <c r="J38" s="2" t="s">
        <v>77</v>
      </c>
      <c r="K38" s="2" t="s">
        <v>52</v>
      </c>
      <c r="L38" s="6" t="s">
        <v>1503</v>
      </c>
      <c r="S38" s="6" t="b">
        <f>C38='Plano de Contas'!C38</f>
        <v>1</v>
      </c>
    </row>
    <row r="39" spans="1:19" x14ac:dyDescent="0.2">
      <c r="A39" s="18" t="s">
        <v>1835</v>
      </c>
      <c r="B39" s="2" t="s">
        <v>54</v>
      </c>
      <c r="C39" s="2" t="s">
        <v>119</v>
      </c>
      <c r="D39" s="2" t="s">
        <v>42</v>
      </c>
      <c r="E39" s="2" t="s">
        <v>39</v>
      </c>
      <c r="F39" s="2" t="s">
        <v>43</v>
      </c>
      <c r="G39" s="2" t="s">
        <v>1490</v>
      </c>
      <c r="H39" s="2">
        <v>16</v>
      </c>
      <c r="I39" s="3" t="s">
        <v>1492</v>
      </c>
      <c r="J39" s="2" t="s">
        <v>77</v>
      </c>
      <c r="K39" s="2" t="s">
        <v>52</v>
      </c>
      <c r="L39" s="6" t="s">
        <v>1503</v>
      </c>
      <c r="S39" s="6" t="b">
        <f>C39='Plano de Contas'!C39</f>
        <v>1</v>
      </c>
    </row>
    <row r="40" spans="1:19" x14ac:dyDescent="0.2">
      <c r="A40" s="18" t="s">
        <v>1836</v>
      </c>
      <c r="B40" s="2" t="s">
        <v>54</v>
      </c>
      <c r="C40" s="2" t="s">
        <v>121</v>
      </c>
      <c r="D40" s="2" t="s">
        <v>42</v>
      </c>
      <c r="E40" s="2" t="s">
        <v>39</v>
      </c>
      <c r="F40" s="2" t="s">
        <v>43</v>
      </c>
      <c r="G40" s="2" t="s">
        <v>1490</v>
      </c>
      <c r="H40" s="2">
        <v>16</v>
      </c>
      <c r="I40" s="3" t="s">
        <v>1492</v>
      </c>
      <c r="J40" s="2" t="s">
        <v>77</v>
      </c>
      <c r="K40" s="2" t="s">
        <v>52</v>
      </c>
      <c r="L40" s="6" t="s">
        <v>1503</v>
      </c>
      <c r="S40" s="6" t="b">
        <f>C40='Plano de Contas'!C40</f>
        <v>1</v>
      </c>
    </row>
    <row r="41" spans="1:19" x14ac:dyDescent="0.2">
      <c r="A41" s="18" t="s">
        <v>1837</v>
      </c>
      <c r="B41" s="2" t="s">
        <v>54</v>
      </c>
      <c r="C41" s="2" t="s">
        <v>123</v>
      </c>
      <c r="D41" s="2" t="s">
        <v>42</v>
      </c>
      <c r="E41" s="2" t="s">
        <v>39</v>
      </c>
      <c r="F41" s="2" t="s">
        <v>43</v>
      </c>
      <c r="G41" s="2" t="s">
        <v>1490</v>
      </c>
      <c r="H41" s="2">
        <v>16</v>
      </c>
      <c r="I41" s="3" t="s">
        <v>1492</v>
      </c>
      <c r="J41" s="2" t="s">
        <v>77</v>
      </c>
      <c r="K41" s="2" t="s">
        <v>52</v>
      </c>
      <c r="L41" s="6" t="s">
        <v>1503</v>
      </c>
      <c r="S41" s="6" t="b">
        <f>C41='Plano de Contas'!C41</f>
        <v>1</v>
      </c>
    </row>
    <row r="42" spans="1:19" x14ac:dyDescent="0.2">
      <c r="A42" s="18" t="s">
        <v>1838</v>
      </c>
      <c r="B42" s="2" t="s">
        <v>54</v>
      </c>
      <c r="C42" s="2" t="s">
        <v>125</v>
      </c>
      <c r="D42" s="2" t="s">
        <v>42</v>
      </c>
      <c r="E42" s="2" t="s">
        <v>39</v>
      </c>
      <c r="F42" s="2" t="s">
        <v>43</v>
      </c>
      <c r="G42" s="2" t="s">
        <v>1490</v>
      </c>
      <c r="H42" s="2">
        <v>16</v>
      </c>
      <c r="I42" s="3" t="s">
        <v>1492</v>
      </c>
      <c r="J42" s="2" t="s">
        <v>77</v>
      </c>
      <c r="K42" s="2" t="s">
        <v>52</v>
      </c>
      <c r="L42" s="6" t="s">
        <v>1503</v>
      </c>
      <c r="S42" s="6" t="b">
        <f>C42='Plano de Contas'!C42</f>
        <v>1</v>
      </c>
    </row>
    <row r="43" spans="1:19" x14ac:dyDescent="0.2">
      <c r="A43" s="18" t="s">
        <v>1839</v>
      </c>
      <c r="B43" s="2" t="s">
        <v>54</v>
      </c>
      <c r="C43" s="2" t="s">
        <v>127</v>
      </c>
      <c r="D43" s="2" t="s">
        <v>42</v>
      </c>
      <c r="E43" s="2" t="s">
        <v>39</v>
      </c>
      <c r="F43" s="2" t="s">
        <v>43</v>
      </c>
      <c r="G43" s="2" t="s">
        <v>1490</v>
      </c>
      <c r="H43" s="2">
        <v>16</v>
      </c>
      <c r="I43" s="3" t="s">
        <v>1492</v>
      </c>
      <c r="J43" s="2" t="s">
        <v>77</v>
      </c>
      <c r="K43" s="2" t="s">
        <v>52</v>
      </c>
      <c r="L43" s="6" t="s">
        <v>1503</v>
      </c>
      <c r="S43" s="6" t="b">
        <f>C43='Plano de Contas'!C43</f>
        <v>1</v>
      </c>
    </row>
    <row r="44" spans="1:19" x14ac:dyDescent="0.2">
      <c r="A44" s="18" t="s">
        <v>1840</v>
      </c>
      <c r="B44" s="2" t="s">
        <v>54</v>
      </c>
      <c r="C44" s="2" t="s">
        <v>129</v>
      </c>
      <c r="D44" s="2" t="s">
        <v>42</v>
      </c>
      <c r="E44" s="2" t="s">
        <v>39</v>
      </c>
      <c r="F44" s="2" t="s">
        <v>43</v>
      </c>
      <c r="G44" s="2" t="s">
        <v>1490</v>
      </c>
      <c r="H44" s="2">
        <v>16</v>
      </c>
      <c r="I44" s="3" t="s">
        <v>1492</v>
      </c>
      <c r="J44" s="2" t="s">
        <v>77</v>
      </c>
      <c r="K44" s="2" t="s">
        <v>52</v>
      </c>
      <c r="L44" s="6" t="s">
        <v>1503</v>
      </c>
      <c r="S44" s="6" t="b">
        <f>C44='Plano de Contas'!C44</f>
        <v>1</v>
      </c>
    </row>
    <row r="45" spans="1:19" x14ac:dyDescent="0.2">
      <c r="A45" s="18" t="s">
        <v>1841</v>
      </c>
      <c r="B45" s="2" t="s">
        <v>54</v>
      </c>
      <c r="C45" s="2" t="s">
        <v>131</v>
      </c>
      <c r="D45" s="2" t="s">
        <v>42</v>
      </c>
      <c r="E45" s="2" t="s">
        <v>39</v>
      </c>
      <c r="F45" s="2" t="s">
        <v>43</v>
      </c>
      <c r="G45" s="2" t="s">
        <v>1490</v>
      </c>
      <c r="H45" s="2">
        <v>16</v>
      </c>
      <c r="I45" s="3" t="s">
        <v>1492</v>
      </c>
      <c r="J45" s="2" t="s">
        <v>77</v>
      </c>
      <c r="K45" s="2" t="s">
        <v>52</v>
      </c>
      <c r="L45" s="6" t="s">
        <v>1503</v>
      </c>
      <c r="S45" s="6" t="b">
        <f>C45='Plano de Contas'!C45</f>
        <v>1</v>
      </c>
    </row>
    <row r="46" spans="1:19" x14ac:dyDescent="0.2">
      <c r="A46" s="18" t="s">
        <v>1842</v>
      </c>
      <c r="B46" s="2" t="s">
        <v>54</v>
      </c>
      <c r="C46" s="2" t="s">
        <v>133</v>
      </c>
      <c r="D46" s="2" t="s">
        <v>42</v>
      </c>
      <c r="E46" s="2" t="s">
        <v>39</v>
      </c>
      <c r="F46" s="2" t="s">
        <v>43</v>
      </c>
      <c r="G46" s="2" t="s">
        <v>1490</v>
      </c>
      <c r="H46" s="2">
        <v>16</v>
      </c>
      <c r="I46" s="3" t="s">
        <v>1492</v>
      </c>
      <c r="J46" s="2" t="s">
        <v>77</v>
      </c>
      <c r="K46" s="2" t="s">
        <v>52</v>
      </c>
      <c r="L46" s="6" t="s">
        <v>1503</v>
      </c>
      <c r="S46" s="6" t="b">
        <f>C46='Plano de Contas'!C46</f>
        <v>1</v>
      </c>
    </row>
    <row r="47" spans="1:19" x14ac:dyDescent="0.2">
      <c r="A47" s="18" t="s">
        <v>1843</v>
      </c>
      <c r="B47" s="2" t="s">
        <v>54</v>
      </c>
      <c r="C47" s="2" t="s">
        <v>135</v>
      </c>
      <c r="D47" s="2" t="s">
        <v>42</v>
      </c>
      <c r="E47" s="2" t="s">
        <v>39</v>
      </c>
      <c r="F47" s="2" t="s">
        <v>43</v>
      </c>
      <c r="G47" s="2" t="s">
        <v>1490</v>
      </c>
      <c r="H47" s="2">
        <v>16</v>
      </c>
      <c r="I47" s="3" t="s">
        <v>1492</v>
      </c>
      <c r="J47" s="2" t="s">
        <v>77</v>
      </c>
      <c r="K47" s="2" t="s">
        <v>52</v>
      </c>
      <c r="L47" s="6" t="s">
        <v>1503</v>
      </c>
      <c r="S47" s="6" t="b">
        <f>C47='Plano de Contas'!C47</f>
        <v>1</v>
      </c>
    </row>
    <row r="48" spans="1:19" x14ac:dyDescent="0.2">
      <c r="A48" s="18" t="s">
        <v>1844</v>
      </c>
      <c r="B48" s="2" t="s">
        <v>54</v>
      </c>
      <c r="C48" s="2" t="s">
        <v>137</v>
      </c>
      <c r="D48" s="2" t="s">
        <v>42</v>
      </c>
      <c r="E48" s="2" t="s">
        <v>39</v>
      </c>
      <c r="F48" s="2" t="s">
        <v>43</v>
      </c>
      <c r="G48" s="2" t="s">
        <v>1490</v>
      </c>
      <c r="H48" s="2">
        <v>16</v>
      </c>
      <c r="I48" s="3" t="s">
        <v>1492</v>
      </c>
      <c r="J48" s="2" t="s">
        <v>77</v>
      </c>
      <c r="K48" s="2" t="s">
        <v>52</v>
      </c>
      <c r="L48" s="6" t="s">
        <v>1503</v>
      </c>
      <c r="S48" s="6" t="b">
        <f>C48='Plano de Contas'!C48</f>
        <v>1</v>
      </c>
    </row>
    <row r="49" spans="1:19" x14ac:dyDescent="0.2">
      <c r="A49" s="18" t="s">
        <v>1845</v>
      </c>
      <c r="B49" s="2" t="s">
        <v>54</v>
      </c>
      <c r="C49" s="2" t="s">
        <v>139</v>
      </c>
      <c r="D49" s="2" t="s">
        <v>42</v>
      </c>
      <c r="E49" s="2" t="s">
        <v>39</v>
      </c>
      <c r="F49" s="2" t="s">
        <v>43</v>
      </c>
      <c r="G49" s="2" t="s">
        <v>1490</v>
      </c>
      <c r="H49" s="2">
        <v>16</v>
      </c>
      <c r="I49" s="3" t="s">
        <v>1492</v>
      </c>
      <c r="J49" s="2" t="s">
        <v>77</v>
      </c>
      <c r="K49" s="2" t="s">
        <v>52</v>
      </c>
      <c r="L49" s="6" t="s">
        <v>1503</v>
      </c>
      <c r="S49" s="6" t="b">
        <f>C49='Plano de Contas'!C49</f>
        <v>1</v>
      </c>
    </row>
    <row r="50" spans="1:19" x14ac:dyDescent="0.2">
      <c r="A50" s="18" t="s">
        <v>1846</v>
      </c>
      <c r="B50" s="2" t="s">
        <v>54</v>
      </c>
      <c r="C50" s="2" t="s">
        <v>141</v>
      </c>
      <c r="D50" s="2" t="s">
        <v>42</v>
      </c>
      <c r="E50" s="2" t="s">
        <v>39</v>
      </c>
      <c r="F50" s="2" t="s">
        <v>43</v>
      </c>
      <c r="G50" s="2" t="s">
        <v>1490</v>
      </c>
      <c r="H50" s="2">
        <v>16</v>
      </c>
      <c r="I50" s="3" t="s">
        <v>1492</v>
      </c>
      <c r="J50" s="2" t="s">
        <v>77</v>
      </c>
      <c r="K50" s="2" t="s">
        <v>52</v>
      </c>
      <c r="L50" s="6" t="s">
        <v>1503</v>
      </c>
      <c r="S50" s="6" t="b">
        <f>C50='Plano de Contas'!C50</f>
        <v>1</v>
      </c>
    </row>
    <row r="51" spans="1:19" x14ac:dyDescent="0.2">
      <c r="A51" s="18" t="s">
        <v>1847</v>
      </c>
      <c r="B51" s="2" t="s">
        <v>54</v>
      </c>
      <c r="C51" s="2" t="s">
        <v>143</v>
      </c>
      <c r="D51" s="2" t="s">
        <v>42</v>
      </c>
      <c r="E51" s="2" t="s">
        <v>39</v>
      </c>
      <c r="F51" s="2" t="s">
        <v>43</v>
      </c>
      <c r="G51" s="2" t="s">
        <v>1490</v>
      </c>
      <c r="H51" s="2">
        <v>16</v>
      </c>
      <c r="I51" s="3" t="s">
        <v>1492</v>
      </c>
      <c r="J51" s="2" t="s">
        <v>77</v>
      </c>
      <c r="K51" s="2" t="s">
        <v>52</v>
      </c>
      <c r="L51" s="6" t="s">
        <v>1503</v>
      </c>
      <c r="S51" s="6" t="b">
        <f>C51='Plano de Contas'!C51</f>
        <v>1</v>
      </c>
    </row>
    <row r="52" spans="1:19" x14ac:dyDescent="0.2">
      <c r="A52" s="18" t="s">
        <v>1848</v>
      </c>
      <c r="B52" s="2" t="s">
        <v>54</v>
      </c>
      <c r="C52" s="2" t="s">
        <v>145</v>
      </c>
      <c r="D52" s="2" t="s">
        <v>42</v>
      </c>
      <c r="E52" s="2" t="s">
        <v>39</v>
      </c>
      <c r="F52" s="2" t="s">
        <v>43</v>
      </c>
      <c r="G52" s="2" t="s">
        <v>1490</v>
      </c>
      <c r="H52" s="2">
        <v>16</v>
      </c>
      <c r="I52" s="3" t="s">
        <v>1492</v>
      </c>
      <c r="J52" s="2" t="s">
        <v>77</v>
      </c>
      <c r="K52" s="2" t="s">
        <v>52</v>
      </c>
      <c r="L52" s="6" t="s">
        <v>1503</v>
      </c>
      <c r="S52" s="6" t="b">
        <f>C52='Plano de Contas'!C52</f>
        <v>1</v>
      </c>
    </row>
    <row r="53" spans="1:19" x14ac:dyDescent="0.2">
      <c r="A53" s="18" t="s">
        <v>1849</v>
      </c>
      <c r="B53" s="2" t="s">
        <v>54</v>
      </c>
      <c r="C53" s="2" t="s">
        <v>147</v>
      </c>
      <c r="D53" s="2" t="s">
        <v>42</v>
      </c>
      <c r="E53" s="2" t="s">
        <v>39</v>
      </c>
      <c r="F53" s="2" t="s">
        <v>43</v>
      </c>
      <c r="G53" s="2" t="s">
        <v>1490</v>
      </c>
      <c r="H53" s="2">
        <v>16</v>
      </c>
      <c r="I53" s="3" t="s">
        <v>1492</v>
      </c>
      <c r="J53" s="2" t="s">
        <v>77</v>
      </c>
      <c r="K53" s="2" t="s">
        <v>52</v>
      </c>
      <c r="L53" s="6" t="s">
        <v>1503</v>
      </c>
      <c r="S53" s="6" t="b">
        <f>C53='Plano de Contas'!C53</f>
        <v>1</v>
      </c>
    </row>
    <row r="54" spans="1:19" x14ac:dyDescent="0.2">
      <c r="A54" s="18" t="s">
        <v>1850</v>
      </c>
      <c r="B54" s="2" t="s">
        <v>54</v>
      </c>
      <c r="C54" s="2" t="s">
        <v>149</v>
      </c>
      <c r="D54" s="2" t="s">
        <v>42</v>
      </c>
      <c r="E54" s="2" t="s">
        <v>39</v>
      </c>
      <c r="F54" s="2" t="s">
        <v>43</v>
      </c>
      <c r="G54" s="2" t="s">
        <v>1490</v>
      </c>
      <c r="H54" s="2">
        <v>16</v>
      </c>
      <c r="I54" s="3" t="s">
        <v>1492</v>
      </c>
      <c r="J54" s="2" t="s">
        <v>77</v>
      </c>
      <c r="K54" s="2" t="s">
        <v>52</v>
      </c>
      <c r="L54" s="6" t="s">
        <v>1503</v>
      </c>
      <c r="S54" s="6" t="b">
        <f>C54='Plano de Contas'!C54</f>
        <v>1</v>
      </c>
    </row>
    <row r="55" spans="1:19" x14ac:dyDescent="0.2">
      <c r="A55" s="18" t="s">
        <v>1851</v>
      </c>
      <c r="B55" s="2" t="s">
        <v>54</v>
      </c>
      <c r="C55" s="2" t="s">
        <v>151</v>
      </c>
      <c r="D55" s="2" t="s">
        <v>42</v>
      </c>
      <c r="E55" s="2" t="s">
        <v>39</v>
      </c>
      <c r="F55" s="2" t="s">
        <v>43</v>
      </c>
      <c r="G55" s="2" t="s">
        <v>1490</v>
      </c>
      <c r="H55" s="2">
        <v>16</v>
      </c>
      <c r="I55" s="3" t="s">
        <v>1492</v>
      </c>
      <c r="J55" s="2" t="s">
        <v>77</v>
      </c>
      <c r="K55" s="2" t="s">
        <v>52</v>
      </c>
      <c r="L55" s="6" t="s">
        <v>1503</v>
      </c>
      <c r="S55" s="6" t="b">
        <f>C55='Plano de Contas'!C55</f>
        <v>1</v>
      </c>
    </row>
    <row r="56" spans="1:19" x14ac:dyDescent="0.2">
      <c r="A56" s="18" t="s">
        <v>1852</v>
      </c>
      <c r="B56" s="2" t="s">
        <v>54</v>
      </c>
      <c r="C56" s="2" t="s">
        <v>153</v>
      </c>
      <c r="D56" s="2" t="s">
        <v>42</v>
      </c>
      <c r="E56" s="2" t="s">
        <v>39</v>
      </c>
      <c r="F56" s="2" t="s">
        <v>43</v>
      </c>
      <c r="G56" s="2" t="s">
        <v>1490</v>
      </c>
      <c r="H56" s="2">
        <v>16</v>
      </c>
      <c r="I56" s="3" t="s">
        <v>1492</v>
      </c>
      <c r="J56" s="2" t="s">
        <v>77</v>
      </c>
      <c r="K56" s="2" t="s">
        <v>52</v>
      </c>
      <c r="L56" s="6" t="s">
        <v>1503</v>
      </c>
      <c r="S56" s="6" t="b">
        <f>C56='Plano de Contas'!C56</f>
        <v>1</v>
      </c>
    </row>
    <row r="57" spans="1:19" x14ac:dyDescent="0.2">
      <c r="A57" s="18" t="s">
        <v>1853</v>
      </c>
      <c r="B57" s="2" t="s">
        <v>54</v>
      </c>
      <c r="C57" s="2" t="s">
        <v>155</v>
      </c>
      <c r="D57" s="2" t="s">
        <v>42</v>
      </c>
      <c r="E57" s="2" t="s">
        <v>39</v>
      </c>
      <c r="F57" s="2" t="s">
        <v>43</v>
      </c>
      <c r="G57" s="2" t="s">
        <v>1490</v>
      </c>
      <c r="H57" s="2">
        <v>16</v>
      </c>
      <c r="I57" s="3" t="s">
        <v>1492</v>
      </c>
      <c r="J57" s="2" t="s">
        <v>77</v>
      </c>
      <c r="K57" s="2" t="s">
        <v>52</v>
      </c>
      <c r="L57" s="6" t="s">
        <v>1503</v>
      </c>
      <c r="S57" s="6" t="b">
        <f>C57='Plano de Contas'!C57</f>
        <v>1</v>
      </c>
    </row>
    <row r="58" spans="1:19" x14ac:dyDescent="0.2">
      <c r="A58" s="18" t="s">
        <v>1854</v>
      </c>
      <c r="B58" s="2" t="s">
        <v>54</v>
      </c>
      <c r="C58" s="2" t="s">
        <v>157</v>
      </c>
      <c r="D58" s="2" t="s">
        <v>42</v>
      </c>
      <c r="E58" s="2" t="s">
        <v>39</v>
      </c>
      <c r="F58" s="2" t="s">
        <v>43</v>
      </c>
      <c r="G58" s="2" t="s">
        <v>1490</v>
      </c>
      <c r="H58" s="2">
        <v>16</v>
      </c>
      <c r="I58" s="3" t="s">
        <v>1492</v>
      </c>
      <c r="J58" s="2" t="s">
        <v>77</v>
      </c>
      <c r="K58" s="2" t="s">
        <v>52</v>
      </c>
      <c r="L58" s="6" t="s">
        <v>1503</v>
      </c>
      <c r="S58" s="6" t="b">
        <f>C58='Plano de Contas'!C58</f>
        <v>1</v>
      </c>
    </row>
    <row r="59" spans="1:19" x14ac:dyDescent="0.2">
      <c r="A59" s="18" t="s">
        <v>1855</v>
      </c>
      <c r="B59" s="2" t="s">
        <v>54</v>
      </c>
      <c r="C59" s="2" t="s">
        <v>159</v>
      </c>
      <c r="D59" s="2" t="s">
        <v>42</v>
      </c>
      <c r="E59" s="2" t="s">
        <v>39</v>
      </c>
      <c r="F59" s="2" t="s">
        <v>43</v>
      </c>
      <c r="G59" s="2" t="s">
        <v>1490</v>
      </c>
      <c r="H59" s="2">
        <v>16</v>
      </c>
      <c r="I59" s="3" t="s">
        <v>1492</v>
      </c>
      <c r="J59" s="2" t="s">
        <v>77</v>
      </c>
      <c r="K59" s="2" t="s">
        <v>52</v>
      </c>
      <c r="L59" s="6" t="s">
        <v>1503</v>
      </c>
      <c r="S59" s="6" t="b">
        <f>C59='Plano de Contas'!C59</f>
        <v>1</v>
      </c>
    </row>
    <row r="60" spans="1:19" x14ac:dyDescent="0.2">
      <c r="A60" s="18" t="s">
        <v>1856</v>
      </c>
      <c r="B60" s="2" t="s">
        <v>54</v>
      </c>
      <c r="C60" s="2" t="s">
        <v>161</v>
      </c>
      <c r="D60" s="2" t="s">
        <v>42</v>
      </c>
      <c r="E60" s="2" t="s">
        <v>39</v>
      </c>
      <c r="F60" s="2" t="s">
        <v>43</v>
      </c>
      <c r="G60" s="2" t="s">
        <v>1490</v>
      </c>
      <c r="H60" s="2">
        <v>16</v>
      </c>
      <c r="I60" s="3" t="s">
        <v>1492</v>
      </c>
      <c r="J60" s="2" t="s">
        <v>77</v>
      </c>
      <c r="K60" s="2" t="s">
        <v>52</v>
      </c>
      <c r="L60" s="6" t="s">
        <v>1503</v>
      </c>
      <c r="S60" s="6" t="b">
        <f>C60='Plano de Contas'!C60</f>
        <v>1</v>
      </c>
    </row>
    <row r="61" spans="1:19" x14ac:dyDescent="0.2">
      <c r="A61" s="18" t="s">
        <v>1857</v>
      </c>
      <c r="B61" s="2" t="s">
        <v>54</v>
      </c>
      <c r="C61" s="2" t="s">
        <v>163</v>
      </c>
      <c r="D61" s="2" t="s">
        <v>42</v>
      </c>
      <c r="E61" s="2" t="s">
        <v>39</v>
      </c>
      <c r="F61" s="2" t="s">
        <v>43</v>
      </c>
      <c r="G61" s="2" t="s">
        <v>1490</v>
      </c>
      <c r="H61" s="2">
        <v>16</v>
      </c>
      <c r="I61" s="3" t="s">
        <v>1492</v>
      </c>
      <c r="J61" s="2" t="s">
        <v>77</v>
      </c>
      <c r="K61" s="2" t="s">
        <v>52</v>
      </c>
      <c r="L61" s="6" t="s">
        <v>1503</v>
      </c>
      <c r="S61" s="6" t="b">
        <f>C61='Plano de Contas'!C61</f>
        <v>1</v>
      </c>
    </row>
    <row r="62" spans="1:19" x14ac:dyDescent="0.2">
      <c r="A62" s="41" t="s">
        <v>2840</v>
      </c>
      <c r="B62" s="12" t="s">
        <v>54</v>
      </c>
      <c r="C62" s="12" t="s">
        <v>2837</v>
      </c>
      <c r="D62" s="2" t="s">
        <v>42</v>
      </c>
      <c r="E62" s="2" t="str">
        <f t="shared" ref="E62:E63" si="0">LEFT(A62,1)</f>
        <v>1</v>
      </c>
      <c r="F62" s="2" t="s">
        <v>43</v>
      </c>
      <c r="G62" s="2" t="s">
        <v>1490</v>
      </c>
      <c r="H62" s="2">
        <f t="shared" ref="H62:H63" si="1">LEN(A62)</f>
        <v>11</v>
      </c>
      <c r="I62" s="3" t="s">
        <v>1492</v>
      </c>
      <c r="J62" s="2" t="str">
        <f t="shared" ref="J62" si="2">IF(H62&lt;11,C62,IF(I62&lt;&gt;"-",C62,J59))</f>
        <v>BANCOS CONTA MOVIMENTO</v>
      </c>
      <c r="K62" s="2" t="s">
        <v>52</v>
      </c>
      <c r="L62" s="6" t="s">
        <v>1503</v>
      </c>
      <c r="S62" s="6" t="b">
        <f>C62='Plano de Contas'!C62</f>
        <v>1</v>
      </c>
    </row>
    <row r="63" spans="1:19" x14ac:dyDescent="0.2">
      <c r="A63" s="41" t="s">
        <v>2841</v>
      </c>
      <c r="B63" s="12" t="s">
        <v>54</v>
      </c>
      <c r="C63" s="12" t="s">
        <v>2839</v>
      </c>
      <c r="D63" s="2" t="s">
        <v>42</v>
      </c>
      <c r="E63" s="2" t="str">
        <f t="shared" si="0"/>
        <v>1</v>
      </c>
      <c r="F63" s="2" t="s">
        <v>43</v>
      </c>
      <c r="G63" s="2" t="s">
        <v>1490</v>
      </c>
      <c r="H63" s="2">
        <f t="shared" si="1"/>
        <v>11</v>
      </c>
      <c r="I63" s="3" t="s">
        <v>1492</v>
      </c>
      <c r="J63" s="2" t="str">
        <f>IF(H63&lt;11,C63,IF(I63&lt;&gt;"-",C63,J60))</f>
        <v>BANCOS CONTA MOVIMENTO</v>
      </c>
      <c r="K63" s="2" t="s">
        <v>52</v>
      </c>
      <c r="L63" s="6" t="s">
        <v>1503</v>
      </c>
      <c r="S63" s="6" t="b">
        <f>C63='Plano de Contas'!C63</f>
        <v>1</v>
      </c>
    </row>
    <row r="64" spans="1:19" x14ac:dyDescent="0.2">
      <c r="A64" s="17" t="s">
        <v>1858</v>
      </c>
      <c r="B64" s="1" t="s">
        <v>40</v>
      </c>
      <c r="C64" s="1" t="s">
        <v>165</v>
      </c>
      <c r="D64" s="2" t="s">
        <v>42</v>
      </c>
      <c r="E64" s="2" t="s">
        <v>39</v>
      </c>
      <c r="F64" s="2" t="s">
        <v>43</v>
      </c>
      <c r="G64" s="2" t="s">
        <v>1490</v>
      </c>
      <c r="H64" s="2">
        <v>11</v>
      </c>
      <c r="I64" s="3" t="s">
        <v>164</v>
      </c>
      <c r="J64" s="2" t="s">
        <v>165</v>
      </c>
      <c r="K64" s="2" t="s">
        <v>52</v>
      </c>
      <c r="S64" s="6" t="b">
        <f>C64='Plano de Contas'!C64</f>
        <v>1</v>
      </c>
    </row>
    <row r="65" spans="1:19" x14ac:dyDescent="0.2">
      <c r="A65" s="18" t="s">
        <v>1859</v>
      </c>
      <c r="B65" s="2" t="s">
        <v>54</v>
      </c>
      <c r="C65" s="2" t="s">
        <v>167</v>
      </c>
      <c r="D65" s="2" t="s">
        <v>42</v>
      </c>
      <c r="E65" s="2" t="s">
        <v>39</v>
      </c>
      <c r="F65" s="2" t="s">
        <v>43</v>
      </c>
      <c r="G65" s="2" t="s">
        <v>1490</v>
      </c>
      <c r="H65" s="2">
        <v>16</v>
      </c>
      <c r="I65" s="3" t="s">
        <v>1492</v>
      </c>
      <c r="J65" s="2" t="s">
        <v>165</v>
      </c>
      <c r="K65" s="2" t="s">
        <v>52</v>
      </c>
      <c r="L65" s="6" t="s">
        <v>1503</v>
      </c>
      <c r="S65" s="6" t="b">
        <f>C65='Plano de Contas'!C65</f>
        <v>1</v>
      </c>
    </row>
    <row r="66" spans="1:19" x14ac:dyDescent="0.2">
      <c r="A66" s="17" t="s">
        <v>1860</v>
      </c>
      <c r="B66" s="1" t="s">
        <v>40</v>
      </c>
      <c r="C66" s="1" t="s">
        <v>169</v>
      </c>
      <c r="D66" s="2" t="s">
        <v>42</v>
      </c>
      <c r="E66" s="2" t="s">
        <v>39</v>
      </c>
      <c r="F66" s="2" t="s">
        <v>43</v>
      </c>
      <c r="G66" s="2" t="s">
        <v>1490</v>
      </c>
      <c r="H66" s="2">
        <v>8</v>
      </c>
      <c r="I66" s="3" t="s">
        <v>1492</v>
      </c>
      <c r="J66" s="2" t="s">
        <v>169</v>
      </c>
      <c r="K66" s="2" t="s">
        <v>52</v>
      </c>
      <c r="S66" s="6" t="b">
        <f>C66='Plano de Contas'!C66</f>
        <v>1</v>
      </c>
    </row>
    <row r="67" spans="1:19" x14ac:dyDescent="0.2">
      <c r="A67" s="17" t="s">
        <v>1861</v>
      </c>
      <c r="B67" s="1" t="s">
        <v>40</v>
      </c>
      <c r="C67" s="1" t="s">
        <v>171</v>
      </c>
      <c r="D67" s="2" t="s">
        <v>42</v>
      </c>
      <c r="E67" s="2" t="s">
        <v>39</v>
      </c>
      <c r="F67" s="2" t="s">
        <v>43</v>
      </c>
      <c r="G67" s="2" t="s">
        <v>1490</v>
      </c>
      <c r="H67" s="2">
        <v>11</v>
      </c>
      <c r="I67" s="3" t="s">
        <v>170</v>
      </c>
      <c r="J67" s="2" t="s">
        <v>171</v>
      </c>
      <c r="K67" s="2" t="s">
        <v>52</v>
      </c>
      <c r="L67" s="6" t="s">
        <v>1499</v>
      </c>
      <c r="S67" s="6" t="b">
        <f>C67='Plano de Contas'!C67</f>
        <v>1</v>
      </c>
    </row>
    <row r="68" spans="1:19" x14ac:dyDescent="0.2">
      <c r="A68" s="18" t="s">
        <v>1862</v>
      </c>
      <c r="B68" s="2" t="s">
        <v>54</v>
      </c>
      <c r="C68" s="2" t="s">
        <v>173</v>
      </c>
      <c r="D68" s="2" t="s">
        <v>42</v>
      </c>
      <c r="E68" s="2" t="s">
        <v>39</v>
      </c>
      <c r="F68" s="2" t="s">
        <v>43</v>
      </c>
      <c r="G68" s="2" t="s">
        <v>1490</v>
      </c>
      <c r="H68" s="2">
        <v>16</v>
      </c>
      <c r="I68" s="3" t="s">
        <v>1492</v>
      </c>
      <c r="J68" s="2" t="s">
        <v>171</v>
      </c>
      <c r="K68" s="2" t="s">
        <v>52</v>
      </c>
      <c r="L68" s="6" t="s">
        <v>1499</v>
      </c>
      <c r="S68" s="6" t="b">
        <f>C68='Plano de Contas'!C68</f>
        <v>1</v>
      </c>
    </row>
    <row r="69" spans="1:19" x14ac:dyDescent="0.2">
      <c r="A69" s="17" t="s">
        <v>1863</v>
      </c>
      <c r="B69" s="1" t="s">
        <v>40</v>
      </c>
      <c r="C69" s="1" t="s">
        <v>175</v>
      </c>
      <c r="D69" s="2" t="s">
        <v>42</v>
      </c>
      <c r="E69" s="2" t="s">
        <v>39</v>
      </c>
      <c r="F69" s="2" t="s">
        <v>43</v>
      </c>
      <c r="G69" s="2" t="s">
        <v>1490</v>
      </c>
      <c r="H69" s="2">
        <v>11</v>
      </c>
      <c r="I69" s="3" t="s">
        <v>174</v>
      </c>
      <c r="J69" s="2" t="s">
        <v>175</v>
      </c>
      <c r="K69" s="2" t="s">
        <v>52</v>
      </c>
      <c r="L69" s="6" t="s">
        <v>1500</v>
      </c>
      <c r="S69" s="6" t="b">
        <f>C69='Plano de Contas'!C69</f>
        <v>1</v>
      </c>
    </row>
    <row r="70" spans="1:19" x14ac:dyDescent="0.2">
      <c r="A70" s="18" t="s">
        <v>1864</v>
      </c>
      <c r="B70" s="2" t="s">
        <v>54</v>
      </c>
      <c r="C70" s="2" t="s">
        <v>177</v>
      </c>
      <c r="D70" s="2" t="s">
        <v>42</v>
      </c>
      <c r="E70" s="2" t="s">
        <v>39</v>
      </c>
      <c r="F70" s="2" t="s">
        <v>43</v>
      </c>
      <c r="G70" s="2" t="s">
        <v>1490</v>
      </c>
      <c r="H70" s="2">
        <v>16</v>
      </c>
      <c r="I70" s="3" t="s">
        <v>1492</v>
      </c>
      <c r="J70" s="2" t="s">
        <v>175</v>
      </c>
      <c r="K70" s="2" t="s">
        <v>52</v>
      </c>
      <c r="L70" s="6" t="s">
        <v>1500</v>
      </c>
      <c r="S70" s="6" t="b">
        <f>C70='Plano de Contas'!C70</f>
        <v>1</v>
      </c>
    </row>
    <row r="71" spans="1:19" x14ac:dyDescent="0.2">
      <c r="A71" s="17" t="s">
        <v>1865</v>
      </c>
      <c r="B71" s="1" t="s">
        <v>40</v>
      </c>
      <c r="C71" s="1" t="s">
        <v>179</v>
      </c>
      <c r="D71" s="2" t="s">
        <v>42</v>
      </c>
      <c r="E71" s="2" t="s">
        <v>39</v>
      </c>
      <c r="F71" s="2" t="s">
        <v>43</v>
      </c>
      <c r="G71" s="2" t="s">
        <v>1490</v>
      </c>
      <c r="H71" s="2">
        <v>11</v>
      </c>
      <c r="I71" s="3" t="s">
        <v>178</v>
      </c>
      <c r="J71" s="2" t="s">
        <v>179</v>
      </c>
      <c r="K71" s="2" t="s">
        <v>52</v>
      </c>
      <c r="L71" s="6" t="s">
        <v>1501</v>
      </c>
      <c r="S71" s="6" t="b">
        <f>C71='Plano de Contas'!C71</f>
        <v>1</v>
      </c>
    </row>
    <row r="72" spans="1:19" x14ac:dyDescent="0.2">
      <c r="A72" s="18" t="s">
        <v>1866</v>
      </c>
      <c r="B72" s="2" t="s">
        <v>54</v>
      </c>
      <c r="C72" s="2" t="s">
        <v>179</v>
      </c>
      <c r="D72" s="2" t="s">
        <v>42</v>
      </c>
      <c r="E72" s="2" t="s">
        <v>39</v>
      </c>
      <c r="F72" s="2" t="s">
        <v>43</v>
      </c>
      <c r="G72" s="2" t="s">
        <v>1490</v>
      </c>
      <c r="H72" s="2">
        <v>16</v>
      </c>
      <c r="I72" s="3" t="s">
        <v>1492</v>
      </c>
      <c r="J72" s="2" t="s">
        <v>179</v>
      </c>
      <c r="K72" s="2" t="s">
        <v>52</v>
      </c>
      <c r="L72" s="6" t="s">
        <v>1501</v>
      </c>
      <c r="S72" s="6" t="b">
        <f>C72='Plano de Contas'!C72</f>
        <v>1</v>
      </c>
    </row>
    <row r="73" spans="1:19" x14ac:dyDescent="0.2">
      <c r="A73" s="17" t="s">
        <v>1867</v>
      </c>
      <c r="B73" s="1" t="s">
        <v>40</v>
      </c>
      <c r="C73" s="1" t="s">
        <v>182</v>
      </c>
      <c r="D73" s="2" t="s">
        <v>42</v>
      </c>
      <c r="E73" s="2" t="s">
        <v>39</v>
      </c>
      <c r="F73" s="2" t="s">
        <v>43</v>
      </c>
      <c r="G73" s="2" t="s">
        <v>1490</v>
      </c>
      <c r="H73" s="2">
        <v>11</v>
      </c>
      <c r="I73" s="3" t="s">
        <v>181</v>
      </c>
      <c r="J73" s="2" t="s">
        <v>182</v>
      </c>
      <c r="K73" s="2" t="s">
        <v>52</v>
      </c>
      <c r="L73" s="6" t="s">
        <v>1502</v>
      </c>
      <c r="S73" s="6" t="b">
        <f>C73='Plano de Contas'!C73</f>
        <v>1</v>
      </c>
    </row>
    <row r="74" spans="1:19" x14ac:dyDescent="0.2">
      <c r="A74" s="18" t="s">
        <v>1868</v>
      </c>
      <c r="B74" s="2" t="s">
        <v>54</v>
      </c>
      <c r="C74" s="2" t="s">
        <v>182</v>
      </c>
      <c r="D74" s="2" t="s">
        <v>42</v>
      </c>
      <c r="E74" s="2" t="s">
        <v>39</v>
      </c>
      <c r="F74" s="2" t="s">
        <v>43</v>
      </c>
      <c r="G74" s="2" t="s">
        <v>1490</v>
      </c>
      <c r="H74" s="2">
        <v>16</v>
      </c>
      <c r="I74" s="3" t="s">
        <v>1492</v>
      </c>
      <c r="J74" s="2" t="s">
        <v>182</v>
      </c>
      <c r="K74" s="2" t="s">
        <v>52</v>
      </c>
      <c r="L74" s="6" t="s">
        <v>1502</v>
      </c>
      <c r="S74" s="6" t="b">
        <f>C74='Plano de Contas'!C74</f>
        <v>1</v>
      </c>
    </row>
    <row r="75" spans="1:19" x14ac:dyDescent="0.2">
      <c r="A75" s="17" t="s">
        <v>1869</v>
      </c>
      <c r="B75" s="1" t="s">
        <v>40</v>
      </c>
      <c r="C75" s="1" t="s">
        <v>185</v>
      </c>
      <c r="D75" s="2" t="s">
        <v>42</v>
      </c>
      <c r="E75" s="2" t="s">
        <v>39</v>
      </c>
      <c r="F75" s="2" t="s">
        <v>43</v>
      </c>
      <c r="G75" s="2" t="s">
        <v>1490</v>
      </c>
      <c r="H75" s="2">
        <v>5</v>
      </c>
      <c r="I75" s="3" t="s">
        <v>1492</v>
      </c>
      <c r="J75" s="2" t="s">
        <v>185</v>
      </c>
      <c r="K75" s="2" t="s">
        <v>186</v>
      </c>
      <c r="L75" s="6" t="s">
        <v>1600</v>
      </c>
      <c r="S75" s="6" t="b">
        <f>C75='Plano de Contas'!C75</f>
        <v>1</v>
      </c>
    </row>
    <row r="76" spans="1:19" x14ac:dyDescent="0.2">
      <c r="A76" s="17" t="s">
        <v>1870</v>
      </c>
      <c r="B76" s="1" t="s">
        <v>40</v>
      </c>
      <c r="C76" s="1" t="s">
        <v>185</v>
      </c>
      <c r="D76" s="2" t="s">
        <v>42</v>
      </c>
      <c r="E76" s="2" t="s">
        <v>39</v>
      </c>
      <c r="F76" s="2" t="s">
        <v>43</v>
      </c>
      <c r="G76" s="2" t="s">
        <v>1490</v>
      </c>
      <c r="H76" s="2">
        <v>8</v>
      </c>
      <c r="I76" s="3" t="s">
        <v>1492</v>
      </c>
      <c r="J76" s="2" t="s">
        <v>185</v>
      </c>
      <c r="K76" s="2" t="s">
        <v>186</v>
      </c>
      <c r="L76" s="6" t="s">
        <v>1600</v>
      </c>
      <c r="S76" s="6" t="b">
        <f>C76='Plano de Contas'!C76</f>
        <v>1</v>
      </c>
    </row>
    <row r="77" spans="1:19" x14ac:dyDescent="0.2">
      <c r="A77" s="17" t="s">
        <v>1871</v>
      </c>
      <c r="B77" s="1" t="s">
        <v>40</v>
      </c>
      <c r="C77" s="1" t="s">
        <v>189</v>
      </c>
      <c r="D77" s="2" t="s">
        <v>42</v>
      </c>
      <c r="E77" s="2" t="s">
        <v>39</v>
      </c>
      <c r="F77" s="2" t="s">
        <v>43</v>
      </c>
      <c r="G77" s="2" t="s">
        <v>1490</v>
      </c>
      <c r="H77" s="2">
        <v>11</v>
      </c>
      <c r="I77" s="3" t="s">
        <v>188</v>
      </c>
      <c r="J77" s="2" t="s">
        <v>189</v>
      </c>
      <c r="K77" s="2" t="s">
        <v>186</v>
      </c>
      <c r="L77" s="6" t="s">
        <v>1600</v>
      </c>
      <c r="S77" s="6" t="b">
        <f>C77='Plano de Contas'!C77</f>
        <v>1</v>
      </c>
    </row>
    <row r="78" spans="1:19" x14ac:dyDescent="0.2">
      <c r="A78" s="18" t="s">
        <v>1872</v>
      </c>
      <c r="B78" s="2" t="s">
        <v>54</v>
      </c>
      <c r="C78" s="2" t="s">
        <v>185</v>
      </c>
      <c r="D78" s="2" t="s">
        <v>42</v>
      </c>
      <c r="E78" s="2" t="s">
        <v>39</v>
      </c>
      <c r="F78" s="2" t="s">
        <v>43</v>
      </c>
      <c r="G78" s="2" t="s">
        <v>1490</v>
      </c>
      <c r="H78" s="2">
        <v>16</v>
      </c>
      <c r="I78" s="3" t="s">
        <v>1492</v>
      </c>
      <c r="J78" s="2" t="s">
        <v>189</v>
      </c>
      <c r="K78" s="2" t="s">
        <v>186</v>
      </c>
      <c r="L78" s="6" t="s">
        <v>1600</v>
      </c>
      <c r="S78" s="6" t="b">
        <f>C78='Plano de Contas'!C78</f>
        <v>1</v>
      </c>
    </row>
    <row r="79" spans="1:19" x14ac:dyDescent="0.2">
      <c r="A79" s="17" t="s">
        <v>1873</v>
      </c>
      <c r="B79" s="1" t="s">
        <v>40</v>
      </c>
      <c r="C79" s="1" t="s">
        <v>192</v>
      </c>
      <c r="D79" s="2" t="s">
        <v>42</v>
      </c>
      <c r="E79" s="2" t="s">
        <v>39</v>
      </c>
      <c r="F79" s="2" t="s">
        <v>43</v>
      </c>
      <c r="G79" s="2" t="s">
        <v>1490</v>
      </c>
      <c r="H79" s="2">
        <v>11</v>
      </c>
      <c r="I79" s="3" t="s">
        <v>191</v>
      </c>
      <c r="J79" s="2" t="s">
        <v>192</v>
      </c>
      <c r="K79" s="2" t="s">
        <v>186</v>
      </c>
      <c r="S79" s="6" t="b">
        <f>C79='Plano de Contas'!C79</f>
        <v>1</v>
      </c>
    </row>
    <row r="80" spans="1:19" x14ac:dyDescent="0.2">
      <c r="A80" s="18" t="s">
        <v>1874</v>
      </c>
      <c r="B80" s="2" t="s">
        <v>54</v>
      </c>
      <c r="C80" s="2" t="s">
        <v>192</v>
      </c>
      <c r="D80" s="2" t="s">
        <v>42</v>
      </c>
      <c r="E80" s="2" t="s">
        <v>39</v>
      </c>
      <c r="F80" s="2" t="s">
        <v>43</v>
      </c>
      <c r="G80" s="2" t="s">
        <v>1490</v>
      </c>
      <c r="H80" s="2">
        <v>16</v>
      </c>
      <c r="I80" s="3" t="s">
        <v>1492</v>
      </c>
      <c r="J80" s="2" t="s">
        <v>192</v>
      </c>
      <c r="K80" s="2" t="s">
        <v>186</v>
      </c>
      <c r="L80" s="6" t="s">
        <v>1600</v>
      </c>
      <c r="S80" s="6" t="b">
        <f>C80='Plano de Contas'!C80</f>
        <v>1</v>
      </c>
    </row>
    <row r="81" spans="1:19" x14ac:dyDescent="0.2">
      <c r="A81" s="17" t="s">
        <v>1875</v>
      </c>
      <c r="B81" s="1" t="s">
        <v>40</v>
      </c>
      <c r="C81" s="1" t="s">
        <v>195</v>
      </c>
      <c r="D81" s="2" t="s">
        <v>196</v>
      </c>
      <c r="E81" s="2" t="s">
        <v>39</v>
      </c>
      <c r="F81" s="2" t="s">
        <v>43</v>
      </c>
      <c r="G81" s="2" t="s">
        <v>1490</v>
      </c>
      <c r="H81" s="2">
        <v>11</v>
      </c>
      <c r="I81" s="3" t="s">
        <v>194</v>
      </c>
      <c r="J81" s="2" t="s">
        <v>195</v>
      </c>
      <c r="K81" s="2" t="s">
        <v>186</v>
      </c>
      <c r="S81" s="6" t="b">
        <f>C81='Plano de Contas'!C81</f>
        <v>1</v>
      </c>
    </row>
    <row r="82" spans="1:19" x14ac:dyDescent="0.2">
      <c r="A82" s="18" t="s">
        <v>1876</v>
      </c>
      <c r="B82" s="2" t="s">
        <v>54</v>
      </c>
      <c r="C82" s="2" t="s">
        <v>195</v>
      </c>
      <c r="D82" s="2" t="s">
        <v>196</v>
      </c>
      <c r="E82" s="2" t="s">
        <v>39</v>
      </c>
      <c r="F82" s="2" t="s">
        <v>43</v>
      </c>
      <c r="G82" s="2" t="s">
        <v>1490</v>
      </c>
      <c r="H82" s="2">
        <v>16</v>
      </c>
      <c r="I82" s="3" t="s">
        <v>1492</v>
      </c>
      <c r="J82" s="2" t="s">
        <v>195</v>
      </c>
      <c r="K82" s="2" t="s">
        <v>186</v>
      </c>
      <c r="L82" s="10" t="s">
        <v>1520</v>
      </c>
      <c r="S82" s="6" t="b">
        <f>C82='Plano de Contas'!C82</f>
        <v>1</v>
      </c>
    </row>
    <row r="83" spans="1:19" x14ac:dyDescent="0.2">
      <c r="A83" s="17" t="s">
        <v>1877</v>
      </c>
      <c r="B83" s="1" t="s">
        <v>40</v>
      </c>
      <c r="C83" s="1" t="s">
        <v>199</v>
      </c>
      <c r="D83" s="2" t="s">
        <v>42</v>
      </c>
      <c r="E83" s="2" t="s">
        <v>39</v>
      </c>
      <c r="F83" s="2" t="s">
        <v>43</v>
      </c>
      <c r="G83" s="2" t="s">
        <v>1490</v>
      </c>
      <c r="H83" s="2">
        <v>5</v>
      </c>
      <c r="I83" s="3" t="s">
        <v>1492</v>
      </c>
      <c r="J83" s="2" t="s">
        <v>199</v>
      </c>
      <c r="K83" s="2" t="s">
        <v>200</v>
      </c>
      <c r="S83" s="6" t="b">
        <f>C83='Plano de Contas'!C83</f>
        <v>1</v>
      </c>
    </row>
    <row r="84" spans="1:19" x14ac:dyDescent="0.2">
      <c r="A84" s="17" t="s">
        <v>1878</v>
      </c>
      <c r="B84" s="1" t="s">
        <v>40</v>
      </c>
      <c r="C84" s="1" t="s">
        <v>199</v>
      </c>
      <c r="D84" s="2" t="s">
        <v>42</v>
      </c>
      <c r="E84" s="2" t="s">
        <v>39</v>
      </c>
      <c r="F84" s="2" t="s">
        <v>43</v>
      </c>
      <c r="G84" s="2" t="s">
        <v>1490</v>
      </c>
      <c r="H84" s="2">
        <v>8</v>
      </c>
      <c r="I84" s="3" t="s">
        <v>1492</v>
      </c>
      <c r="J84" s="2" t="s">
        <v>199</v>
      </c>
      <c r="K84" s="2" t="s">
        <v>200</v>
      </c>
      <c r="S84" s="6" t="b">
        <f>C84='Plano de Contas'!C84</f>
        <v>1</v>
      </c>
    </row>
    <row r="85" spans="1:19" x14ac:dyDescent="0.2">
      <c r="A85" s="17" t="s">
        <v>1879</v>
      </c>
      <c r="B85" s="1" t="s">
        <v>40</v>
      </c>
      <c r="C85" s="1" t="s">
        <v>203</v>
      </c>
      <c r="D85" s="2" t="s">
        <v>42</v>
      </c>
      <c r="E85" s="2" t="s">
        <v>39</v>
      </c>
      <c r="F85" s="2" t="s">
        <v>43</v>
      </c>
      <c r="G85" s="2" t="s">
        <v>1490</v>
      </c>
      <c r="H85" s="2">
        <v>11</v>
      </c>
      <c r="I85" s="3" t="s">
        <v>202</v>
      </c>
      <c r="J85" s="2" t="s">
        <v>203</v>
      </c>
      <c r="K85" s="2" t="s">
        <v>200</v>
      </c>
      <c r="S85" s="6" t="b">
        <f>C85='Plano de Contas'!C85</f>
        <v>1</v>
      </c>
    </row>
    <row r="86" spans="1:19" x14ac:dyDescent="0.2">
      <c r="A86" s="18" t="s">
        <v>1880</v>
      </c>
      <c r="B86" s="2" t="s">
        <v>54</v>
      </c>
      <c r="C86" s="2" t="s">
        <v>199</v>
      </c>
      <c r="D86" s="2" t="s">
        <v>42</v>
      </c>
      <c r="E86" s="2" t="s">
        <v>39</v>
      </c>
      <c r="F86" s="2" t="s">
        <v>43</v>
      </c>
      <c r="G86" s="2" t="s">
        <v>1490</v>
      </c>
      <c r="H86" s="2">
        <v>16</v>
      </c>
      <c r="I86" s="3" t="s">
        <v>1492</v>
      </c>
      <c r="J86" s="2" t="s">
        <v>203</v>
      </c>
      <c r="K86" s="2" t="s">
        <v>200</v>
      </c>
      <c r="S86" s="6" t="b">
        <f>C86='Plano de Contas'!C86</f>
        <v>1</v>
      </c>
    </row>
    <row r="87" spans="1:19" x14ac:dyDescent="0.2">
      <c r="A87" s="18" t="s">
        <v>1881</v>
      </c>
      <c r="B87" s="2" t="s">
        <v>54</v>
      </c>
      <c r="C87" s="2" t="s">
        <v>206</v>
      </c>
      <c r="D87" s="2" t="s">
        <v>42</v>
      </c>
      <c r="E87" s="2" t="s">
        <v>39</v>
      </c>
      <c r="F87" s="2" t="s">
        <v>43</v>
      </c>
      <c r="G87" s="2" t="s">
        <v>1490</v>
      </c>
      <c r="H87" s="2">
        <v>16</v>
      </c>
      <c r="I87" s="3" t="s">
        <v>1492</v>
      </c>
      <c r="J87" s="2" t="s">
        <v>203</v>
      </c>
      <c r="K87" s="2" t="s">
        <v>200</v>
      </c>
      <c r="S87" s="6" t="b">
        <f>C87='Plano de Contas'!C87</f>
        <v>1</v>
      </c>
    </row>
    <row r="88" spans="1:19" x14ac:dyDescent="0.2">
      <c r="A88" s="18" t="s">
        <v>1882</v>
      </c>
      <c r="B88" s="2" t="s">
        <v>54</v>
      </c>
      <c r="C88" s="2" t="s">
        <v>208</v>
      </c>
      <c r="D88" s="2" t="s">
        <v>42</v>
      </c>
      <c r="E88" s="2" t="s">
        <v>39</v>
      </c>
      <c r="F88" s="2" t="s">
        <v>43</v>
      </c>
      <c r="G88" s="2" t="s">
        <v>1490</v>
      </c>
      <c r="H88" s="2">
        <v>16</v>
      </c>
      <c r="I88" s="3" t="s">
        <v>1492</v>
      </c>
      <c r="J88" s="2" t="s">
        <v>203</v>
      </c>
      <c r="K88" s="2" t="s">
        <v>200</v>
      </c>
      <c r="S88" s="6" t="b">
        <f>C88='Plano de Contas'!C88</f>
        <v>1</v>
      </c>
    </row>
    <row r="89" spans="1:19" x14ac:dyDescent="0.2">
      <c r="A89" s="18" t="s">
        <v>1883</v>
      </c>
      <c r="B89" s="2" t="s">
        <v>54</v>
      </c>
      <c r="C89" s="2" t="s">
        <v>210</v>
      </c>
      <c r="D89" s="2" t="s">
        <v>42</v>
      </c>
      <c r="E89" s="2" t="s">
        <v>39</v>
      </c>
      <c r="F89" s="2" t="s">
        <v>43</v>
      </c>
      <c r="G89" s="2" t="s">
        <v>1490</v>
      </c>
      <c r="H89" s="2">
        <v>16</v>
      </c>
      <c r="I89" s="3" t="s">
        <v>1492</v>
      </c>
      <c r="J89" s="2" t="s">
        <v>203</v>
      </c>
      <c r="K89" s="2" t="s">
        <v>200</v>
      </c>
      <c r="S89" s="6" t="b">
        <f>C89='Plano de Contas'!C89</f>
        <v>1</v>
      </c>
    </row>
    <row r="90" spans="1:19" x14ac:dyDescent="0.2">
      <c r="A90" s="18" t="s">
        <v>1884</v>
      </c>
      <c r="B90" s="2" t="s">
        <v>54</v>
      </c>
      <c r="C90" s="2" t="s">
        <v>212</v>
      </c>
      <c r="D90" s="2" t="s">
        <v>42</v>
      </c>
      <c r="E90" s="2" t="s">
        <v>39</v>
      </c>
      <c r="F90" s="2" t="s">
        <v>43</v>
      </c>
      <c r="G90" s="2" t="s">
        <v>1490</v>
      </c>
      <c r="H90" s="2">
        <v>16</v>
      </c>
      <c r="I90" s="3" t="s">
        <v>1492</v>
      </c>
      <c r="J90" s="2" t="s">
        <v>203</v>
      </c>
      <c r="K90" s="2" t="s">
        <v>200</v>
      </c>
      <c r="S90" s="6" t="b">
        <f>C90='Plano de Contas'!C90</f>
        <v>1</v>
      </c>
    </row>
    <row r="91" spans="1:19" x14ac:dyDescent="0.2">
      <c r="A91" s="18" t="s">
        <v>1885</v>
      </c>
      <c r="B91" s="2" t="s">
        <v>54</v>
      </c>
      <c r="C91" s="2" t="s">
        <v>214</v>
      </c>
      <c r="D91" s="2" t="s">
        <v>42</v>
      </c>
      <c r="E91" s="2" t="s">
        <v>39</v>
      </c>
      <c r="F91" s="2" t="s">
        <v>43</v>
      </c>
      <c r="G91" s="2" t="s">
        <v>1490</v>
      </c>
      <c r="H91" s="2">
        <v>16</v>
      </c>
      <c r="I91" s="3" t="s">
        <v>1492</v>
      </c>
      <c r="J91" s="2" t="s">
        <v>203</v>
      </c>
      <c r="K91" s="2" t="s">
        <v>200</v>
      </c>
      <c r="S91" s="6" t="b">
        <f>C91='Plano de Contas'!C91</f>
        <v>1</v>
      </c>
    </row>
    <row r="92" spans="1:19" x14ac:dyDescent="0.2">
      <c r="A92" s="18" t="s">
        <v>1886</v>
      </c>
      <c r="B92" s="2" t="s">
        <v>54</v>
      </c>
      <c r="C92" s="2" t="s">
        <v>216</v>
      </c>
      <c r="D92" s="2" t="s">
        <v>42</v>
      </c>
      <c r="E92" s="2" t="s">
        <v>39</v>
      </c>
      <c r="F92" s="2" t="s">
        <v>43</v>
      </c>
      <c r="G92" s="2" t="s">
        <v>1490</v>
      </c>
      <c r="H92" s="2">
        <v>16</v>
      </c>
      <c r="I92" s="3" t="s">
        <v>1492</v>
      </c>
      <c r="J92" s="2" t="s">
        <v>203</v>
      </c>
      <c r="K92" s="2" t="s">
        <v>200</v>
      </c>
      <c r="S92" s="6" t="b">
        <f>C92='Plano de Contas'!C92</f>
        <v>1</v>
      </c>
    </row>
    <row r="93" spans="1:19" x14ac:dyDescent="0.2">
      <c r="A93" s="18" t="s">
        <v>1887</v>
      </c>
      <c r="B93" s="2" t="s">
        <v>54</v>
      </c>
      <c r="C93" s="2" t="s">
        <v>218</v>
      </c>
      <c r="D93" s="2" t="s">
        <v>42</v>
      </c>
      <c r="E93" s="2" t="s">
        <v>39</v>
      </c>
      <c r="F93" s="2" t="s">
        <v>43</v>
      </c>
      <c r="G93" s="2" t="s">
        <v>1490</v>
      </c>
      <c r="H93" s="2">
        <v>16</v>
      </c>
      <c r="I93" s="3" t="s">
        <v>1492</v>
      </c>
      <c r="J93" s="2" t="s">
        <v>203</v>
      </c>
      <c r="K93" s="2" t="s">
        <v>200</v>
      </c>
      <c r="S93" s="6" t="b">
        <f>C93='Plano de Contas'!C93</f>
        <v>1</v>
      </c>
    </row>
    <row r="94" spans="1:19" x14ac:dyDescent="0.2">
      <c r="A94" s="17" t="s">
        <v>1888</v>
      </c>
      <c r="B94" s="1" t="s">
        <v>40</v>
      </c>
      <c r="C94" s="1" t="s">
        <v>220</v>
      </c>
      <c r="D94" s="2" t="s">
        <v>42</v>
      </c>
      <c r="E94" s="2" t="s">
        <v>39</v>
      </c>
      <c r="F94" s="2" t="s">
        <v>43</v>
      </c>
      <c r="G94" s="2" t="s">
        <v>1490</v>
      </c>
      <c r="H94" s="2">
        <v>11</v>
      </c>
      <c r="I94" s="3" t="s">
        <v>219</v>
      </c>
      <c r="J94" s="2" t="s">
        <v>220</v>
      </c>
      <c r="K94" s="2" t="s">
        <v>200</v>
      </c>
      <c r="S94" s="6" t="b">
        <f>C94='Plano de Contas'!C94</f>
        <v>1</v>
      </c>
    </row>
    <row r="95" spans="1:19" x14ac:dyDescent="0.2">
      <c r="A95" s="18" t="s">
        <v>1889</v>
      </c>
      <c r="B95" s="2" t="s">
        <v>54</v>
      </c>
      <c r="C95" s="2" t="s">
        <v>222</v>
      </c>
      <c r="D95" s="2" t="s">
        <v>42</v>
      </c>
      <c r="E95" s="2" t="s">
        <v>39</v>
      </c>
      <c r="F95" s="2" t="s">
        <v>43</v>
      </c>
      <c r="G95" s="2" t="s">
        <v>1490</v>
      </c>
      <c r="H95" s="2">
        <v>16</v>
      </c>
      <c r="I95" s="3" t="s">
        <v>1492</v>
      </c>
      <c r="J95" s="2" t="s">
        <v>220</v>
      </c>
      <c r="K95" s="2" t="s">
        <v>200</v>
      </c>
      <c r="S95" s="6" t="b">
        <f>C95='Plano de Contas'!C95</f>
        <v>1</v>
      </c>
    </row>
    <row r="96" spans="1:19" x14ac:dyDescent="0.2">
      <c r="A96" s="18" t="s">
        <v>1890</v>
      </c>
      <c r="B96" s="2" t="s">
        <v>54</v>
      </c>
      <c r="C96" s="2" t="s">
        <v>224</v>
      </c>
      <c r="D96" s="2" t="s">
        <v>42</v>
      </c>
      <c r="E96" s="2" t="s">
        <v>39</v>
      </c>
      <c r="F96" s="2" t="s">
        <v>43</v>
      </c>
      <c r="G96" s="2" t="s">
        <v>1490</v>
      </c>
      <c r="H96" s="2">
        <v>16</v>
      </c>
      <c r="I96" s="3" t="s">
        <v>1492</v>
      </c>
      <c r="J96" s="2" t="s">
        <v>220</v>
      </c>
      <c r="K96" s="2" t="s">
        <v>200</v>
      </c>
      <c r="S96" s="6" t="b">
        <f>C96='Plano de Contas'!C96</f>
        <v>1</v>
      </c>
    </row>
    <row r="97" spans="1:19" x14ac:dyDescent="0.2">
      <c r="A97" s="18" t="s">
        <v>1891</v>
      </c>
      <c r="B97" s="2" t="s">
        <v>54</v>
      </c>
      <c r="C97" s="2" t="s">
        <v>226</v>
      </c>
      <c r="D97" s="2" t="s">
        <v>42</v>
      </c>
      <c r="E97" s="2" t="s">
        <v>39</v>
      </c>
      <c r="F97" s="2" t="s">
        <v>43</v>
      </c>
      <c r="G97" s="2" t="s">
        <v>1490</v>
      </c>
      <c r="H97" s="2">
        <v>16</v>
      </c>
      <c r="I97" s="3" t="s">
        <v>1492</v>
      </c>
      <c r="J97" s="2" t="s">
        <v>220</v>
      </c>
      <c r="K97" s="2" t="s">
        <v>200</v>
      </c>
      <c r="S97" s="6" t="b">
        <f>C97='Plano de Contas'!C97</f>
        <v>1</v>
      </c>
    </row>
    <row r="98" spans="1:19" x14ac:dyDescent="0.2">
      <c r="A98" s="18" t="s">
        <v>1892</v>
      </c>
      <c r="B98" s="2" t="s">
        <v>54</v>
      </c>
      <c r="C98" s="2" t="s">
        <v>228</v>
      </c>
      <c r="D98" s="2" t="s">
        <v>42</v>
      </c>
      <c r="E98" s="2" t="s">
        <v>39</v>
      </c>
      <c r="F98" s="2" t="s">
        <v>43</v>
      </c>
      <c r="G98" s="2" t="s">
        <v>1490</v>
      </c>
      <c r="H98" s="2">
        <v>16</v>
      </c>
      <c r="I98" s="3" t="s">
        <v>1492</v>
      </c>
      <c r="J98" s="2" t="s">
        <v>220</v>
      </c>
      <c r="K98" s="2" t="s">
        <v>200</v>
      </c>
      <c r="S98" s="6" t="b">
        <f>C98='Plano de Contas'!C98</f>
        <v>1</v>
      </c>
    </row>
    <row r="99" spans="1:19" x14ac:dyDescent="0.2">
      <c r="A99" s="18" t="s">
        <v>1893</v>
      </c>
      <c r="B99" s="2" t="s">
        <v>54</v>
      </c>
      <c r="C99" s="2" t="s">
        <v>230</v>
      </c>
      <c r="D99" s="2" t="s">
        <v>42</v>
      </c>
      <c r="E99" s="2" t="s">
        <v>39</v>
      </c>
      <c r="F99" s="2" t="s">
        <v>43</v>
      </c>
      <c r="G99" s="2" t="s">
        <v>1490</v>
      </c>
      <c r="H99" s="2">
        <v>16</v>
      </c>
      <c r="I99" s="3" t="s">
        <v>1492</v>
      </c>
      <c r="J99" s="2" t="s">
        <v>220</v>
      </c>
      <c r="K99" s="2" t="s">
        <v>200</v>
      </c>
      <c r="S99" s="6" t="b">
        <f>C99='Plano de Contas'!C99</f>
        <v>1</v>
      </c>
    </row>
    <row r="100" spans="1:19" x14ac:dyDescent="0.2">
      <c r="A100" s="18" t="s">
        <v>1894</v>
      </c>
      <c r="B100" s="2" t="s">
        <v>54</v>
      </c>
      <c r="C100" s="2" t="s">
        <v>232</v>
      </c>
      <c r="D100" s="2" t="s">
        <v>42</v>
      </c>
      <c r="E100" s="2" t="s">
        <v>39</v>
      </c>
      <c r="F100" s="2" t="s">
        <v>43</v>
      </c>
      <c r="G100" s="2" t="s">
        <v>1490</v>
      </c>
      <c r="H100" s="2">
        <v>16</v>
      </c>
      <c r="I100" s="3" t="s">
        <v>1492</v>
      </c>
      <c r="J100" s="2" t="s">
        <v>220</v>
      </c>
      <c r="K100" s="2" t="s">
        <v>200</v>
      </c>
      <c r="S100" s="6" t="b">
        <f>C100='Plano de Contas'!C100</f>
        <v>1</v>
      </c>
    </row>
    <row r="101" spans="1:19" x14ac:dyDescent="0.2">
      <c r="A101" s="18" t="s">
        <v>1895</v>
      </c>
      <c r="B101" s="2" t="s">
        <v>54</v>
      </c>
      <c r="C101" s="2" t="s">
        <v>234</v>
      </c>
      <c r="D101" s="2" t="s">
        <v>42</v>
      </c>
      <c r="E101" s="2" t="s">
        <v>39</v>
      </c>
      <c r="F101" s="2" t="s">
        <v>43</v>
      </c>
      <c r="G101" s="2" t="s">
        <v>1490</v>
      </c>
      <c r="H101" s="2">
        <v>16</v>
      </c>
      <c r="I101" s="3" t="s">
        <v>1492</v>
      </c>
      <c r="J101" s="2" t="s">
        <v>220</v>
      </c>
      <c r="K101" s="2" t="s">
        <v>200</v>
      </c>
      <c r="S101" s="6" t="b">
        <f>C101='Plano de Contas'!C101</f>
        <v>1</v>
      </c>
    </row>
    <row r="102" spans="1:19" x14ac:dyDescent="0.2">
      <c r="A102" s="18" t="s">
        <v>1896</v>
      </c>
      <c r="B102" s="2" t="s">
        <v>54</v>
      </c>
      <c r="C102" s="2" t="s">
        <v>236</v>
      </c>
      <c r="D102" s="2" t="s">
        <v>42</v>
      </c>
      <c r="E102" s="2" t="s">
        <v>39</v>
      </c>
      <c r="F102" s="2" t="s">
        <v>43</v>
      </c>
      <c r="G102" s="2" t="s">
        <v>1490</v>
      </c>
      <c r="H102" s="2">
        <v>16</v>
      </c>
      <c r="I102" s="3" t="s">
        <v>1492</v>
      </c>
      <c r="J102" s="2" t="s">
        <v>220</v>
      </c>
      <c r="K102" s="2" t="s">
        <v>200</v>
      </c>
      <c r="S102" s="6" t="b">
        <f>C102='Plano de Contas'!C102</f>
        <v>1</v>
      </c>
    </row>
    <row r="103" spans="1:19" x14ac:dyDescent="0.2">
      <c r="A103" s="41" t="s">
        <v>2850</v>
      </c>
      <c r="B103" s="12" t="s">
        <v>54</v>
      </c>
      <c r="C103" s="12" t="s">
        <v>2849</v>
      </c>
      <c r="D103" s="2" t="s">
        <v>42</v>
      </c>
      <c r="E103" s="2" t="s">
        <v>39</v>
      </c>
      <c r="F103" s="2" t="s">
        <v>43</v>
      </c>
      <c r="G103" s="2" t="s">
        <v>1490</v>
      </c>
      <c r="H103" s="2">
        <v>16</v>
      </c>
      <c r="I103" s="3" t="s">
        <v>1492</v>
      </c>
      <c r="J103" s="2" t="s">
        <v>220</v>
      </c>
      <c r="K103" s="2" t="s">
        <v>200</v>
      </c>
      <c r="S103" s="6" t="b">
        <f>C103='Plano de Contas'!C103</f>
        <v>1</v>
      </c>
    </row>
    <row r="104" spans="1:19" x14ac:dyDescent="0.2">
      <c r="A104" s="41" t="s">
        <v>2851</v>
      </c>
      <c r="B104" s="12" t="s">
        <v>54</v>
      </c>
      <c r="C104" s="12" t="s">
        <v>2844</v>
      </c>
      <c r="D104" s="2" t="s">
        <v>42</v>
      </c>
      <c r="E104" s="2" t="s">
        <v>39</v>
      </c>
      <c r="F104" s="2" t="s">
        <v>43</v>
      </c>
      <c r="G104" s="2" t="s">
        <v>1490</v>
      </c>
      <c r="H104" s="2">
        <v>16</v>
      </c>
      <c r="I104" s="3" t="s">
        <v>1492</v>
      </c>
      <c r="J104" s="2" t="s">
        <v>220</v>
      </c>
      <c r="K104" s="2" t="s">
        <v>200</v>
      </c>
      <c r="S104" s="6" t="b">
        <f>C104='Plano de Contas'!C104</f>
        <v>1</v>
      </c>
    </row>
    <row r="105" spans="1:19" x14ac:dyDescent="0.2">
      <c r="A105" s="17" t="s">
        <v>1897</v>
      </c>
      <c r="B105" s="1" t="s">
        <v>40</v>
      </c>
      <c r="C105" s="1" t="s">
        <v>238</v>
      </c>
      <c r="D105" s="2" t="s">
        <v>42</v>
      </c>
      <c r="E105" s="2" t="s">
        <v>39</v>
      </c>
      <c r="F105" s="2" t="s">
        <v>43</v>
      </c>
      <c r="G105" s="2" t="s">
        <v>1490</v>
      </c>
      <c r="H105" s="2">
        <v>11</v>
      </c>
      <c r="I105" s="3" t="s">
        <v>237</v>
      </c>
      <c r="J105" s="2" t="s">
        <v>238</v>
      </c>
      <c r="K105" s="2" t="s">
        <v>200</v>
      </c>
      <c r="S105" s="6" t="b">
        <f>C105='Plano de Contas'!C105</f>
        <v>1</v>
      </c>
    </row>
    <row r="106" spans="1:19" x14ac:dyDescent="0.2">
      <c r="A106" s="18" t="s">
        <v>1898</v>
      </c>
      <c r="B106" s="2" t="s">
        <v>54</v>
      </c>
      <c r="C106" s="2" t="s">
        <v>238</v>
      </c>
      <c r="D106" s="2" t="s">
        <v>42</v>
      </c>
      <c r="E106" s="2" t="s">
        <v>39</v>
      </c>
      <c r="F106" s="2" t="s">
        <v>43</v>
      </c>
      <c r="G106" s="2" t="s">
        <v>1490</v>
      </c>
      <c r="H106" s="2">
        <v>16</v>
      </c>
      <c r="I106" s="3" t="s">
        <v>1492</v>
      </c>
      <c r="J106" s="2" t="s">
        <v>238</v>
      </c>
      <c r="K106" s="2" t="s">
        <v>200</v>
      </c>
      <c r="S106" s="6" t="b">
        <f>C106='Plano de Contas'!C106</f>
        <v>1</v>
      </c>
    </row>
    <row r="107" spans="1:19" x14ac:dyDescent="0.2">
      <c r="A107" s="17" t="s">
        <v>1899</v>
      </c>
      <c r="B107" s="1" t="s">
        <v>40</v>
      </c>
      <c r="C107" s="1" t="s">
        <v>241</v>
      </c>
      <c r="D107" s="2" t="s">
        <v>42</v>
      </c>
      <c r="E107" s="2" t="s">
        <v>39</v>
      </c>
      <c r="F107" s="2" t="s">
        <v>43</v>
      </c>
      <c r="G107" s="2" t="s">
        <v>1490</v>
      </c>
      <c r="H107" s="2">
        <v>11</v>
      </c>
      <c r="I107" s="3" t="s">
        <v>240</v>
      </c>
      <c r="J107" s="2" t="s">
        <v>241</v>
      </c>
      <c r="K107" s="2" t="s">
        <v>200</v>
      </c>
      <c r="S107" s="6" t="b">
        <f>C107='Plano de Contas'!C107</f>
        <v>1</v>
      </c>
    </row>
    <row r="108" spans="1:19" x14ac:dyDescent="0.2">
      <c r="A108" s="18" t="s">
        <v>1900</v>
      </c>
      <c r="B108" s="2" t="s">
        <v>54</v>
      </c>
      <c r="C108" s="2" t="s">
        <v>241</v>
      </c>
      <c r="D108" s="2" t="s">
        <v>42</v>
      </c>
      <c r="E108" s="2" t="s">
        <v>39</v>
      </c>
      <c r="F108" s="2" t="s">
        <v>43</v>
      </c>
      <c r="G108" s="2" t="s">
        <v>1490</v>
      </c>
      <c r="H108" s="2">
        <v>16</v>
      </c>
      <c r="I108" s="3" t="s">
        <v>1492</v>
      </c>
      <c r="J108" s="2" t="s">
        <v>241</v>
      </c>
      <c r="K108" s="2" t="s">
        <v>200</v>
      </c>
      <c r="S108" s="6" t="b">
        <f>C108='Plano de Contas'!C108</f>
        <v>1</v>
      </c>
    </row>
    <row r="109" spans="1:19" x14ac:dyDescent="0.2">
      <c r="A109" s="17" t="s">
        <v>1901</v>
      </c>
      <c r="B109" s="1" t="s">
        <v>40</v>
      </c>
      <c r="C109" s="1" t="s">
        <v>244</v>
      </c>
      <c r="D109" s="2" t="s">
        <v>42</v>
      </c>
      <c r="E109" s="2" t="s">
        <v>39</v>
      </c>
      <c r="F109" s="2" t="s">
        <v>43</v>
      </c>
      <c r="G109" s="2" t="s">
        <v>1490</v>
      </c>
      <c r="H109" s="2">
        <v>11</v>
      </c>
      <c r="I109" s="3" t="s">
        <v>243</v>
      </c>
      <c r="J109" s="2" t="s">
        <v>244</v>
      </c>
      <c r="K109" s="2" t="s">
        <v>200</v>
      </c>
      <c r="S109" s="6" t="b">
        <f>C109='Plano de Contas'!C109</f>
        <v>1</v>
      </c>
    </row>
    <row r="110" spans="1:19" x14ac:dyDescent="0.2">
      <c r="A110" s="18" t="s">
        <v>1902</v>
      </c>
      <c r="B110" s="2" t="s">
        <v>54</v>
      </c>
      <c r="C110" s="2" t="s">
        <v>244</v>
      </c>
      <c r="D110" s="2" t="s">
        <v>42</v>
      </c>
      <c r="E110" s="2" t="s">
        <v>39</v>
      </c>
      <c r="F110" s="2" t="s">
        <v>43</v>
      </c>
      <c r="G110" s="2" t="s">
        <v>1490</v>
      </c>
      <c r="H110" s="2">
        <v>16</v>
      </c>
      <c r="I110" s="3" t="s">
        <v>1492</v>
      </c>
      <c r="J110" s="2" t="s">
        <v>244</v>
      </c>
      <c r="K110" s="2" t="s">
        <v>200</v>
      </c>
      <c r="S110" s="6" t="b">
        <f>C110='Plano de Contas'!C110</f>
        <v>1</v>
      </c>
    </row>
    <row r="111" spans="1:19" x14ac:dyDescent="0.2">
      <c r="A111" s="18" t="s">
        <v>1903</v>
      </c>
      <c r="B111" s="2" t="s">
        <v>54</v>
      </c>
      <c r="C111" s="2" t="s">
        <v>247</v>
      </c>
      <c r="D111" s="2" t="s">
        <v>42</v>
      </c>
      <c r="E111" s="2" t="s">
        <v>39</v>
      </c>
      <c r="F111" s="2" t="s">
        <v>43</v>
      </c>
      <c r="G111" s="2" t="s">
        <v>1490</v>
      </c>
      <c r="H111" s="2">
        <v>16</v>
      </c>
      <c r="I111" s="3" t="s">
        <v>1492</v>
      </c>
      <c r="J111" s="2" t="s">
        <v>244</v>
      </c>
      <c r="K111" s="2" t="s">
        <v>200</v>
      </c>
      <c r="S111" s="6" t="b">
        <f>C111='Plano de Contas'!C111</f>
        <v>1</v>
      </c>
    </row>
    <row r="112" spans="1:19" x14ac:dyDescent="0.2">
      <c r="A112" s="17" t="s">
        <v>1904</v>
      </c>
      <c r="B112" s="1" t="s">
        <v>40</v>
      </c>
      <c r="C112" s="1" t="s">
        <v>249</v>
      </c>
      <c r="D112" s="2" t="s">
        <v>42</v>
      </c>
      <c r="E112" s="2" t="s">
        <v>39</v>
      </c>
      <c r="F112" s="2" t="s">
        <v>43</v>
      </c>
      <c r="G112" s="2" t="s">
        <v>1490</v>
      </c>
      <c r="H112" s="2">
        <v>11</v>
      </c>
      <c r="I112" s="3" t="s">
        <v>248</v>
      </c>
      <c r="J112" s="2" t="s">
        <v>249</v>
      </c>
      <c r="K112" s="2" t="s">
        <v>200</v>
      </c>
      <c r="S112" s="6" t="b">
        <f>C112='Plano de Contas'!C112</f>
        <v>1</v>
      </c>
    </row>
    <row r="113" spans="1:19" x14ac:dyDescent="0.2">
      <c r="A113" s="18" t="s">
        <v>1905</v>
      </c>
      <c r="B113" s="2" t="s">
        <v>54</v>
      </c>
      <c r="C113" s="2" t="s">
        <v>251</v>
      </c>
      <c r="D113" s="2" t="s">
        <v>42</v>
      </c>
      <c r="E113" s="2" t="s">
        <v>39</v>
      </c>
      <c r="F113" s="2" t="s">
        <v>43</v>
      </c>
      <c r="G113" s="2" t="s">
        <v>1490</v>
      </c>
      <c r="H113" s="2">
        <v>16</v>
      </c>
      <c r="I113" s="3" t="s">
        <v>1492</v>
      </c>
      <c r="J113" s="2" t="s">
        <v>249</v>
      </c>
      <c r="K113" s="2" t="s">
        <v>200</v>
      </c>
      <c r="S113" s="6" t="b">
        <f>C113='Plano de Contas'!C113</f>
        <v>1</v>
      </c>
    </row>
    <row r="114" spans="1:19" x14ac:dyDescent="0.2">
      <c r="A114" s="18" t="s">
        <v>1906</v>
      </c>
      <c r="B114" s="2" t="s">
        <v>54</v>
      </c>
      <c r="C114" s="2" t="s">
        <v>253</v>
      </c>
      <c r="D114" s="2" t="s">
        <v>42</v>
      </c>
      <c r="E114" s="2" t="s">
        <v>39</v>
      </c>
      <c r="F114" s="2" t="s">
        <v>43</v>
      </c>
      <c r="G114" s="2" t="s">
        <v>1490</v>
      </c>
      <c r="H114" s="2">
        <v>16</v>
      </c>
      <c r="I114" s="3" t="s">
        <v>1492</v>
      </c>
      <c r="J114" s="2" t="s">
        <v>249</v>
      </c>
      <c r="K114" s="2" t="s">
        <v>200</v>
      </c>
      <c r="S114" s="6" t="b">
        <f>C114='Plano de Contas'!C114</f>
        <v>1</v>
      </c>
    </row>
    <row r="115" spans="1:19" x14ac:dyDescent="0.2">
      <c r="A115" s="18" t="s">
        <v>1907</v>
      </c>
      <c r="B115" s="2" t="s">
        <v>54</v>
      </c>
      <c r="C115" s="2" t="s">
        <v>255</v>
      </c>
      <c r="D115" s="2" t="s">
        <v>42</v>
      </c>
      <c r="E115" s="2" t="s">
        <v>39</v>
      </c>
      <c r="F115" s="2" t="s">
        <v>43</v>
      </c>
      <c r="G115" s="2" t="s">
        <v>1490</v>
      </c>
      <c r="H115" s="2">
        <v>16</v>
      </c>
      <c r="I115" s="3" t="s">
        <v>1492</v>
      </c>
      <c r="J115" s="2" t="s">
        <v>249</v>
      </c>
      <c r="K115" s="2" t="s">
        <v>200</v>
      </c>
      <c r="S115" s="6" t="b">
        <f>C115='Plano de Contas'!C115</f>
        <v>1</v>
      </c>
    </row>
    <row r="116" spans="1:19" x14ac:dyDescent="0.2">
      <c r="A116" s="18" t="s">
        <v>1908</v>
      </c>
      <c r="B116" s="2" t="s">
        <v>54</v>
      </c>
      <c r="C116" s="2" t="s">
        <v>257</v>
      </c>
      <c r="D116" s="2" t="s">
        <v>42</v>
      </c>
      <c r="E116" s="2" t="s">
        <v>39</v>
      </c>
      <c r="F116" s="2" t="s">
        <v>43</v>
      </c>
      <c r="G116" s="2" t="s">
        <v>1490</v>
      </c>
      <c r="H116" s="2">
        <v>16</v>
      </c>
      <c r="I116" s="3" t="s">
        <v>1492</v>
      </c>
      <c r="J116" s="2" t="s">
        <v>249</v>
      </c>
      <c r="K116" s="2" t="s">
        <v>200</v>
      </c>
      <c r="S116" s="6" t="b">
        <f>C116='Plano de Contas'!C116</f>
        <v>1</v>
      </c>
    </row>
    <row r="117" spans="1:19" x14ac:dyDescent="0.2">
      <c r="A117" s="18" t="s">
        <v>1909</v>
      </c>
      <c r="B117" s="2" t="s">
        <v>54</v>
      </c>
      <c r="C117" s="2" t="s">
        <v>259</v>
      </c>
      <c r="D117" s="2" t="s">
        <v>42</v>
      </c>
      <c r="E117" s="2" t="s">
        <v>39</v>
      </c>
      <c r="F117" s="2" t="s">
        <v>43</v>
      </c>
      <c r="G117" s="2" t="s">
        <v>1490</v>
      </c>
      <c r="H117" s="2">
        <v>16</v>
      </c>
      <c r="I117" s="3" t="s">
        <v>1492</v>
      </c>
      <c r="J117" s="2" t="s">
        <v>249</v>
      </c>
      <c r="K117" s="2" t="s">
        <v>200</v>
      </c>
      <c r="S117" s="6" t="b">
        <f>C117='Plano de Contas'!C117</f>
        <v>1</v>
      </c>
    </row>
    <row r="118" spans="1:19" x14ac:dyDescent="0.2">
      <c r="A118" s="18" t="s">
        <v>1910</v>
      </c>
      <c r="B118" s="2" t="s">
        <v>54</v>
      </c>
      <c r="C118" s="2" t="s">
        <v>261</v>
      </c>
      <c r="D118" s="2" t="s">
        <v>42</v>
      </c>
      <c r="E118" s="2" t="s">
        <v>39</v>
      </c>
      <c r="F118" s="2" t="s">
        <v>43</v>
      </c>
      <c r="G118" s="2" t="s">
        <v>1490</v>
      </c>
      <c r="H118" s="2">
        <v>16</v>
      </c>
      <c r="I118" s="3" t="s">
        <v>1492</v>
      </c>
      <c r="J118" s="2" t="s">
        <v>249</v>
      </c>
      <c r="K118" s="2" t="s">
        <v>200</v>
      </c>
      <c r="S118" s="6" t="b">
        <f>C118='Plano de Contas'!C118</f>
        <v>1</v>
      </c>
    </row>
    <row r="119" spans="1:19" x14ac:dyDescent="0.2">
      <c r="A119" s="18" t="s">
        <v>1911</v>
      </c>
      <c r="B119" s="2" t="s">
        <v>54</v>
      </c>
      <c r="C119" s="2" t="s">
        <v>263</v>
      </c>
      <c r="D119" s="2" t="s">
        <v>42</v>
      </c>
      <c r="E119" s="2" t="s">
        <v>39</v>
      </c>
      <c r="F119" s="2" t="s">
        <v>43</v>
      </c>
      <c r="G119" s="2" t="s">
        <v>1490</v>
      </c>
      <c r="H119" s="2">
        <v>16</v>
      </c>
      <c r="I119" s="3" t="s">
        <v>1492</v>
      </c>
      <c r="J119" s="2" t="s">
        <v>249</v>
      </c>
      <c r="K119" s="2" t="s">
        <v>200</v>
      </c>
      <c r="S119" s="6" t="b">
        <f>C119='Plano de Contas'!C119</f>
        <v>1</v>
      </c>
    </row>
    <row r="120" spans="1:19" x14ac:dyDescent="0.2">
      <c r="A120" s="17" t="s">
        <v>1912</v>
      </c>
      <c r="B120" s="1" t="s">
        <v>40</v>
      </c>
      <c r="C120" s="1" t="s">
        <v>265</v>
      </c>
      <c r="D120" s="2" t="s">
        <v>42</v>
      </c>
      <c r="E120" s="2" t="s">
        <v>39</v>
      </c>
      <c r="F120" s="2" t="s">
        <v>43</v>
      </c>
      <c r="G120" s="2" t="s">
        <v>1490</v>
      </c>
      <c r="H120" s="2">
        <v>11</v>
      </c>
      <c r="I120" s="3" t="s">
        <v>264</v>
      </c>
      <c r="J120" s="2" t="s">
        <v>265</v>
      </c>
      <c r="K120" s="2" t="s">
        <v>200</v>
      </c>
      <c r="S120" s="6" t="b">
        <f>C120='Plano de Contas'!C120</f>
        <v>1</v>
      </c>
    </row>
    <row r="121" spans="1:19" x14ac:dyDescent="0.2">
      <c r="A121" s="18" t="s">
        <v>1913</v>
      </c>
      <c r="B121" s="2" t="s">
        <v>54</v>
      </c>
      <c r="C121" s="2" t="s">
        <v>267</v>
      </c>
      <c r="D121" s="2" t="s">
        <v>42</v>
      </c>
      <c r="E121" s="2" t="s">
        <v>39</v>
      </c>
      <c r="F121" s="2" t="s">
        <v>43</v>
      </c>
      <c r="G121" s="2" t="s">
        <v>1490</v>
      </c>
      <c r="H121" s="2">
        <v>16</v>
      </c>
      <c r="I121" s="3" t="s">
        <v>1492</v>
      </c>
      <c r="J121" s="2" t="s">
        <v>265</v>
      </c>
      <c r="K121" s="2" t="s">
        <v>200</v>
      </c>
      <c r="S121" s="6" t="b">
        <f>C121='Plano de Contas'!C121</f>
        <v>1</v>
      </c>
    </row>
    <row r="122" spans="1:19" x14ac:dyDescent="0.2">
      <c r="A122" s="18" t="s">
        <v>1914</v>
      </c>
      <c r="B122" s="2" t="s">
        <v>54</v>
      </c>
      <c r="C122" s="2" t="s">
        <v>269</v>
      </c>
      <c r="D122" s="2" t="s">
        <v>42</v>
      </c>
      <c r="E122" s="2" t="s">
        <v>39</v>
      </c>
      <c r="F122" s="2" t="s">
        <v>43</v>
      </c>
      <c r="G122" s="2" t="s">
        <v>1490</v>
      </c>
      <c r="H122" s="2">
        <v>16</v>
      </c>
      <c r="I122" s="3" t="s">
        <v>1492</v>
      </c>
      <c r="J122" s="2" t="s">
        <v>265</v>
      </c>
      <c r="K122" s="2" t="s">
        <v>200</v>
      </c>
      <c r="S122" s="6" t="b">
        <f>C122='Plano de Contas'!C122</f>
        <v>1</v>
      </c>
    </row>
    <row r="123" spans="1:19" x14ac:dyDescent="0.2">
      <c r="A123" s="18" t="s">
        <v>1915</v>
      </c>
      <c r="B123" s="2" t="s">
        <v>54</v>
      </c>
      <c r="C123" s="2" t="s">
        <v>271</v>
      </c>
      <c r="D123" s="2" t="s">
        <v>42</v>
      </c>
      <c r="E123" s="2" t="s">
        <v>39</v>
      </c>
      <c r="F123" s="2" t="s">
        <v>43</v>
      </c>
      <c r="G123" s="2" t="s">
        <v>1490</v>
      </c>
      <c r="H123" s="2">
        <v>16</v>
      </c>
      <c r="I123" s="3" t="s">
        <v>1492</v>
      </c>
      <c r="J123" s="2" t="s">
        <v>265</v>
      </c>
      <c r="K123" s="2" t="s">
        <v>200</v>
      </c>
      <c r="S123" s="6" t="b">
        <f>C123='Plano de Contas'!C123</f>
        <v>1</v>
      </c>
    </row>
    <row r="124" spans="1:19" x14ac:dyDescent="0.2">
      <c r="A124" s="18" t="s">
        <v>1916</v>
      </c>
      <c r="B124" s="2" t="s">
        <v>54</v>
      </c>
      <c r="C124" s="2" t="s">
        <v>273</v>
      </c>
      <c r="D124" s="2" t="s">
        <v>42</v>
      </c>
      <c r="E124" s="2" t="s">
        <v>39</v>
      </c>
      <c r="F124" s="2" t="s">
        <v>43</v>
      </c>
      <c r="G124" s="2" t="s">
        <v>1490</v>
      </c>
      <c r="H124" s="2">
        <v>16</v>
      </c>
      <c r="I124" s="3" t="s">
        <v>1492</v>
      </c>
      <c r="J124" s="2" t="s">
        <v>265</v>
      </c>
      <c r="K124" s="2" t="s">
        <v>200</v>
      </c>
      <c r="S124" s="6" t="b">
        <f>C124='Plano de Contas'!C124</f>
        <v>1</v>
      </c>
    </row>
    <row r="125" spans="1:19" x14ac:dyDescent="0.2">
      <c r="A125" s="18" t="s">
        <v>1917</v>
      </c>
      <c r="B125" s="2" t="s">
        <v>54</v>
      </c>
      <c r="C125" s="2" t="s">
        <v>275</v>
      </c>
      <c r="D125" s="2" t="s">
        <v>42</v>
      </c>
      <c r="E125" s="2" t="s">
        <v>39</v>
      </c>
      <c r="F125" s="2" t="s">
        <v>43</v>
      </c>
      <c r="G125" s="2" t="s">
        <v>1490</v>
      </c>
      <c r="H125" s="2">
        <v>16</v>
      </c>
      <c r="I125" s="3" t="s">
        <v>1492</v>
      </c>
      <c r="J125" s="2" t="s">
        <v>265</v>
      </c>
      <c r="K125" s="2" t="s">
        <v>200</v>
      </c>
      <c r="S125" s="6" t="b">
        <f>C125='Plano de Contas'!C125</f>
        <v>1</v>
      </c>
    </row>
    <row r="126" spans="1:19" x14ac:dyDescent="0.2">
      <c r="A126" s="18" t="s">
        <v>1918</v>
      </c>
      <c r="B126" s="2" t="s">
        <v>54</v>
      </c>
      <c r="C126" s="2" t="s">
        <v>277</v>
      </c>
      <c r="D126" s="2" t="s">
        <v>42</v>
      </c>
      <c r="E126" s="2" t="s">
        <v>39</v>
      </c>
      <c r="F126" s="2" t="s">
        <v>43</v>
      </c>
      <c r="G126" s="2" t="s">
        <v>1490</v>
      </c>
      <c r="H126" s="2">
        <v>16</v>
      </c>
      <c r="I126" s="3" t="s">
        <v>1492</v>
      </c>
      <c r="J126" s="2" t="s">
        <v>265</v>
      </c>
      <c r="K126" s="2" t="s">
        <v>200</v>
      </c>
      <c r="S126" s="6" t="b">
        <f>C126='Plano de Contas'!C126</f>
        <v>1</v>
      </c>
    </row>
    <row r="127" spans="1:19" x14ac:dyDescent="0.2">
      <c r="A127" s="17" t="s">
        <v>1919</v>
      </c>
      <c r="B127" s="1" t="s">
        <v>40</v>
      </c>
      <c r="C127" s="1" t="s">
        <v>279</v>
      </c>
      <c r="D127" s="2" t="s">
        <v>42</v>
      </c>
      <c r="E127" s="2" t="s">
        <v>39</v>
      </c>
      <c r="F127" s="2" t="s">
        <v>43</v>
      </c>
      <c r="G127" s="2" t="s">
        <v>1490</v>
      </c>
      <c r="H127" s="2">
        <v>11</v>
      </c>
      <c r="I127" s="3" t="s">
        <v>278</v>
      </c>
      <c r="J127" s="2" t="s">
        <v>279</v>
      </c>
      <c r="K127" s="2" t="s">
        <v>200</v>
      </c>
      <c r="S127" s="6" t="b">
        <f>C127='Plano de Contas'!C127</f>
        <v>1</v>
      </c>
    </row>
    <row r="128" spans="1:19" x14ac:dyDescent="0.2">
      <c r="A128" s="18" t="s">
        <v>1920</v>
      </c>
      <c r="B128" s="2" t="s">
        <v>54</v>
      </c>
      <c r="C128" s="2" t="s">
        <v>281</v>
      </c>
      <c r="D128" s="2" t="s">
        <v>42</v>
      </c>
      <c r="E128" s="2" t="s">
        <v>39</v>
      </c>
      <c r="F128" s="2" t="s">
        <v>43</v>
      </c>
      <c r="G128" s="2" t="s">
        <v>1490</v>
      </c>
      <c r="H128" s="2">
        <v>16</v>
      </c>
      <c r="I128" s="3" t="s">
        <v>1492</v>
      </c>
      <c r="J128" s="2" t="s">
        <v>279</v>
      </c>
      <c r="K128" s="2" t="s">
        <v>200</v>
      </c>
      <c r="S128" s="6" t="b">
        <f>C128='Plano de Contas'!C128</f>
        <v>1</v>
      </c>
    </row>
    <row r="129" spans="1:19" x14ac:dyDescent="0.2">
      <c r="A129" s="18" t="s">
        <v>1921</v>
      </c>
      <c r="B129" s="2" t="s">
        <v>54</v>
      </c>
      <c r="C129" s="2" t="s">
        <v>283</v>
      </c>
      <c r="D129" s="2" t="s">
        <v>42</v>
      </c>
      <c r="E129" s="2" t="s">
        <v>39</v>
      </c>
      <c r="F129" s="2" t="s">
        <v>43</v>
      </c>
      <c r="G129" s="2" t="s">
        <v>1490</v>
      </c>
      <c r="H129" s="2">
        <v>16</v>
      </c>
      <c r="I129" s="3" t="s">
        <v>1492</v>
      </c>
      <c r="J129" s="2" t="s">
        <v>279</v>
      </c>
      <c r="K129" s="2" t="s">
        <v>200</v>
      </c>
      <c r="S129" s="6" t="b">
        <f>C129='Plano de Contas'!C129</f>
        <v>1</v>
      </c>
    </row>
    <row r="130" spans="1:19" x14ac:dyDescent="0.2">
      <c r="A130" s="17" t="s">
        <v>1922</v>
      </c>
      <c r="B130" s="1" t="s">
        <v>40</v>
      </c>
      <c r="C130" s="1" t="s">
        <v>285</v>
      </c>
      <c r="D130" s="2" t="s">
        <v>42</v>
      </c>
      <c r="E130" s="2" t="s">
        <v>39</v>
      </c>
      <c r="F130" s="2" t="s">
        <v>43</v>
      </c>
      <c r="G130" s="2" t="s">
        <v>1490</v>
      </c>
      <c r="H130" s="2">
        <v>11</v>
      </c>
      <c r="I130" s="3" t="s">
        <v>284</v>
      </c>
      <c r="J130" s="2" t="s">
        <v>285</v>
      </c>
      <c r="K130" s="2" t="s">
        <v>200</v>
      </c>
      <c r="S130" s="6" t="b">
        <f>C130='Plano de Contas'!C130</f>
        <v>1</v>
      </c>
    </row>
    <row r="131" spans="1:19" x14ac:dyDescent="0.2">
      <c r="A131" s="18" t="s">
        <v>1923</v>
      </c>
      <c r="B131" s="2" t="s">
        <v>54</v>
      </c>
      <c r="C131" s="2" t="s">
        <v>287</v>
      </c>
      <c r="D131" s="2" t="s">
        <v>42</v>
      </c>
      <c r="E131" s="2" t="s">
        <v>39</v>
      </c>
      <c r="F131" s="2" t="s">
        <v>43</v>
      </c>
      <c r="G131" s="2" t="s">
        <v>1490</v>
      </c>
      <c r="H131" s="2">
        <v>16</v>
      </c>
      <c r="I131" s="3" t="s">
        <v>1492</v>
      </c>
      <c r="J131" s="2" t="s">
        <v>285</v>
      </c>
      <c r="K131" s="2" t="s">
        <v>200</v>
      </c>
      <c r="S131" s="6" t="b">
        <f>C131='Plano de Contas'!C131</f>
        <v>1</v>
      </c>
    </row>
    <row r="132" spans="1:19" x14ac:dyDescent="0.2">
      <c r="A132" s="18" t="s">
        <v>1924</v>
      </c>
      <c r="B132" s="2" t="s">
        <v>54</v>
      </c>
      <c r="C132" s="2" t="s">
        <v>289</v>
      </c>
      <c r="D132" s="2" t="s">
        <v>42</v>
      </c>
      <c r="E132" s="2" t="s">
        <v>39</v>
      </c>
      <c r="F132" s="2" t="s">
        <v>43</v>
      </c>
      <c r="G132" s="2" t="s">
        <v>1490</v>
      </c>
      <c r="H132" s="2">
        <v>16</v>
      </c>
      <c r="I132" s="3" t="s">
        <v>1492</v>
      </c>
      <c r="J132" s="2" t="s">
        <v>285</v>
      </c>
      <c r="K132" s="2" t="s">
        <v>200</v>
      </c>
      <c r="S132" s="6" t="b">
        <f>C132='Plano de Contas'!C132</f>
        <v>1</v>
      </c>
    </row>
    <row r="133" spans="1:19" x14ac:dyDescent="0.2">
      <c r="A133" s="18" t="s">
        <v>1925</v>
      </c>
      <c r="B133" s="2" t="s">
        <v>54</v>
      </c>
      <c r="C133" s="2" t="s">
        <v>291</v>
      </c>
      <c r="D133" s="2" t="s">
        <v>42</v>
      </c>
      <c r="E133" s="2" t="s">
        <v>39</v>
      </c>
      <c r="F133" s="2" t="s">
        <v>43</v>
      </c>
      <c r="G133" s="2" t="s">
        <v>1490</v>
      </c>
      <c r="H133" s="2">
        <v>16</v>
      </c>
      <c r="I133" s="3" t="s">
        <v>1492</v>
      </c>
      <c r="J133" s="2" t="s">
        <v>285</v>
      </c>
      <c r="K133" s="2" t="s">
        <v>200</v>
      </c>
      <c r="S133" s="6" t="b">
        <f>C133='Plano de Contas'!C133</f>
        <v>1</v>
      </c>
    </row>
    <row r="134" spans="1:19" x14ac:dyDescent="0.2">
      <c r="A134" s="15">
        <v>1130109</v>
      </c>
      <c r="B134" s="15" t="s">
        <v>40</v>
      </c>
      <c r="C134" s="15" t="s">
        <v>2855</v>
      </c>
      <c r="D134" s="2" t="s">
        <v>42</v>
      </c>
      <c r="E134" s="2" t="str">
        <f t="shared" ref="E134:E138" si="3">LEFT(A134,1)</f>
        <v>1</v>
      </c>
      <c r="F134" s="2" t="s">
        <v>43</v>
      </c>
      <c r="G134" s="2" t="s">
        <v>1490</v>
      </c>
      <c r="H134" s="2">
        <f t="shared" ref="H134:H138" si="4">LEN(A134)</f>
        <v>7</v>
      </c>
      <c r="I134" s="3" t="s">
        <v>2852</v>
      </c>
      <c r="J134" s="2" t="str">
        <f t="shared" ref="J134:J138" si="5">IF(H134&lt;11,C134,IF(I134&lt;&gt;"-",C134,J133))</f>
        <v>ANTECIPACAO DE IMPOSTOS S/ INSCRICAO DE EVENTOS</v>
      </c>
      <c r="K134" s="2" t="s">
        <v>200</v>
      </c>
      <c r="S134" s="6" t="b">
        <f>C134='Plano de Contas'!C134</f>
        <v>1</v>
      </c>
    </row>
    <row r="135" spans="1:19" x14ac:dyDescent="0.2">
      <c r="A135" s="12">
        <v>11301090001</v>
      </c>
      <c r="B135" s="12" t="s">
        <v>54</v>
      </c>
      <c r="C135" s="12" t="s">
        <v>2856</v>
      </c>
      <c r="D135" s="2" t="s">
        <v>42</v>
      </c>
      <c r="E135" s="2" t="str">
        <f t="shared" si="3"/>
        <v>1</v>
      </c>
      <c r="F135" s="2" t="s">
        <v>43</v>
      </c>
      <c r="G135" s="2" t="s">
        <v>1490</v>
      </c>
      <c r="H135" s="2">
        <f t="shared" si="4"/>
        <v>11</v>
      </c>
      <c r="I135" s="3" t="s">
        <v>1492</v>
      </c>
      <c r="J135" s="2" t="str">
        <f t="shared" si="5"/>
        <v>ANTECIPACAO DE IMPOSTOS S/ INSCRICAO DE EVENTOS</v>
      </c>
      <c r="K135" s="2" t="s">
        <v>200</v>
      </c>
      <c r="S135" s="6" t="b">
        <f>C135='Plano de Contas'!C135</f>
        <v>1</v>
      </c>
    </row>
    <row r="136" spans="1:19" x14ac:dyDescent="0.2">
      <c r="A136" s="12">
        <v>11301090002</v>
      </c>
      <c r="B136" s="12" t="s">
        <v>54</v>
      </c>
      <c r="C136" s="12" t="s">
        <v>2857</v>
      </c>
      <c r="D136" s="2" t="s">
        <v>42</v>
      </c>
      <c r="E136" s="2" t="str">
        <f t="shared" si="3"/>
        <v>1</v>
      </c>
      <c r="F136" s="2" t="s">
        <v>43</v>
      </c>
      <c r="G136" s="2" t="s">
        <v>1490</v>
      </c>
      <c r="H136" s="2">
        <f t="shared" si="4"/>
        <v>11</v>
      </c>
      <c r="I136" s="3" t="s">
        <v>1492</v>
      </c>
      <c r="J136" s="2" t="str">
        <f t="shared" si="5"/>
        <v>ANTECIPACAO DE IMPOSTOS S/ INSCRICAO DE EVENTOS</v>
      </c>
      <c r="K136" s="2" t="s">
        <v>200</v>
      </c>
      <c r="S136" s="6" t="b">
        <f>C136='Plano de Contas'!C136</f>
        <v>1</v>
      </c>
    </row>
    <row r="137" spans="1:19" x14ac:dyDescent="0.2">
      <c r="A137" s="12">
        <v>11301090003</v>
      </c>
      <c r="B137" s="12" t="s">
        <v>54</v>
      </c>
      <c r="C137" s="12" t="s">
        <v>2865</v>
      </c>
      <c r="D137" s="2" t="s">
        <v>42</v>
      </c>
      <c r="E137" s="2" t="str">
        <f t="shared" si="3"/>
        <v>1</v>
      </c>
      <c r="F137" s="2" t="s">
        <v>43</v>
      </c>
      <c r="G137" s="2" t="s">
        <v>1490</v>
      </c>
      <c r="H137" s="2">
        <f t="shared" si="4"/>
        <v>11</v>
      </c>
      <c r="I137" s="3" t="s">
        <v>1492</v>
      </c>
      <c r="J137" s="2" t="str">
        <f t="shared" si="5"/>
        <v>ANTECIPACAO DE IMPOSTOS S/ INSCRICAO DE EVENTOS</v>
      </c>
      <c r="K137" s="2" t="s">
        <v>200</v>
      </c>
      <c r="S137" s="6" t="b">
        <f>C137='Plano de Contas'!C137</f>
        <v>1</v>
      </c>
    </row>
    <row r="138" spans="1:19" x14ac:dyDescent="0.2">
      <c r="A138" s="12">
        <v>11301090004</v>
      </c>
      <c r="B138" s="12" t="s">
        <v>54</v>
      </c>
      <c r="C138" s="12" t="s">
        <v>2867</v>
      </c>
      <c r="D138" s="2" t="s">
        <v>42</v>
      </c>
      <c r="E138" s="2" t="str">
        <f t="shared" si="3"/>
        <v>1</v>
      </c>
      <c r="F138" s="2" t="s">
        <v>43</v>
      </c>
      <c r="G138" s="2" t="s">
        <v>1490</v>
      </c>
      <c r="H138" s="2">
        <f t="shared" si="4"/>
        <v>11</v>
      </c>
      <c r="I138" s="3" t="s">
        <v>1492</v>
      </c>
      <c r="J138" s="2" t="str">
        <f t="shared" si="5"/>
        <v>ANTECIPACAO DE IMPOSTOS S/ INSCRICAO DE EVENTOS</v>
      </c>
      <c r="K138" s="2" t="s">
        <v>200</v>
      </c>
      <c r="S138" s="6" t="b">
        <f>C138='Plano de Contas'!C138</f>
        <v>1</v>
      </c>
    </row>
    <row r="139" spans="1:19" x14ac:dyDescent="0.2">
      <c r="A139" s="17" t="s">
        <v>1926</v>
      </c>
      <c r="B139" s="1" t="s">
        <v>40</v>
      </c>
      <c r="C139" s="1" t="s">
        <v>293</v>
      </c>
      <c r="D139" s="2" t="s">
        <v>42</v>
      </c>
      <c r="E139" s="2" t="s">
        <v>39</v>
      </c>
      <c r="F139" s="2" t="s">
        <v>43</v>
      </c>
      <c r="G139" s="2" t="s">
        <v>1490</v>
      </c>
      <c r="H139" s="2">
        <v>5</v>
      </c>
      <c r="I139" s="3" t="s">
        <v>1492</v>
      </c>
      <c r="J139" s="2" t="s">
        <v>293</v>
      </c>
      <c r="K139" s="2" t="s">
        <v>294</v>
      </c>
      <c r="L139" s="2" t="s">
        <v>294</v>
      </c>
      <c r="S139" s="6" t="b">
        <f>C139='Plano de Contas'!C139</f>
        <v>1</v>
      </c>
    </row>
    <row r="140" spans="1:19" x14ac:dyDescent="0.2">
      <c r="A140" s="17" t="s">
        <v>1927</v>
      </c>
      <c r="B140" s="1" t="s">
        <v>40</v>
      </c>
      <c r="C140" s="1" t="s">
        <v>293</v>
      </c>
      <c r="D140" s="2" t="s">
        <v>42</v>
      </c>
      <c r="E140" s="2" t="s">
        <v>39</v>
      </c>
      <c r="F140" s="2" t="s">
        <v>43</v>
      </c>
      <c r="G140" s="2" t="s">
        <v>1490</v>
      </c>
      <c r="H140" s="2">
        <v>8</v>
      </c>
      <c r="I140" s="3" t="s">
        <v>1492</v>
      </c>
      <c r="J140" s="2" t="s">
        <v>293</v>
      </c>
      <c r="K140" s="2" t="s">
        <v>294</v>
      </c>
      <c r="L140" s="2" t="s">
        <v>294</v>
      </c>
      <c r="S140" s="6" t="b">
        <f>C140='Plano de Contas'!C140</f>
        <v>1</v>
      </c>
    </row>
    <row r="141" spans="1:19" x14ac:dyDescent="0.2">
      <c r="A141" s="17" t="s">
        <v>1928</v>
      </c>
      <c r="B141" s="1" t="s">
        <v>40</v>
      </c>
      <c r="C141" s="1" t="s">
        <v>293</v>
      </c>
      <c r="D141" s="2" t="s">
        <v>42</v>
      </c>
      <c r="E141" s="2" t="s">
        <v>39</v>
      </c>
      <c r="F141" s="2" t="s">
        <v>43</v>
      </c>
      <c r="G141" s="2" t="s">
        <v>1490</v>
      </c>
      <c r="H141" s="2">
        <v>11</v>
      </c>
      <c r="I141" s="3" t="s">
        <v>296</v>
      </c>
      <c r="J141" s="2" t="s">
        <v>293</v>
      </c>
      <c r="K141" s="2" t="s">
        <v>294</v>
      </c>
      <c r="L141" s="2" t="s">
        <v>294</v>
      </c>
      <c r="S141" s="6" t="b">
        <f>C141='Plano de Contas'!C141</f>
        <v>1</v>
      </c>
    </row>
    <row r="142" spans="1:19" x14ac:dyDescent="0.2">
      <c r="A142" s="18" t="s">
        <v>1929</v>
      </c>
      <c r="B142" s="2" t="s">
        <v>54</v>
      </c>
      <c r="C142" s="2" t="s">
        <v>293</v>
      </c>
      <c r="D142" s="2" t="s">
        <v>42</v>
      </c>
      <c r="E142" s="2" t="s">
        <v>39</v>
      </c>
      <c r="F142" s="2" t="s">
        <v>43</v>
      </c>
      <c r="G142" s="2" t="s">
        <v>1490</v>
      </c>
      <c r="H142" s="2">
        <v>16</v>
      </c>
      <c r="I142" s="3" t="s">
        <v>1492</v>
      </c>
      <c r="J142" s="2" t="s">
        <v>293</v>
      </c>
      <c r="K142" s="2" t="s">
        <v>294</v>
      </c>
      <c r="L142" s="2" t="s">
        <v>294</v>
      </c>
      <c r="S142" s="6" t="b">
        <f>C142='Plano de Contas'!C142</f>
        <v>1</v>
      </c>
    </row>
    <row r="143" spans="1:19" x14ac:dyDescent="0.2">
      <c r="A143" s="17" t="s">
        <v>1930</v>
      </c>
      <c r="B143" s="1" t="s">
        <v>40</v>
      </c>
      <c r="C143" s="1" t="s">
        <v>299</v>
      </c>
      <c r="D143" s="2" t="s">
        <v>42</v>
      </c>
      <c r="E143" s="2" t="s">
        <v>39</v>
      </c>
      <c r="F143" s="2" t="s">
        <v>43</v>
      </c>
      <c r="G143" s="2" t="s">
        <v>1490</v>
      </c>
      <c r="H143" s="2">
        <v>5</v>
      </c>
      <c r="I143" s="3" t="s">
        <v>1492</v>
      </c>
      <c r="J143" s="2" t="s">
        <v>299</v>
      </c>
      <c r="K143" s="2" t="s">
        <v>200</v>
      </c>
      <c r="S143" s="6" t="b">
        <f>C143='Plano de Contas'!C143</f>
        <v>1</v>
      </c>
    </row>
    <row r="144" spans="1:19" x14ac:dyDescent="0.2">
      <c r="A144" s="17" t="s">
        <v>1931</v>
      </c>
      <c r="B144" s="1" t="s">
        <v>40</v>
      </c>
      <c r="C144" s="1" t="s">
        <v>299</v>
      </c>
      <c r="D144" s="2" t="s">
        <v>42</v>
      </c>
      <c r="E144" s="2" t="s">
        <v>39</v>
      </c>
      <c r="F144" s="2" t="s">
        <v>43</v>
      </c>
      <c r="G144" s="2" t="s">
        <v>1490</v>
      </c>
      <c r="H144" s="2">
        <v>8</v>
      </c>
      <c r="I144" s="3" t="s">
        <v>1492</v>
      </c>
      <c r="J144" s="2" t="s">
        <v>299</v>
      </c>
      <c r="K144" s="2" t="s">
        <v>200</v>
      </c>
      <c r="S144" s="6" t="b">
        <f>C144='Plano de Contas'!C144</f>
        <v>1</v>
      </c>
    </row>
    <row r="145" spans="1:19" x14ac:dyDescent="0.2">
      <c r="A145" s="17" t="s">
        <v>1932</v>
      </c>
      <c r="B145" s="1" t="s">
        <v>40</v>
      </c>
      <c r="C145" s="1" t="s">
        <v>302</v>
      </c>
      <c r="D145" s="2" t="s">
        <v>42</v>
      </c>
      <c r="E145" s="2" t="s">
        <v>39</v>
      </c>
      <c r="F145" s="2" t="s">
        <v>43</v>
      </c>
      <c r="G145" s="2" t="s">
        <v>1490</v>
      </c>
      <c r="H145" s="2">
        <v>11</v>
      </c>
      <c r="I145" s="3" t="s">
        <v>301</v>
      </c>
      <c r="J145" s="2" t="s">
        <v>302</v>
      </c>
      <c r="K145" s="2" t="s">
        <v>200</v>
      </c>
      <c r="S145" s="6" t="b">
        <f>C145='Plano de Contas'!C145</f>
        <v>1</v>
      </c>
    </row>
    <row r="146" spans="1:19" x14ac:dyDescent="0.2">
      <c r="A146" s="18" t="s">
        <v>1933</v>
      </c>
      <c r="B146" s="2" t="s">
        <v>54</v>
      </c>
      <c r="C146" s="2" t="s">
        <v>304</v>
      </c>
      <c r="D146" s="2" t="s">
        <v>42</v>
      </c>
      <c r="E146" s="2" t="s">
        <v>39</v>
      </c>
      <c r="F146" s="2" t="s">
        <v>43</v>
      </c>
      <c r="G146" s="2" t="s">
        <v>1490</v>
      </c>
      <c r="H146" s="2">
        <v>16</v>
      </c>
      <c r="I146" s="3" t="s">
        <v>1492</v>
      </c>
      <c r="J146" s="2" t="s">
        <v>302</v>
      </c>
      <c r="K146" s="2" t="s">
        <v>200</v>
      </c>
      <c r="S146" s="6" t="b">
        <f>C146='Plano de Contas'!C146</f>
        <v>1</v>
      </c>
    </row>
    <row r="147" spans="1:19" x14ac:dyDescent="0.2">
      <c r="A147" s="18" t="s">
        <v>1934</v>
      </c>
      <c r="B147" s="2" t="s">
        <v>54</v>
      </c>
      <c r="C147" s="2" t="s">
        <v>306</v>
      </c>
      <c r="D147" s="2" t="s">
        <v>42</v>
      </c>
      <c r="E147" s="2" t="s">
        <v>39</v>
      </c>
      <c r="F147" s="2" t="s">
        <v>43</v>
      </c>
      <c r="G147" s="2" t="s">
        <v>1490</v>
      </c>
      <c r="H147" s="2">
        <v>16</v>
      </c>
      <c r="I147" s="3" t="s">
        <v>1492</v>
      </c>
      <c r="J147" s="2" t="s">
        <v>302</v>
      </c>
      <c r="K147" s="2" t="s">
        <v>200</v>
      </c>
      <c r="S147" s="6" t="b">
        <f>C147='Plano de Contas'!C147</f>
        <v>1</v>
      </c>
    </row>
    <row r="148" spans="1:19" x14ac:dyDescent="0.2">
      <c r="A148" s="18" t="s">
        <v>1935</v>
      </c>
      <c r="B148" s="2" t="s">
        <v>54</v>
      </c>
      <c r="C148" s="2" t="s">
        <v>308</v>
      </c>
      <c r="D148" s="2" t="s">
        <v>42</v>
      </c>
      <c r="E148" s="2" t="s">
        <v>39</v>
      </c>
      <c r="F148" s="2" t="s">
        <v>43</v>
      </c>
      <c r="G148" s="2" t="s">
        <v>1490</v>
      </c>
      <c r="H148" s="2">
        <v>16</v>
      </c>
      <c r="I148" s="3" t="s">
        <v>1492</v>
      </c>
      <c r="J148" s="2" t="s">
        <v>302</v>
      </c>
      <c r="K148" s="2" t="s">
        <v>200</v>
      </c>
      <c r="S148" s="6" t="b">
        <f>C148='Plano de Contas'!C148</f>
        <v>1</v>
      </c>
    </row>
    <row r="149" spans="1:19" x14ac:dyDescent="0.2">
      <c r="A149" s="18" t="s">
        <v>1936</v>
      </c>
      <c r="B149" s="2" t="s">
        <v>54</v>
      </c>
      <c r="C149" s="2" t="s">
        <v>310</v>
      </c>
      <c r="D149" s="2" t="s">
        <v>42</v>
      </c>
      <c r="E149" s="2" t="s">
        <v>39</v>
      </c>
      <c r="F149" s="2" t="s">
        <v>43</v>
      </c>
      <c r="G149" s="2" t="s">
        <v>1490</v>
      </c>
      <c r="H149" s="2">
        <v>16</v>
      </c>
      <c r="I149" s="3" t="s">
        <v>1492</v>
      </c>
      <c r="J149" s="2" t="s">
        <v>302</v>
      </c>
      <c r="K149" s="2" t="s">
        <v>200</v>
      </c>
      <c r="S149" s="6" t="b">
        <f>C149='Plano de Contas'!C149</f>
        <v>1</v>
      </c>
    </row>
    <row r="150" spans="1:19" x14ac:dyDescent="0.2">
      <c r="A150" s="18" t="s">
        <v>1937</v>
      </c>
      <c r="B150" s="2" t="s">
        <v>54</v>
      </c>
      <c r="C150" s="2" t="s">
        <v>312</v>
      </c>
      <c r="D150" s="2" t="s">
        <v>42</v>
      </c>
      <c r="E150" s="2" t="s">
        <v>39</v>
      </c>
      <c r="F150" s="2" t="s">
        <v>43</v>
      </c>
      <c r="G150" s="2" t="s">
        <v>1490</v>
      </c>
      <c r="H150" s="2">
        <v>16</v>
      </c>
      <c r="I150" s="3" t="s">
        <v>1492</v>
      </c>
      <c r="J150" s="2" t="s">
        <v>302</v>
      </c>
      <c r="K150" s="2" t="s">
        <v>200</v>
      </c>
      <c r="S150" s="6" t="b">
        <f>C150='Plano de Contas'!C150</f>
        <v>1</v>
      </c>
    </row>
    <row r="151" spans="1:19" x14ac:dyDescent="0.2">
      <c r="A151" s="18" t="s">
        <v>1938</v>
      </c>
      <c r="B151" s="2" t="s">
        <v>54</v>
      </c>
      <c r="C151" s="2" t="s">
        <v>314</v>
      </c>
      <c r="D151" s="2" t="s">
        <v>42</v>
      </c>
      <c r="E151" s="2" t="s">
        <v>39</v>
      </c>
      <c r="F151" s="2" t="s">
        <v>43</v>
      </c>
      <c r="G151" s="2" t="s">
        <v>1490</v>
      </c>
      <c r="H151" s="2">
        <v>16</v>
      </c>
      <c r="I151" s="3" t="s">
        <v>1492</v>
      </c>
      <c r="J151" s="2" t="s">
        <v>302</v>
      </c>
      <c r="K151" s="2" t="s">
        <v>200</v>
      </c>
      <c r="S151" s="6" t="b">
        <f>C151='Plano de Contas'!C151</f>
        <v>1</v>
      </c>
    </row>
    <row r="152" spans="1:19" x14ac:dyDescent="0.2">
      <c r="A152" s="17" t="s">
        <v>1939</v>
      </c>
      <c r="B152" s="1" t="s">
        <v>40</v>
      </c>
      <c r="C152" s="1" t="s">
        <v>316</v>
      </c>
      <c r="D152" s="2" t="s">
        <v>42</v>
      </c>
      <c r="E152" s="2" t="s">
        <v>39</v>
      </c>
      <c r="F152" s="2" t="s">
        <v>43</v>
      </c>
      <c r="G152" s="2" t="s">
        <v>1490</v>
      </c>
      <c r="H152" s="2">
        <v>5</v>
      </c>
      <c r="I152" s="3" t="s">
        <v>1492</v>
      </c>
      <c r="J152" s="2" t="s">
        <v>316</v>
      </c>
      <c r="K152" s="2" t="s">
        <v>200</v>
      </c>
      <c r="S152" s="6" t="b">
        <f>C152='Plano de Contas'!C152</f>
        <v>1</v>
      </c>
    </row>
    <row r="153" spans="1:19" x14ac:dyDescent="0.2">
      <c r="A153" s="17" t="s">
        <v>1940</v>
      </c>
      <c r="B153" s="1" t="s">
        <v>40</v>
      </c>
      <c r="C153" s="1" t="s">
        <v>316</v>
      </c>
      <c r="D153" s="2" t="s">
        <v>42</v>
      </c>
      <c r="E153" s="2" t="s">
        <v>39</v>
      </c>
      <c r="F153" s="2" t="s">
        <v>43</v>
      </c>
      <c r="G153" s="2" t="s">
        <v>1490</v>
      </c>
      <c r="H153" s="2">
        <v>8</v>
      </c>
      <c r="I153" s="3" t="s">
        <v>1492</v>
      </c>
      <c r="J153" s="2" t="s">
        <v>316</v>
      </c>
      <c r="K153" s="2" t="s">
        <v>200</v>
      </c>
      <c r="S153" s="6" t="b">
        <f>C153='Plano de Contas'!C153</f>
        <v>1</v>
      </c>
    </row>
    <row r="154" spans="1:19" x14ac:dyDescent="0.2">
      <c r="A154" s="17" t="s">
        <v>1941</v>
      </c>
      <c r="B154" s="1" t="s">
        <v>40</v>
      </c>
      <c r="C154" s="1" t="s">
        <v>319</v>
      </c>
      <c r="D154" s="2" t="s">
        <v>42</v>
      </c>
      <c r="E154" s="2" t="s">
        <v>39</v>
      </c>
      <c r="F154" s="2" t="s">
        <v>43</v>
      </c>
      <c r="G154" s="2" t="s">
        <v>1490</v>
      </c>
      <c r="H154" s="2">
        <v>11</v>
      </c>
      <c r="I154" s="3" t="s">
        <v>318</v>
      </c>
      <c r="J154" s="2" t="s">
        <v>319</v>
      </c>
      <c r="K154" s="2" t="s">
        <v>200</v>
      </c>
      <c r="S154" s="6" t="b">
        <f>C154='Plano de Contas'!C154</f>
        <v>1</v>
      </c>
    </row>
    <row r="155" spans="1:19" x14ac:dyDescent="0.2">
      <c r="A155" s="18" t="s">
        <v>1942</v>
      </c>
      <c r="B155" s="2" t="s">
        <v>54</v>
      </c>
      <c r="C155" s="2" t="s">
        <v>321</v>
      </c>
      <c r="D155" s="2" t="s">
        <v>42</v>
      </c>
      <c r="E155" s="2" t="s">
        <v>39</v>
      </c>
      <c r="F155" s="2" t="s">
        <v>43</v>
      </c>
      <c r="G155" s="2" t="s">
        <v>1490</v>
      </c>
      <c r="H155" s="2">
        <v>16</v>
      </c>
      <c r="I155" s="3" t="s">
        <v>1492</v>
      </c>
      <c r="J155" s="2" t="s">
        <v>319</v>
      </c>
      <c r="K155" s="2" t="s">
        <v>200</v>
      </c>
      <c r="S155" s="6" t="b">
        <f>C155='Plano de Contas'!C155</f>
        <v>1</v>
      </c>
    </row>
    <row r="156" spans="1:19" x14ac:dyDescent="0.2">
      <c r="A156" s="18" t="s">
        <v>1943</v>
      </c>
      <c r="B156" s="2" t="s">
        <v>54</v>
      </c>
      <c r="C156" s="2" t="s">
        <v>323</v>
      </c>
      <c r="D156" s="2" t="s">
        <v>42</v>
      </c>
      <c r="E156" s="2" t="s">
        <v>39</v>
      </c>
      <c r="F156" s="2" t="s">
        <v>43</v>
      </c>
      <c r="G156" s="2" t="s">
        <v>1490</v>
      </c>
      <c r="H156" s="2">
        <v>16</v>
      </c>
      <c r="I156" s="3" t="s">
        <v>1492</v>
      </c>
      <c r="J156" s="2" t="s">
        <v>319</v>
      </c>
      <c r="K156" s="2" t="s">
        <v>200</v>
      </c>
      <c r="S156" s="6" t="b">
        <f>C156='Plano de Contas'!C156</f>
        <v>1</v>
      </c>
    </row>
    <row r="157" spans="1:19" x14ac:dyDescent="0.2">
      <c r="A157" s="18" t="s">
        <v>1944</v>
      </c>
      <c r="B157" s="2" t="s">
        <v>54</v>
      </c>
      <c r="C157" s="2" t="s">
        <v>325</v>
      </c>
      <c r="D157" s="2" t="s">
        <v>42</v>
      </c>
      <c r="E157" s="2" t="s">
        <v>39</v>
      </c>
      <c r="F157" s="2" t="s">
        <v>43</v>
      </c>
      <c r="G157" s="2" t="s">
        <v>1490</v>
      </c>
      <c r="H157" s="2">
        <v>16</v>
      </c>
      <c r="I157" s="3" t="s">
        <v>1492</v>
      </c>
      <c r="J157" s="2" t="s">
        <v>319</v>
      </c>
      <c r="K157" s="2" t="s">
        <v>200</v>
      </c>
      <c r="S157" s="6" t="b">
        <f>C157='Plano de Contas'!C157</f>
        <v>1</v>
      </c>
    </row>
    <row r="158" spans="1:19" x14ac:dyDescent="0.2">
      <c r="A158" s="18" t="s">
        <v>1945</v>
      </c>
      <c r="B158" s="2" t="s">
        <v>54</v>
      </c>
      <c r="C158" s="2" t="s">
        <v>319</v>
      </c>
      <c r="D158" s="2" t="s">
        <v>42</v>
      </c>
      <c r="E158" s="2" t="s">
        <v>39</v>
      </c>
      <c r="F158" s="2" t="s">
        <v>43</v>
      </c>
      <c r="G158" s="2" t="s">
        <v>1490</v>
      </c>
      <c r="H158" s="2">
        <v>16</v>
      </c>
      <c r="I158" s="3" t="s">
        <v>1492</v>
      </c>
      <c r="J158" s="2" t="s">
        <v>319</v>
      </c>
      <c r="K158" s="2" t="s">
        <v>200</v>
      </c>
      <c r="S158" s="6" t="b">
        <f>C158='Plano de Contas'!C158</f>
        <v>1</v>
      </c>
    </row>
    <row r="159" spans="1:19" x14ac:dyDescent="0.2">
      <c r="A159" s="17" t="s">
        <v>1946</v>
      </c>
      <c r="B159" s="1" t="s">
        <v>40</v>
      </c>
      <c r="C159" s="1" t="s">
        <v>328</v>
      </c>
      <c r="D159" s="2" t="s">
        <v>42</v>
      </c>
      <c r="E159" s="2" t="s">
        <v>39</v>
      </c>
      <c r="F159" s="2" t="s">
        <v>43</v>
      </c>
      <c r="G159" s="2" t="s">
        <v>1490</v>
      </c>
      <c r="H159" s="2">
        <v>5</v>
      </c>
      <c r="I159" s="3" t="s">
        <v>1492</v>
      </c>
      <c r="J159" s="2" t="s">
        <v>328</v>
      </c>
      <c r="K159" s="2" t="s">
        <v>200</v>
      </c>
      <c r="S159" s="6" t="b">
        <f>C159='Plano de Contas'!C159</f>
        <v>1</v>
      </c>
    </row>
    <row r="160" spans="1:19" x14ac:dyDescent="0.2">
      <c r="A160" s="17" t="s">
        <v>1947</v>
      </c>
      <c r="B160" s="1" t="s">
        <v>40</v>
      </c>
      <c r="C160" s="1" t="s">
        <v>330</v>
      </c>
      <c r="D160" s="2" t="s">
        <v>42</v>
      </c>
      <c r="E160" s="2" t="s">
        <v>39</v>
      </c>
      <c r="F160" s="2" t="s">
        <v>43</v>
      </c>
      <c r="G160" s="2" t="s">
        <v>1490</v>
      </c>
      <c r="H160" s="2">
        <v>8</v>
      </c>
      <c r="I160" s="3" t="s">
        <v>1492</v>
      </c>
      <c r="J160" s="2" t="s">
        <v>330</v>
      </c>
      <c r="K160" s="2" t="s">
        <v>200</v>
      </c>
      <c r="S160" s="6" t="b">
        <f>C160='Plano de Contas'!C160</f>
        <v>1</v>
      </c>
    </row>
    <row r="161" spans="1:19" x14ac:dyDescent="0.2">
      <c r="A161" s="17" t="s">
        <v>1948</v>
      </c>
      <c r="B161" s="1" t="s">
        <v>40</v>
      </c>
      <c r="C161" s="1" t="s">
        <v>330</v>
      </c>
      <c r="D161" s="2" t="s">
        <v>42</v>
      </c>
      <c r="E161" s="2" t="s">
        <v>39</v>
      </c>
      <c r="F161" s="2" t="s">
        <v>43</v>
      </c>
      <c r="G161" s="2" t="s">
        <v>1490</v>
      </c>
      <c r="H161" s="2">
        <v>11</v>
      </c>
      <c r="I161" s="3" t="s">
        <v>331</v>
      </c>
      <c r="J161" s="2" t="s">
        <v>330</v>
      </c>
      <c r="K161" s="2" t="s">
        <v>200</v>
      </c>
      <c r="S161" s="6" t="b">
        <f>C161='Plano de Contas'!C161</f>
        <v>1</v>
      </c>
    </row>
    <row r="162" spans="1:19" x14ac:dyDescent="0.2">
      <c r="A162" s="18" t="s">
        <v>1949</v>
      </c>
      <c r="B162" s="2" t="s">
        <v>54</v>
      </c>
      <c r="C162" s="2" t="s">
        <v>333</v>
      </c>
      <c r="D162" s="2" t="s">
        <v>42</v>
      </c>
      <c r="E162" s="2" t="s">
        <v>39</v>
      </c>
      <c r="F162" s="2" t="s">
        <v>43</v>
      </c>
      <c r="G162" s="2" t="s">
        <v>1490</v>
      </c>
      <c r="H162" s="2">
        <v>16</v>
      </c>
      <c r="I162" s="3" t="s">
        <v>1492</v>
      </c>
      <c r="J162" s="2" t="s">
        <v>330</v>
      </c>
      <c r="K162" s="2" t="s">
        <v>200</v>
      </c>
      <c r="S162" s="6" t="b">
        <f>C162='Plano de Contas'!C162</f>
        <v>1</v>
      </c>
    </row>
    <row r="163" spans="1:19" x14ac:dyDescent="0.2">
      <c r="A163" s="17" t="s">
        <v>1950</v>
      </c>
      <c r="B163" s="1" t="s">
        <v>40</v>
      </c>
      <c r="C163" s="1" t="s">
        <v>335</v>
      </c>
      <c r="D163" s="2" t="s">
        <v>42</v>
      </c>
      <c r="E163" s="2" t="s">
        <v>39</v>
      </c>
      <c r="F163" s="2" t="s">
        <v>43</v>
      </c>
      <c r="G163" s="2" t="s">
        <v>1491</v>
      </c>
      <c r="H163" s="2">
        <v>3</v>
      </c>
      <c r="I163" s="3" t="s">
        <v>1492</v>
      </c>
      <c r="J163" s="2" t="s">
        <v>335</v>
      </c>
      <c r="K163" s="2" t="s">
        <v>200</v>
      </c>
      <c r="S163" s="6" t="b">
        <f>C163='Plano de Contas'!C163</f>
        <v>1</v>
      </c>
    </row>
    <row r="164" spans="1:19" x14ac:dyDescent="0.2">
      <c r="A164" s="17" t="s">
        <v>1951</v>
      </c>
      <c r="B164" s="1" t="s">
        <v>40</v>
      </c>
      <c r="C164" s="1" t="s">
        <v>337</v>
      </c>
      <c r="D164" s="2" t="s">
        <v>42</v>
      </c>
      <c r="E164" s="2" t="s">
        <v>39</v>
      </c>
      <c r="F164" s="2" t="s">
        <v>43</v>
      </c>
      <c r="G164" s="2" t="s">
        <v>1491</v>
      </c>
      <c r="H164" s="2">
        <v>5</v>
      </c>
      <c r="I164" s="3" t="s">
        <v>1492</v>
      </c>
      <c r="J164" s="2" t="s">
        <v>337</v>
      </c>
      <c r="K164" s="2" t="s">
        <v>200</v>
      </c>
      <c r="S164" s="6" t="b">
        <f>C164='Plano de Contas'!C164</f>
        <v>1</v>
      </c>
    </row>
    <row r="165" spans="1:19" x14ac:dyDescent="0.2">
      <c r="A165" s="17" t="s">
        <v>1952</v>
      </c>
      <c r="B165" s="1" t="s">
        <v>40</v>
      </c>
      <c r="C165" s="1" t="s">
        <v>339</v>
      </c>
      <c r="D165" s="2" t="s">
        <v>42</v>
      </c>
      <c r="E165" s="2" t="s">
        <v>39</v>
      </c>
      <c r="F165" s="2" t="s">
        <v>43</v>
      </c>
      <c r="G165" s="2" t="s">
        <v>1491</v>
      </c>
      <c r="H165" s="2">
        <v>8</v>
      </c>
      <c r="I165" s="3" t="s">
        <v>1492</v>
      </c>
      <c r="J165" s="2" t="s">
        <v>339</v>
      </c>
      <c r="K165" s="2" t="s">
        <v>200</v>
      </c>
      <c r="S165" s="6" t="b">
        <f>C165='Plano de Contas'!C165</f>
        <v>1</v>
      </c>
    </row>
    <row r="166" spans="1:19" x14ac:dyDescent="0.2">
      <c r="A166" s="17" t="s">
        <v>1953</v>
      </c>
      <c r="B166" s="1" t="s">
        <v>40</v>
      </c>
      <c r="C166" s="1" t="s">
        <v>341</v>
      </c>
      <c r="D166" s="2" t="s">
        <v>42</v>
      </c>
      <c r="E166" s="2" t="s">
        <v>39</v>
      </c>
      <c r="F166" s="2" t="s">
        <v>43</v>
      </c>
      <c r="G166" s="2" t="s">
        <v>1491</v>
      </c>
      <c r="H166" s="2">
        <v>11</v>
      </c>
      <c r="I166" s="3" t="s">
        <v>340</v>
      </c>
      <c r="J166" s="2" t="s">
        <v>341</v>
      </c>
      <c r="K166" s="6" t="s">
        <v>1604</v>
      </c>
      <c r="L166" s="6" t="s">
        <v>1604</v>
      </c>
      <c r="S166" s="6" t="b">
        <f>C166='Plano de Contas'!C166</f>
        <v>1</v>
      </c>
    </row>
    <row r="167" spans="1:19" x14ac:dyDescent="0.2">
      <c r="A167" s="18" t="s">
        <v>1954</v>
      </c>
      <c r="B167" s="2" t="s">
        <v>54</v>
      </c>
      <c r="C167" s="2" t="s">
        <v>343</v>
      </c>
      <c r="D167" s="2" t="s">
        <v>42</v>
      </c>
      <c r="E167" s="2" t="s">
        <v>39</v>
      </c>
      <c r="F167" s="2" t="s">
        <v>43</v>
      </c>
      <c r="G167" s="2" t="s">
        <v>1491</v>
      </c>
      <c r="H167" s="2">
        <v>16</v>
      </c>
      <c r="I167" s="3" t="s">
        <v>1492</v>
      </c>
      <c r="J167" s="2" t="s">
        <v>341</v>
      </c>
      <c r="K167" s="6" t="s">
        <v>1604</v>
      </c>
      <c r="L167" s="6" t="s">
        <v>1604</v>
      </c>
      <c r="S167" s="6" t="b">
        <f>C167='Plano de Contas'!C167</f>
        <v>1</v>
      </c>
    </row>
    <row r="168" spans="1:19" x14ac:dyDescent="0.2">
      <c r="A168" s="18" t="s">
        <v>1955</v>
      </c>
      <c r="B168" s="2" t="s">
        <v>54</v>
      </c>
      <c r="C168" s="2" t="s">
        <v>345</v>
      </c>
      <c r="D168" s="2" t="s">
        <v>42</v>
      </c>
      <c r="E168" s="2" t="s">
        <v>39</v>
      </c>
      <c r="F168" s="2" t="s">
        <v>43</v>
      </c>
      <c r="G168" s="2" t="s">
        <v>1491</v>
      </c>
      <c r="H168" s="2">
        <v>16</v>
      </c>
      <c r="I168" s="3" t="s">
        <v>1492</v>
      </c>
      <c r="J168" s="2" t="s">
        <v>341</v>
      </c>
      <c r="K168" s="6" t="s">
        <v>1604</v>
      </c>
      <c r="L168" s="6" t="s">
        <v>1604</v>
      </c>
      <c r="S168" s="6" t="b">
        <f>C168='Plano de Contas'!C168</f>
        <v>1</v>
      </c>
    </row>
    <row r="169" spans="1:19" x14ac:dyDescent="0.2">
      <c r="A169" s="18" t="s">
        <v>1956</v>
      </c>
      <c r="B169" s="2" t="s">
        <v>54</v>
      </c>
      <c r="C169" s="2" t="s">
        <v>279</v>
      </c>
      <c r="D169" s="2" t="s">
        <v>42</v>
      </c>
      <c r="E169" s="2" t="s">
        <v>39</v>
      </c>
      <c r="F169" s="2" t="s">
        <v>43</v>
      </c>
      <c r="G169" s="2" t="s">
        <v>1491</v>
      </c>
      <c r="H169" s="2">
        <v>11</v>
      </c>
      <c r="I169" s="3" t="s">
        <v>346</v>
      </c>
      <c r="J169" s="2" t="s">
        <v>279</v>
      </c>
      <c r="K169" s="6" t="s">
        <v>1604</v>
      </c>
      <c r="L169" s="6" t="s">
        <v>1604</v>
      </c>
      <c r="S169" s="6" t="b">
        <f>C169='Plano de Contas'!C169</f>
        <v>1</v>
      </c>
    </row>
    <row r="170" spans="1:19" x14ac:dyDescent="0.2">
      <c r="A170" s="18" t="s">
        <v>1957</v>
      </c>
      <c r="B170" s="2" t="s">
        <v>54</v>
      </c>
      <c r="C170" s="2" t="s">
        <v>281</v>
      </c>
      <c r="D170" s="2" t="s">
        <v>42</v>
      </c>
      <c r="E170" s="2" t="s">
        <v>39</v>
      </c>
      <c r="F170" s="2" t="s">
        <v>43</v>
      </c>
      <c r="G170" s="2" t="s">
        <v>1491</v>
      </c>
      <c r="H170" s="2">
        <v>16</v>
      </c>
      <c r="I170" s="3" t="s">
        <v>1492</v>
      </c>
      <c r="J170" s="2" t="s">
        <v>279</v>
      </c>
      <c r="K170" s="6" t="s">
        <v>1604</v>
      </c>
      <c r="L170" s="6" t="s">
        <v>1604</v>
      </c>
      <c r="S170" s="6" t="b">
        <f>C170='Plano de Contas'!C170</f>
        <v>1</v>
      </c>
    </row>
    <row r="171" spans="1:19" x14ac:dyDescent="0.2">
      <c r="A171" s="17" t="s">
        <v>1958</v>
      </c>
      <c r="B171" s="1" t="s">
        <v>40</v>
      </c>
      <c r="C171" s="1" t="s">
        <v>293</v>
      </c>
      <c r="D171" s="2" t="s">
        <v>42</v>
      </c>
      <c r="E171" s="2" t="s">
        <v>39</v>
      </c>
      <c r="F171" s="2" t="s">
        <v>43</v>
      </c>
      <c r="G171" s="2" t="s">
        <v>1491</v>
      </c>
      <c r="H171" s="2">
        <v>8</v>
      </c>
      <c r="I171" s="3" t="s">
        <v>1492</v>
      </c>
      <c r="J171" s="2" t="s">
        <v>293</v>
      </c>
      <c r="K171" s="2" t="s">
        <v>294</v>
      </c>
      <c r="L171" s="2" t="s">
        <v>294</v>
      </c>
      <c r="S171" s="6" t="b">
        <f>C171='Plano de Contas'!C171</f>
        <v>1</v>
      </c>
    </row>
    <row r="172" spans="1:19" x14ac:dyDescent="0.2">
      <c r="A172" s="17" t="s">
        <v>1959</v>
      </c>
      <c r="B172" s="1" t="s">
        <v>40</v>
      </c>
      <c r="C172" s="1" t="s">
        <v>293</v>
      </c>
      <c r="D172" s="2" t="s">
        <v>42</v>
      </c>
      <c r="E172" s="2" t="s">
        <v>39</v>
      </c>
      <c r="F172" s="2" t="s">
        <v>43</v>
      </c>
      <c r="G172" s="2" t="s">
        <v>1491</v>
      </c>
      <c r="H172" s="2">
        <v>11</v>
      </c>
      <c r="I172" s="3" t="s">
        <v>349</v>
      </c>
      <c r="J172" s="2" t="s">
        <v>293</v>
      </c>
      <c r="K172" s="2" t="s">
        <v>294</v>
      </c>
      <c r="L172" s="2" t="s">
        <v>294</v>
      </c>
      <c r="S172" s="6" t="b">
        <f>C172='Plano de Contas'!C172</f>
        <v>1</v>
      </c>
    </row>
    <row r="173" spans="1:19" x14ac:dyDescent="0.2">
      <c r="A173" s="18" t="s">
        <v>1960</v>
      </c>
      <c r="B173" s="2" t="s">
        <v>54</v>
      </c>
      <c r="C173" s="2" t="s">
        <v>293</v>
      </c>
      <c r="D173" s="2" t="s">
        <v>42</v>
      </c>
      <c r="E173" s="2" t="s">
        <v>39</v>
      </c>
      <c r="F173" s="2" t="s">
        <v>43</v>
      </c>
      <c r="G173" s="2" t="s">
        <v>1491</v>
      </c>
      <c r="H173" s="2">
        <v>16</v>
      </c>
      <c r="I173" s="3" t="s">
        <v>1492</v>
      </c>
      <c r="J173" s="2" t="s">
        <v>293</v>
      </c>
      <c r="K173" s="2" t="s">
        <v>294</v>
      </c>
      <c r="L173" s="2" t="s">
        <v>294</v>
      </c>
      <c r="S173" s="6" t="b">
        <f>C173='Plano de Contas'!C173</f>
        <v>1</v>
      </c>
    </row>
    <row r="174" spans="1:19" x14ac:dyDescent="0.2">
      <c r="A174" s="17" t="s">
        <v>1961</v>
      </c>
      <c r="B174" s="1" t="s">
        <v>40</v>
      </c>
      <c r="C174" s="1" t="s">
        <v>352</v>
      </c>
      <c r="D174" s="2" t="s">
        <v>42</v>
      </c>
      <c r="E174" s="2" t="s">
        <v>39</v>
      </c>
      <c r="F174" s="2" t="s">
        <v>43</v>
      </c>
      <c r="G174" s="2" t="s">
        <v>1491</v>
      </c>
      <c r="H174" s="2">
        <v>8</v>
      </c>
      <c r="I174" s="3" t="s">
        <v>1492</v>
      </c>
      <c r="J174" s="2" t="s">
        <v>352</v>
      </c>
      <c r="K174" s="2" t="s">
        <v>200</v>
      </c>
      <c r="S174" s="6" t="b">
        <f>C174='Plano de Contas'!C174</f>
        <v>1</v>
      </c>
    </row>
    <row r="175" spans="1:19" x14ac:dyDescent="0.2">
      <c r="A175" s="17" t="s">
        <v>1962</v>
      </c>
      <c r="B175" s="1" t="s">
        <v>40</v>
      </c>
      <c r="C175" s="1" t="s">
        <v>352</v>
      </c>
      <c r="D175" s="2" t="s">
        <v>42</v>
      </c>
      <c r="E175" s="2" t="s">
        <v>39</v>
      </c>
      <c r="F175" s="2" t="s">
        <v>43</v>
      </c>
      <c r="G175" s="2" t="s">
        <v>1491</v>
      </c>
      <c r="H175" s="2">
        <v>11</v>
      </c>
      <c r="I175" s="3" t="s">
        <v>353</v>
      </c>
      <c r="J175" s="2" t="s">
        <v>352</v>
      </c>
      <c r="K175" s="2" t="s">
        <v>200</v>
      </c>
      <c r="S175" s="6" t="b">
        <f>C175='Plano de Contas'!C175</f>
        <v>1</v>
      </c>
    </row>
    <row r="176" spans="1:19" x14ac:dyDescent="0.2">
      <c r="A176" s="18" t="s">
        <v>1963</v>
      </c>
      <c r="B176" s="2" t="s">
        <v>54</v>
      </c>
      <c r="C176" s="2" t="s">
        <v>352</v>
      </c>
      <c r="D176" s="2" t="s">
        <v>42</v>
      </c>
      <c r="E176" s="2" t="s">
        <v>39</v>
      </c>
      <c r="F176" s="2" t="s">
        <v>43</v>
      </c>
      <c r="G176" s="2" t="s">
        <v>1491</v>
      </c>
      <c r="H176" s="2">
        <v>16</v>
      </c>
      <c r="I176" s="3" t="s">
        <v>1492</v>
      </c>
      <c r="J176" s="2" t="s">
        <v>352</v>
      </c>
      <c r="K176" s="2" t="s">
        <v>200</v>
      </c>
      <c r="S176" s="6" t="b">
        <f>C176='Plano de Contas'!C176</f>
        <v>1</v>
      </c>
    </row>
    <row r="177" spans="1:19" x14ac:dyDescent="0.2">
      <c r="A177" s="17" t="s">
        <v>1964</v>
      </c>
      <c r="B177" s="1" t="s">
        <v>40</v>
      </c>
      <c r="C177" s="1" t="s">
        <v>165</v>
      </c>
      <c r="D177" s="2" t="s">
        <v>42</v>
      </c>
      <c r="E177" s="2" t="s">
        <v>39</v>
      </c>
      <c r="F177" s="2" t="s">
        <v>43</v>
      </c>
      <c r="G177" s="2" t="s">
        <v>1491</v>
      </c>
      <c r="H177" s="2">
        <v>5</v>
      </c>
      <c r="I177" s="3" t="s">
        <v>1492</v>
      </c>
      <c r="J177" s="2" t="s">
        <v>165</v>
      </c>
      <c r="K177" s="2" t="s">
        <v>356</v>
      </c>
      <c r="S177" s="6" t="b">
        <f>C177='Plano de Contas'!C177</f>
        <v>1</v>
      </c>
    </row>
    <row r="178" spans="1:19" x14ac:dyDescent="0.2">
      <c r="A178" s="17" t="s">
        <v>1965</v>
      </c>
      <c r="B178" s="1" t="s">
        <v>40</v>
      </c>
      <c r="C178" s="1" t="s">
        <v>358</v>
      </c>
      <c r="D178" s="2" t="s">
        <v>42</v>
      </c>
      <c r="E178" s="2" t="s">
        <v>39</v>
      </c>
      <c r="F178" s="2" t="s">
        <v>43</v>
      </c>
      <c r="G178" s="2" t="s">
        <v>1491</v>
      </c>
      <c r="H178" s="2">
        <v>8</v>
      </c>
      <c r="I178" s="3" t="s">
        <v>1492</v>
      </c>
      <c r="J178" s="2" t="s">
        <v>358</v>
      </c>
      <c r="K178" s="2" t="s">
        <v>356</v>
      </c>
      <c r="L178" s="6" t="s">
        <v>1613</v>
      </c>
      <c r="S178" s="6" t="b">
        <f>C178='Plano de Contas'!C178</f>
        <v>1</v>
      </c>
    </row>
    <row r="179" spans="1:19" x14ac:dyDescent="0.2">
      <c r="A179" s="17" t="s">
        <v>1966</v>
      </c>
      <c r="B179" s="1" t="s">
        <v>40</v>
      </c>
      <c r="C179" s="1" t="s">
        <v>358</v>
      </c>
      <c r="D179" s="2" t="s">
        <v>42</v>
      </c>
      <c r="E179" s="2" t="s">
        <v>39</v>
      </c>
      <c r="F179" s="2" t="s">
        <v>43</v>
      </c>
      <c r="G179" s="2" t="s">
        <v>1491</v>
      </c>
      <c r="H179" s="2">
        <v>11</v>
      </c>
      <c r="I179" s="3" t="s">
        <v>359</v>
      </c>
      <c r="J179" s="2" t="s">
        <v>358</v>
      </c>
      <c r="K179" s="2" t="s">
        <v>356</v>
      </c>
      <c r="L179" s="6" t="s">
        <v>1613</v>
      </c>
      <c r="S179" s="6" t="b">
        <f>C179='Plano de Contas'!C179</f>
        <v>1</v>
      </c>
    </row>
    <row r="180" spans="1:19" x14ac:dyDescent="0.2">
      <c r="A180" s="18" t="s">
        <v>1967</v>
      </c>
      <c r="B180" s="2" t="s">
        <v>54</v>
      </c>
      <c r="C180" s="2" t="s">
        <v>361</v>
      </c>
      <c r="D180" s="2" t="s">
        <v>42</v>
      </c>
      <c r="E180" s="2" t="s">
        <v>39</v>
      </c>
      <c r="F180" s="2" t="s">
        <v>43</v>
      </c>
      <c r="G180" s="2" t="s">
        <v>1491</v>
      </c>
      <c r="H180" s="2">
        <v>16</v>
      </c>
      <c r="I180" s="3" t="s">
        <v>1492</v>
      </c>
      <c r="J180" s="2" t="s">
        <v>358</v>
      </c>
      <c r="K180" s="2" t="s">
        <v>356</v>
      </c>
      <c r="L180" s="6" t="s">
        <v>1613</v>
      </c>
      <c r="S180" s="6" t="b">
        <f>C180='Plano de Contas'!C180</f>
        <v>1</v>
      </c>
    </row>
    <row r="181" spans="1:19" x14ac:dyDescent="0.2">
      <c r="A181" s="18" t="s">
        <v>1968</v>
      </c>
      <c r="B181" s="2" t="s">
        <v>54</v>
      </c>
      <c r="C181" s="2" t="s">
        <v>363</v>
      </c>
      <c r="D181" s="2" t="s">
        <v>42</v>
      </c>
      <c r="E181" s="2" t="s">
        <v>39</v>
      </c>
      <c r="F181" s="2" t="s">
        <v>43</v>
      </c>
      <c r="G181" s="2" t="s">
        <v>1491</v>
      </c>
      <c r="H181" s="2">
        <v>16</v>
      </c>
      <c r="I181" s="3" t="s">
        <v>1492</v>
      </c>
      <c r="J181" s="2" t="s">
        <v>358</v>
      </c>
      <c r="K181" s="2" t="s">
        <v>356</v>
      </c>
      <c r="L181" s="6" t="s">
        <v>1613</v>
      </c>
      <c r="S181" s="6" t="b">
        <f>C181='Plano de Contas'!C181</f>
        <v>1</v>
      </c>
    </row>
    <row r="182" spans="1:19" x14ac:dyDescent="0.2">
      <c r="A182" s="18" t="s">
        <v>1969</v>
      </c>
      <c r="B182" s="2" t="s">
        <v>54</v>
      </c>
      <c r="C182" s="2" t="s">
        <v>365</v>
      </c>
      <c r="D182" s="2" t="s">
        <v>42</v>
      </c>
      <c r="E182" s="2" t="s">
        <v>39</v>
      </c>
      <c r="F182" s="2" t="s">
        <v>43</v>
      </c>
      <c r="G182" s="2" t="s">
        <v>1491</v>
      </c>
      <c r="H182" s="2">
        <v>16</v>
      </c>
      <c r="I182" s="3" t="s">
        <v>1492</v>
      </c>
      <c r="J182" s="2" t="s">
        <v>358</v>
      </c>
      <c r="K182" s="2" t="s">
        <v>356</v>
      </c>
      <c r="L182" s="6" t="s">
        <v>1613</v>
      </c>
      <c r="S182" s="6" t="b">
        <f>C182='Plano de Contas'!C182</f>
        <v>1</v>
      </c>
    </row>
    <row r="183" spans="1:19" x14ac:dyDescent="0.2">
      <c r="A183" s="18" t="s">
        <v>1970</v>
      </c>
      <c r="B183" s="2" t="s">
        <v>54</v>
      </c>
      <c r="C183" s="2" t="s">
        <v>216</v>
      </c>
      <c r="D183" s="2" t="s">
        <v>42</v>
      </c>
      <c r="E183" s="2" t="s">
        <v>39</v>
      </c>
      <c r="F183" s="2" t="s">
        <v>43</v>
      </c>
      <c r="G183" s="2" t="s">
        <v>1491</v>
      </c>
      <c r="H183" s="2">
        <v>16</v>
      </c>
      <c r="I183" s="3" t="s">
        <v>1492</v>
      </c>
      <c r="J183" s="2" t="s">
        <v>358</v>
      </c>
      <c r="K183" s="2" t="s">
        <v>356</v>
      </c>
      <c r="L183" s="6" t="s">
        <v>1613</v>
      </c>
      <c r="S183" s="6" t="b">
        <f>C183='Plano de Contas'!C183</f>
        <v>1</v>
      </c>
    </row>
    <row r="184" spans="1:19" x14ac:dyDescent="0.2">
      <c r="A184" s="18" t="s">
        <v>1971</v>
      </c>
      <c r="B184" s="2" t="s">
        <v>54</v>
      </c>
      <c r="C184" s="2" t="s">
        <v>368</v>
      </c>
      <c r="D184" s="2" t="s">
        <v>42</v>
      </c>
      <c r="E184" s="2" t="s">
        <v>39</v>
      </c>
      <c r="F184" s="2" t="s">
        <v>43</v>
      </c>
      <c r="G184" s="2" t="s">
        <v>1491</v>
      </c>
      <c r="H184" s="2">
        <v>16</v>
      </c>
      <c r="I184" s="3" t="s">
        <v>1492</v>
      </c>
      <c r="J184" s="2" t="s">
        <v>358</v>
      </c>
      <c r="K184" s="2" t="s">
        <v>356</v>
      </c>
      <c r="L184" s="6" t="s">
        <v>1613</v>
      </c>
      <c r="S184" s="6" t="b">
        <f>C184='Plano de Contas'!C184</f>
        <v>1</v>
      </c>
    </row>
    <row r="185" spans="1:19" x14ac:dyDescent="0.2">
      <c r="A185" s="18" t="s">
        <v>1972</v>
      </c>
      <c r="B185" s="2" t="s">
        <v>54</v>
      </c>
      <c r="C185" s="2" t="s">
        <v>370</v>
      </c>
      <c r="D185" s="2" t="s">
        <v>42</v>
      </c>
      <c r="E185" s="2" t="s">
        <v>39</v>
      </c>
      <c r="F185" s="2" t="s">
        <v>43</v>
      </c>
      <c r="G185" s="2" t="s">
        <v>1491</v>
      </c>
      <c r="H185" s="2">
        <v>16</v>
      </c>
      <c r="I185" s="3" t="s">
        <v>1492</v>
      </c>
      <c r="J185" s="2" t="s">
        <v>358</v>
      </c>
      <c r="K185" s="2" t="s">
        <v>356</v>
      </c>
      <c r="L185" s="6" t="s">
        <v>1613</v>
      </c>
      <c r="S185" s="6" t="b">
        <f>C185='Plano de Contas'!C185</f>
        <v>1</v>
      </c>
    </row>
    <row r="186" spans="1:19" x14ac:dyDescent="0.2">
      <c r="A186" s="17" t="s">
        <v>1973</v>
      </c>
      <c r="B186" s="1" t="s">
        <v>40</v>
      </c>
      <c r="C186" s="1" t="s">
        <v>372</v>
      </c>
      <c r="D186" s="2" t="s">
        <v>42</v>
      </c>
      <c r="E186" s="2" t="s">
        <v>39</v>
      </c>
      <c r="F186" s="2" t="s">
        <v>43</v>
      </c>
      <c r="G186" s="2" t="s">
        <v>1491</v>
      </c>
      <c r="H186" s="2">
        <v>8</v>
      </c>
      <c r="I186" s="3" t="s">
        <v>1492</v>
      </c>
      <c r="J186" s="2" t="s">
        <v>372</v>
      </c>
      <c r="K186" s="2" t="s">
        <v>356</v>
      </c>
      <c r="L186" s="6" t="s">
        <v>1612</v>
      </c>
      <c r="S186" s="6" t="b">
        <f>C186='Plano de Contas'!C186</f>
        <v>1</v>
      </c>
    </row>
    <row r="187" spans="1:19" x14ac:dyDescent="0.2">
      <c r="A187" s="17" t="s">
        <v>1974</v>
      </c>
      <c r="B187" s="1" t="s">
        <v>40</v>
      </c>
      <c r="C187" s="1" t="s">
        <v>372</v>
      </c>
      <c r="D187" s="2" t="s">
        <v>42</v>
      </c>
      <c r="E187" s="2" t="s">
        <v>39</v>
      </c>
      <c r="F187" s="2" t="s">
        <v>43</v>
      </c>
      <c r="G187" s="2" t="s">
        <v>1491</v>
      </c>
      <c r="H187" s="2">
        <v>11</v>
      </c>
      <c r="I187" s="3" t="s">
        <v>373</v>
      </c>
      <c r="J187" s="2" t="s">
        <v>372</v>
      </c>
      <c r="K187" s="2" t="s">
        <v>356</v>
      </c>
      <c r="L187" s="6" t="s">
        <v>1612</v>
      </c>
      <c r="S187" s="6" t="b">
        <f>C187='Plano de Contas'!C187</f>
        <v>1</v>
      </c>
    </row>
    <row r="188" spans="1:19" x14ac:dyDescent="0.2">
      <c r="A188" s="18" t="s">
        <v>1975</v>
      </c>
      <c r="B188" s="2" t="s">
        <v>54</v>
      </c>
      <c r="C188" s="2" t="s">
        <v>375</v>
      </c>
      <c r="D188" s="2" t="s">
        <v>42</v>
      </c>
      <c r="E188" s="2" t="s">
        <v>39</v>
      </c>
      <c r="F188" s="2" t="s">
        <v>43</v>
      </c>
      <c r="G188" s="2" t="s">
        <v>1491</v>
      </c>
      <c r="H188" s="2">
        <v>16</v>
      </c>
      <c r="I188" s="3" t="s">
        <v>1492</v>
      </c>
      <c r="J188" s="2" t="s">
        <v>372</v>
      </c>
      <c r="K188" s="2" t="s">
        <v>356</v>
      </c>
      <c r="L188" s="6" t="s">
        <v>1612</v>
      </c>
      <c r="S188" s="6" t="b">
        <f>C188='Plano de Contas'!C188</f>
        <v>1</v>
      </c>
    </row>
    <row r="189" spans="1:19" x14ac:dyDescent="0.2">
      <c r="A189" s="18" t="s">
        <v>1976</v>
      </c>
      <c r="B189" s="2" t="s">
        <v>54</v>
      </c>
      <c r="C189" s="2" t="s">
        <v>377</v>
      </c>
      <c r="D189" s="2" t="s">
        <v>42</v>
      </c>
      <c r="E189" s="2" t="s">
        <v>39</v>
      </c>
      <c r="F189" s="2" t="s">
        <v>43</v>
      </c>
      <c r="G189" s="2" t="s">
        <v>1491</v>
      </c>
      <c r="H189" s="2">
        <v>16</v>
      </c>
      <c r="I189" s="3" t="s">
        <v>1492</v>
      </c>
      <c r="J189" s="2" t="s">
        <v>372</v>
      </c>
      <c r="K189" s="2" t="s">
        <v>356</v>
      </c>
      <c r="L189" s="6" t="s">
        <v>1612</v>
      </c>
      <c r="S189" s="6" t="b">
        <f>C189='Plano de Contas'!C189</f>
        <v>1</v>
      </c>
    </row>
    <row r="190" spans="1:19" x14ac:dyDescent="0.2">
      <c r="A190" s="18" t="s">
        <v>1977</v>
      </c>
      <c r="B190" s="2" t="s">
        <v>54</v>
      </c>
      <c r="C190" s="2" t="s">
        <v>379</v>
      </c>
      <c r="D190" s="2" t="s">
        <v>42</v>
      </c>
      <c r="E190" s="2" t="s">
        <v>39</v>
      </c>
      <c r="F190" s="2" t="s">
        <v>43</v>
      </c>
      <c r="G190" s="2" t="s">
        <v>1491</v>
      </c>
      <c r="H190" s="2">
        <v>16</v>
      </c>
      <c r="I190" s="3" t="s">
        <v>1492</v>
      </c>
      <c r="J190" s="2" t="s">
        <v>372</v>
      </c>
      <c r="K190" s="2" t="s">
        <v>356</v>
      </c>
      <c r="L190" s="6" t="s">
        <v>1612</v>
      </c>
      <c r="S190" s="6" t="b">
        <f>C190='Plano de Contas'!C190</f>
        <v>1</v>
      </c>
    </row>
    <row r="191" spans="1:19" x14ac:dyDescent="0.2">
      <c r="A191" s="17" t="s">
        <v>1978</v>
      </c>
      <c r="B191" s="1" t="s">
        <v>40</v>
      </c>
      <c r="C191" s="1" t="s">
        <v>381</v>
      </c>
      <c r="D191" s="2" t="s">
        <v>42</v>
      </c>
      <c r="E191" s="2" t="s">
        <v>39</v>
      </c>
      <c r="F191" s="2" t="s">
        <v>43</v>
      </c>
      <c r="G191" s="2" t="s">
        <v>1491</v>
      </c>
      <c r="H191" s="2">
        <v>5</v>
      </c>
      <c r="I191" s="3" t="s">
        <v>1492</v>
      </c>
      <c r="J191" s="2" t="s">
        <v>381</v>
      </c>
      <c r="K191" s="2" t="s">
        <v>382</v>
      </c>
      <c r="S191" s="6" t="b">
        <f>C191='Plano de Contas'!C191</f>
        <v>1</v>
      </c>
    </row>
    <row r="192" spans="1:19" x14ac:dyDescent="0.2">
      <c r="A192" s="17" t="s">
        <v>1979</v>
      </c>
      <c r="B192" s="1" t="s">
        <v>40</v>
      </c>
      <c r="C192" s="1" t="s">
        <v>384</v>
      </c>
      <c r="D192" s="2" t="s">
        <v>42</v>
      </c>
      <c r="E192" s="2" t="s">
        <v>39</v>
      </c>
      <c r="F192" s="2" t="s">
        <v>43</v>
      </c>
      <c r="G192" s="2" t="s">
        <v>1491</v>
      </c>
      <c r="H192" s="2">
        <v>8</v>
      </c>
      <c r="I192" s="3" t="s">
        <v>1492</v>
      </c>
      <c r="J192" s="2" t="s">
        <v>384</v>
      </c>
      <c r="K192" s="2" t="s">
        <v>382</v>
      </c>
      <c r="S192" s="6" t="b">
        <f>C192='Plano de Contas'!C192</f>
        <v>1</v>
      </c>
    </row>
    <row r="193" spans="1:19" x14ac:dyDescent="0.2">
      <c r="A193" s="17" t="s">
        <v>1980</v>
      </c>
      <c r="B193" s="1" t="s">
        <v>40</v>
      </c>
      <c r="C193" s="1" t="s">
        <v>384</v>
      </c>
      <c r="D193" s="2" t="s">
        <v>42</v>
      </c>
      <c r="E193" s="2" t="s">
        <v>39</v>
      </c>
      <c r="F193" s="2" t="s">
        <v>43</v>
      </c>
      <c r="G193" s="2" t="s">
        <v>1491</v>
      </c>
      <c r="H193" s="2">
        <v>11</v>
      </c>
      <c r="I193" s="3" t="s">
        <v>385</v>
      </c>
      <c r="J193" s="2" t="s">
        <v>384</v>
      </c>
      <c r="K193" s="2" t="s">
        <v>382</v>
      </c>
      <c r="S193" s="6" t="b">
        <f>C193='Plano de Contas'!C193</f>
        <v>1</v>
      </c>
    </row>
    <row r="194" spans="1:19" x14ac:dyDescent="0.2">
      <c r="A194" s="18" t="s">
        <v>1981</v>
      </c>
      <c r="B194" s="2" t="s">
        <v>54</v>
      </c>
      <c r="C194" s="2" t="s">
        <v>387</v>
      </c>
      <c r="D194" s="2" t="s">
        <v>42</v>
      </c>
      <c r="E194" s="2" t="s">
        <v>39</v>
      </c>
      <c r="F194" s="2" t="s">
        <v>43</v>
      </c>
      <c r="G194" s="2" t="s">
        <v>1491</v>
      </c>
      <c r="H194" s="2">
        <v>16</v>
      </c>
      <c r="I194" s="3" t="s">
        <v>1492</v>
      </c>
      <c r="J194" s="2" t="s">
        <v>384</v>
      </c>
      <c r="K194" s="2" t="s">
        <v>382</v>
      </c>
      <c r="L194" s="2" t="s">
        <v>1504</v>
      </c>
      <c r="S194" s="6" t="b">
        <f>C194='Plano de Contas'!C194</f>
        <v>1</v>
      </c>
    </row>
    <row r="195" spans="1:19" x14ac:dyDescent="0.2">
      <c r="A195" s="18" t="s">
        <v>1982</v>
      </c>
      <c r="B195" s="2" t="s">
        <v>54</v>
      </c>
      <c r="C195" s="2" t="s">
        <v>389</v>
      </c>
      <c r="D195" s="2" t="s">
        <v>42</v>
      </c>
      <c r="E195" s="2" t="s">
        <v>39</v>
      </c>
      <c r="F195" s="2" t="s">
        <v>43</v>
      </c>
      <c r="G195" s="2" t="s">
        <v>1491</v>
      </c>
      <c r="H195" s="2">
        <v>16</v>
      </c>
      <c r="I195" s="3" t="s">
        <v>1492</v>
      </c>
      <c r="J195" s="2" t="s">
        <v>384</v>
      </c>
      <c r="K195" s="2" t="s">
        <v>382</v>
      </c>
      <c r="L195" s="2" t="s">
        <v>1505</v>
      </c>
      <c r="S195" s="6" t="b">
        <f>C195='Plano de Contas'!C195</f>
        <v>1</v>
      </c>
    </row>
    <row r="196" spans="1:19" x14ac:dyDescent="0.2">
      <c r="A196" s="18" t="s">
        <v>1983</v>
      </c>
      <c r="B196" s="2" t="s">
        <v>54</v>
      </c>
      <c r="C196" s="2" t="s">
        <v>391</v>
      </c>
      <c r="D196" s="2" t="s">
        <v>42</v>
      </c>
      <c r="E196" s="2" t="s">
        <v>39</v>
      </c>
      <c r="F196" s="2" t="s">
        <v>43</v>
      </c>
      <c r="G196" s="2" t="s">
        <v>1491</v>
      </c>
      <c r="H196" s="2">
        <v>16</v>
      </c>
      <c r="I196" s="3" t="s">
        <v>1492</v>
      </c>
      <c r="J196" s="2" t="s">
        <v>384</v>
      </c>
      <c r="K196" s="2" t="s">
        <v>382</v>
      </c>
      <c r="L196" s="2" t="s">
        <v>1506</v>
      </c>
      <c r="S196" s="6" t="b">
        <f>C196='Plano de Contas'!C196</f>
        <v>1</v>
      </c>
    </row>
    <row r="197" spans="1:19" x14ac:dyDescent="0.2">
      <c r="A197" s="18" t="s">
        <v>1984</v>
      </c>
      <c r="B197" s="2" t="s">
        <v>54</v>
      </c>
      <c r="C197" s="2" t="s">
        <v>393</v>
      </c>
      <c r="D197" s="2" t="s">
        <v>42</v>
      </c>
      <c r="E197" s="2" t="s">
        <v>39</v>
      </c>
      <c r="F197" s="2" t="s">
        <v>43</v>
      </c>
      <c r="G197" s="2" t="s">
        <v>1491</v>
      </c>
      <c r="H197" s="2">
        <v>16</v>
      </c>
      <c r="I197" s="3" t="s">
        <v>1492</v>
      </c>
      <c r="J197" s="2" t="s">
        <v>384</v>
      </c>
      <c r="K197" s="2" t="s">
        <v>382</v>
      </c>
      <c r="L197" s="2" t="s">
        <v>1507</v>
      </c>
      <c r="S197" s="6" t="b">
        <f>C197='Plano de Contas'!C197</f>
        <v>1</v>
      </c>
    </row>
    <row r="198" spans="1:19" x14ac:dyDescent="0.2">
      <c r="A198" s="18" t="s">
        <v>1985</v>
      </c>
      <c r="B198" s="2" t="s">
        <v>54</v>
      </c>
      <c r="C198" s="2" t="s">
        <v>395</v>
      </c>
      <c r="D198" s="2" t="s">
        <v>42</v>
      </c>
      <c r="E198" s="2" t="s">
        <v>39</v>
      </c>
      <c r="F198" s="2" t="s">
        <v>43</v>
      </c>
      <c r="G198" s="2" t="s">
        <v>1491</v>
      </c>
      <c r="H198" s="2">
        <v>16</v>
      </c>
      <c r="I198" s="3" t="s">
        <v>1492</v>
      </c>
      <c r="J198" s="2" t="s">
        <v>384</v>
      </c>
      <c r="K198" s="2" t="s">
        <v>382</v>
      </c>
      <c r="L198" s="2" t="s">
        <v>1508</v>
      </c>
      <c r="S198" s="6" t="b">
        <f>C198='Plano de Contas'!C198</f>
        <v>1</v>
      </c>
    </row>
    <row r="199" spans="1:19" x14ac:dyDescent="0.2">
      <c r="A199" s="18" t="s">
        <v>1986</v>
      </c>
      <c r="B199" s="2" t="s">
        <v>54</v>
      </c>
      <c r="C199" s="2" t="s">
        <v>397</v>
      </c>
      <c r="D199" s="2" t="s">
        <v>42</v>
      </c>
      <c r="E199" s="2" t="s">
        <v>39</v>
      </c>
      <c r="F199" s="2" t="s">
        <v>43</v>
      </c>
      <c r="G199" s="2" t="s">
        <v>1491</v>
      </c>
      <c r="H199" s="2">
        <v>16</v>
      </c>
      <c r="I199" s="3" t="s">
        <v>1492</v>
      </c>
      <c r="J199" s="2" t="s">
        <v>384</v>
      </c>
      <c r="K199" s="2" t="s">
        <v>382</v>
      </c>
      <c r="L199" s="2" t="s">
        <v>1509</v>
      </c>
      <c r="S199" s="6" t="b">
        <f>C199='Plano de Contas'!C199</f>
        <v>1</v>
      </c>
    </row>
    <row r="200" spans="1:19" x14ac:dyDescent="0.2">
      <c r="A200" s="18" t="s">
        <v>1987</v>
      </c>
      <c r="B200" s="2" t="s">
        <v>54</v>
      </c>
      <c r="C200" s="2" t="s">
        <v>399</v>
      </c>
      <c r="D200" s="2" t="s">
        <v>42</v>
      </c>
      <c r="E200" s="2" t="s">
        <v>39</v>
      </c>
      <c r="F200" s="2" t="s">
        <v>43</v>
      </c>
      <c r="G200" s="2" t="s">
        <v>1491</v>
      </c>
      <c r="H200" s="2">
        <v>16</v>
      </c>
      <c r="I200" s="3" t="s">
        <v>1492</v>
      </c>
      <c r="J200" s="2" t="s">
        <v>384</v>
      </c>
      <c r="K200" s="2" t="s">
        <v>382</v>
      </c>
      <c r="L200" s="2" t="s">
        <v>200</v>
      </c>
      <c r="S200" s="6" t="b">
        <f>C200='Plano de Contas'!C200</f>
        <v>1</v>
      </c>
    </row>
    <row r="201" spans="1:19" x14ac:dyDescent="0.2">
      <c r="A201" s="18" t="s">
        <v>1988</v>
      </c>
      <c r="B201" s="2" t="s">
        <v>54</v>
      </c>
      <c r="C201" s="2" t="s">
        <v>401</v>
      </c>
      <c r="D201" s="2" t="s">
        <v>42</v>
      </c>
      <c r="E201" s="2" t="s">
        <v>39</v>
      </c>
      <c r="F201" s="2" t="s">
        <v>43</v>
      </c>
      <c r="G201" s="2" t="s">
        <v>1491</v>
      </c>
      <c r="H201" s="2">
        <v>16</v>
      </c>
      <c r="I201" s="3" t="s">
        <v>1492</v>
      </c>
      <c r="J201" s="2" t="s">
        <v>384</v>
      </c>
      <c r="K201" s="2" t="s">
        <v>437</v>
      </c>
      <c r="L201" s="2" t="s">
        <v>1514</v>
      </c>
      <c r="S201" s="6" t="b">
        <f>C201='Plano de Contas'!C201</f>
        <v>1</v>
      </c>
    </row>
    <row r="202" spans="1:19" x14ac:dyDescent="0.2">
      <c r="A202" s="18" t="s">
        <v>1989</v>
      </c>
      <c r="B202" s="2" t="s">
        <v>54</v>
      </c>
      <c r="C202" s="2" t="s">
        <v>403</v>
      </c>
      <c r="D202" s="2" t="s">
        <v>42</v>
      </c>
      <c r="E202" s="2" t="s">
        <v>39</v>
      </c>
      <c r="F202" s="2" t="s">
        <v>43</v>
      </c>
      <c r="G202" s="2" t="s">
        <v>1491</v>
      </c>
      <c r="H202" s="2">
        <v>16</v>
      </c>
      <c r="I202" s="3" t="s">
        <v>1492</v>
      </c>
      <c r="J202" s="2" t="s">
        <v>384</v>
      </c>
      <c r="K202" s="2" t="s">
        <v>382</v>
      </c>
      <c r="L202" s="2" t="s">
        <v>1511</v>
      </c>
      <c r="S202" s="6" t="b">
        <f>C202='Plano de Contas'!C202</f>
        <v>1</v>
      </c>
    </row>
    <row r="203" spans="1:19" x14ac:dyDescent="0.2">
      <c r="A203" s="18" t="s">
        <v>1990</v>
      </c>
      <c r="B203" s="2" t="s">
        <v>54</v>
      </c>
      <c r="C203" s="2" t="s">
        <v>405</v>
      </c>
      <c r="D203" s="2" t="s">
        <v>42</v>
      </c>
      <c r="E203" s="2" t="s">
        <v>39</v>
      </c>
      <c r="F203" s="2" t="s">
        <v>43</v>
      </c>
      <c r="G203" s="2" t="s">
        <v>1491</v>
      </c>
      <c r="H203" s="2">
        <v>16</v>
      </c>
      <c r="I203" s="3" t="s">
        <v>1492</v>
      </c>
      <c r="J203" s="2" t="s">
        <v>384</v>
      </c>
      <c r="K203" s="2" t="s">
        <v>382</v>
      </c>
      <c r="L203" s="10" t="s">
        <v>1515</v>
      </c>
      <c r="S203" s="6" t="b">
        <f>C203='Plano de Contas'!C203</f>
        <v>1</v>
      </c>
    </row>
    <row r="204" spans="1:19" x14ac:dyDescent="0.2">
      <c r="A204" s="18" t="s">
        <v>1991</v>
      </c>
      <c r="B204" s="2" t="s">
        <v>54</v>
      </c>
      <c r="C204" s="2" t="s">
        <v>407</v>
      </c>
      <c r="D204" s="2" t="s">
        <v>42</v>
      </c>
      <c r="E204" s="2" t="s">
        <v>39</v>
      </c>
      <c r="F204" s="2" t="s">
        <v>43</v>
      </c>
      <c r="G204" s="2" t="s">
        <v>1491</v>
      </c>
      <c r="H204" s="2">
        <v>16</v>
      </c>
      <c r="I204" s="3" t="s">
        <v>1492</v>
      </c>
      <c r="J204" s="2" t="s">
        <v>384</v>
      </c>
      <c r="K204" s="2" t="s">
        <v>382</v>
      </c>
      <c r="L204" s="2"/>
      <c r="S204" s="6" t="b">
        <f>C204='Plano de Contas'!C204</f>
        <v>1</v>
      </c>
    </row>
    <row r="205" spans="1:19" x14ac:dyDescent="0.2">
      <c r="A205" s="17" t="s">
        <v>1992</v>
      </c>
      <c r="B205" s="1" t="s">
        <v>40</v>
      </c>
      <c r="C205" s="1" t="s">
        <v>407</v>
      </c>
      <c r="D205" s="2" t="s">
        <v>42</v>
      </c>
      <c r="E205" s="2" t="s">
        <v>39</v>
      </c>
      <c r="F205" s="2" t="s">
        <v>43</v>
      </c>
      <c r="G205" s="2" t="s">
        <v>1491</v>
      </c>
      <c r="H205" s="2">
        <v>11</v>
      </c>
      <c r="I205" s="3" t="s">
        <v>408</v>
      </c>
      <c r="J205" s="2" t="s">
        <v>407</v>
      </c>
      <c r="K205" s="2" t="s">
        <v>382</v>
      </c>
      <c r="L205" s="2"/>
      <c r="S205" s="6" t="b">
        <f>C205='Plano de Contas'!C205</f>
        <v>1</v>
      </c>
    </row>
    <row r="206" spans="1:19" x14ac:dyDescent="0.2">
      <c r="A206" s="18" t="s">
        <v>1993</v>
      </c>
      <c r="B206" s="2" t="s">
        <v>54</v>
      </c>
      <c r="C206" s="2" t="s">
        <v>410</v>
      </c>
      <c r="D206" s="2" t="s">
        <v>42</v>
      </c>
      <c r="E206" s="2" t="s">
        <v>39</v>
      </c>
      <c r="F206" s="2" t="s">
        <v>43</v>
      </c>
      <c r="G206" s="2" t="s">
        <v>1491</v>
      </c>
      <c r="H206" s="2">
        <v>16</v>
      </c>
      <c r="I206" s="3" t="s">
        <v>1492</v>
      </c>
      <c r="J206" s="2" t="s">
        <v>407</v>
      </c>
      <c r="K206" s="2" t="s">
        <v>382</v>
      </c>
      <c r="L206" s="2" t="s">
        <v>1510</v>
      </c>
      <c r="S206" s="6" t="b">
        <f>C206='Plano de Contas'!C206</f>
        <v>1</v>
      </c>
    </row>
    <row r="207" spans="1:19" x14ac:dyDescent="0.2">
      <c r="A207" s="18" t="s">
        <v>1994</v>
      </c>
      <c r="B207" s="2" t="s">
        <v>54</v>
      </c>
      <c r="C207" s="2" t="s">
        <v>412</v>
      </c>
      <c r="D207" s="2" t="s">
        <v>42</v>
      </c>
      <c r="E207" s="2" t="s">
        <v>39</v>
      </c>
      <c r="F207" s="2" t="s">
        <v>43</v>
      </c>
      <c r="G207" s="2" t="s">
        <v>1491</v>
      </c>
      <c r="H207" s="2">
        <v>16</v>
      </c>
      <c r="I207" s="3" t="s">
        <v>1492</v>
      </c>
      <c r="J207" s="2" t="s">
        <v>407</v>
      </c>
      <c r="K207" s="2" t="s">
        <v>382</v>
      </c>
      <c r="L207" s="2" t="s">
        <v>1510</v>
      </c>
      <c r="S207" s="6" t="b">
        <f>C207='Plano de Contas'!C207</f>
        <v>1</v>
      </c>
    </row>
    <row r="208" spans="1:19" x14ac:dyDescent="0.2">
      <c r="A208" s="18" t="s">
        <v>1995</v>
      </c>
      <c r="B208" s="2" t="s">
        <v>54</v>
      </c>
      <c r="C208" s="2" t="s">
        <v>414</v>
      </c>
      <c r="D208" s="2" t="s">
        <v>42</v>
      </c>
      <c r="E208" s="2" t="s">
        <v>39</v>
      </c>
      <c r="F208" s="2" t="s">
        <v>43</v>
      </c>
      <c r="G208" s="2" t="s">
        <v>1491</v>
      </c>
      <c r="H208" s="2">
        <v>16</v>
      </c>
      <c r="I208" s="3" t="s">
        <v>1492</v>
      </c>
      <c r="J208" s="2" t="s">
        <v>407</v>
      </c>
      <c r="K208" s="2" t="s">
        <v>382</v>
      </c>
      <c r="L208" s="2" t="s">
        <v>1510</v>
      </c>
      <c r="S208" s="6" t="b">
        <f>C208='Plano de Contas'!C208</f>
        <v>1</v>
      </c>
    </row>
    <row r="209" spans="1:19" x14ac:dyDescent="0.2">
      <c r="A209" s="18" t="s">
        <v>1996</v>
      </c>
      <c r="B209" s="2" t="s">
        <v>54</v>
      </c>
      <c r="C209" s="2" t="s">
        <v>416</v>
      </c>
      <c r="D209" s="2" t="s">
        <v>42</v>
      </c>
      <c r="E209" s="2" t="s">
        <v>39</v>
      </c>
      <c r="F209" s="2" t="s">
        <v>43</v>
      </c>
      <c r="G209" s="2" t="s">
        <v>1491</v>
      </c>
      <c r="H209" s="2">
        <v>16</v>
      </c>
      <c r="I209" s="3" t="s">
        <v>1492</v>
      </c>
      <c r="J209" s="2" t="s">
        <v>407</v>
      </c>
      <c r="K209" s="2" t="s">
        <v>382</v>
      </c>
      <c r="L209" s="2" t="s">
        <v>1510</v>
      </c>
      <c r="S209" s="6" t="b">
        <f>C209='Plano de Contas'!C209</f>
        <v>1</v>
      </c>
    </row>
    <row r="210" spans="1:19" x14ac:dyDescent="0.2">
      <c r="A210" s="17" t="s">
        <v>1997</v>
      </c>
      <c r="B210" s="1" t="s">
        <v>40</v>
      </c>
      <c r="C210" s="1" t="s">
        <v>418</v>
      </c>
      <c r="D210" s="2" t="s">
        <v>196</v>
      </c>
      <c r="E210" s="2" t="s">
        <v>39</v>
      </c>
      <c r="F210" s="2" t="s">
        <v>43</v>
      </c>
      <c r="G210" s="2" t="s">
        <v>1491</v>
      </c>
      <c r="H210" s="2">
        <v>8</v>
      </c>
      <c r="I210" s="3" t="s">
        <v>1492</v>
      </c>
      <c r="J210" s="2" t="s">
        <v>418</v>
      </c>
      <c r="K210" s="2" t="s">
        <v>382</v>
      </c>
      <c r="L210" s="2"/>
      <c r="S210" s="6" t="b">
        <f>C210='Plano de Contas'!C210</f>
        <v>1</v>
      </c>
    </row>
    <row r="211" spans="1:19" x14ac:dyDescent="0.2">
      <c r="A211" s="17" t="s">
        <v>1998</v>
      </c>
      <c r="B211" s="1" t="s">
        <v>40</v>
      </c>
      <c r="C211" s="1" t="s">
        <v>418</v>
      </c>
      <c r="D211" s="2" t="s">
        <v>196</v>
      </c>
      <c r="E211" s="2" t="s">
        <v>39</v>
      </c>
      <c r="F211" s="2" t="s">
        <v>43</v>
      </c>
      <c r="G211" s="2" t="s">
        <v>1491</v>
      </c>
      <c r="H211" s="2">
        <v>11</v>
      </c>
      <c r="I211" s="3" t="s">
        <v>419</v>
      </c>
      <c r="J211" s="2" t="s">
        <v>418</v>
      </c>
      <c r="K211" s="2" t="s">
        <v>382</v>
      </c>
      <c r="L211" s="2"/>
      <c r="S211" s="6" t="b">
        <f>C211='Plano de Contas'!C211</f>
        <v>1</v>
      </c>
    </row>
    <row r="212" spans="1:19" x14ac:dyDescent="0.2">
      <c r="A212" s="18" t="s">
        <v>1999</v>
      </c>
      <c r="B212" s="2" t="s">
        <v>54</v>
      </c>
      <c r="C212" s="2" t="s">
        <v>421</v>
      </c>
      <c r="D212" s="2" t="s">
        <v>196</v>
      </c>
      <c r="E212" s="2" t="s">
        <v>39</v>
      </c>
      <c r="F212" s="2" t="s">
        <v>43</v>
      </c>
      <c r="G212" s="2" t="s">
        <v>1491</v>
      </c>
      <c r="H212" s="2">
        <v>16</v>
      </c>
      <c r="I212" s="3" t="s">
        <v>1492</v>
      </c>
      <c r="J212" s="2" t="s">
        <v>418</v>
      </c>
      <c r="K212" s="2" t="s">
        <v>382</v>
      </c>
      <c r="L212" s="2" t="s">
        <v>1512</v>
      </c>
      <c r="S212" s="6" t="b">
        <f>C212='Plano de Contas'!C212</f>
        <v>1</v>
      </c>
    </row>
    <row r="213" spans="1:19" x14ac:dyDescent="0.2">
      <c r="A213" s="18" t="s">
        <v>2000</v>
      </c>
      <c r="B213" s="2" t="s">
        <v>54</v>
      </c>
      <c r="C213" s="2" t="s">
        <v>423</v>
      </c>
      <c r="D213" s="2" t="s">
        <v>196</v>
      </c>
      <c r="E213" s="2" t="s">
        <v>39</v>
      </c>
      <c r="F213" s="2" t="s">
        <v>43</v>
      </c>
      <c r="G213" s="2" t="s">
        <v>1491</v>
      </c>
      <c r="H213" s="2">
        <v>16</v>
      </c>
      <c r="I213" s="3" t="s">
        <v>1492</v>
      </c>
      <c r="J213" s="2" t="s">
        <v>418</v>
      </c>
      <c r="K213" s="2" t="s">
        <v>382</v>
      </c>
      <c r="L213" s="2" t="s">
        <v>1512</v>
      </c>
      <c r="S213" s="6" t="b">
        <f>C213='Plano de Contas'!C213</f>
        <v>1</v>
      </c>
    </row>
    <row r="214" spans="1:19" x14ac:dyDescent="0.2">
      <c r="A214" s="18" t="s">
        <v>2001</v>
      </c>
      <c r="B214" s="2" t="s">
        <v>54</v>
      </c>
      <c r="C214" s="2" t="s">
        <v>393</v>
      </c>
      <c r="D214" s="2" t="s">
        <v>196</v>
      </c>
      <c r="E214" s="2" t="s">
        <v>39</v>
      </c>
      <c r="F214" s="2" t="s">
        <v>43</v>
      </c>
      <c r="G214" s="2" t="s">
        <v>1491</v>
      </c>
      <c r="H214" s="2">
        <v>16</v>
      </c>
      <c r="I214" s="3" t="s">
        <v>1492</v>
      </c>
      <c r="J214" s="2" t="s">
        <v>418</v>
      </c>
      <c r="K214" s="2" t="s">
        <v>382</v>
      </c>
      <c r="L214" s="2" t="s">
        <v>1512</v>
      </c>
      <c r="S214" s="6" t="b">
        <f>C214='Plano de Contas'!C214</f>
        <v>1</v>
      </c>
    </row>
    <row r="215" spans="1:19" x14ac:dyDescent="0.2">
      <c r="A215" s="18" t="s">
        <v>2002</v>
      </c>
      <c r="B215" s="2" t="s">
        <v>54</v>
      </c>
      <c r="C215" s="2" t="s">
        <v>395</v>
      </c>
      <c r="D215" s="2" t="s">
        <v>196</v>
      </c>
      <c r="E215" s="2" t="s">
        <v>39</v>
      </c>
      <c r="F215" s="2" t="s">
        <v>43</v>
      </c>
      <c r="G215" s="2" t="s">
        <v>1491</v>
      </c>
      <c r="H215" s="2">
        <v>16</v>
      </c>
      <c r="I215" s="3" t="s">
        <v>1492</v>
      </c>
      <c r="J215" s="2" t="s">
        <v>418</v>
      </c>
      <c r="K215" s="2" t="s">
        <v>382</v>
      </c>
      <c r="L215" s="2" t="s">
        <v>1512</v>
      </c>
      <c r="S215" s="6" t="b">
        <f>C215='Plano de Contas'!C215</f>
        <v>1</v>
      </c>
    </row>
    <row r="216" spans="1:19" x14ac:dyDescent="0.2">
      <c r="A216" s="18" t="s">
        <v>2003</v>
      </c>
      <c r="B216" s="2" t="s">
        <v>54</v>
      </c>
      <c r="C216" s="2" t="s">
        <v>397</v>
      </c>
      <c r="D216" s="2" t="s">
        <v>196</v>
      </c>
      <c r="E216" s="2" t="s">
        <v>39</v>
      </c>
      <c r="F216" s="2" t="s">
        <v>43</v>
      </c>
      <c r="G216" s="2" t="s">
        <v>1491</v>
      </c>
      <c r="H216" s="2">
        <v>16</v>
      </c>
      <c r="I216" s="3" t="s">
        <v>1492</v>
      </c>
      <c r="J216" s="2" t="s">
        <v>418</v>
      </c>
      <c r="K216" s="2" t="s">
        <v>382</v>
      </c>
      <c r="L216" s="2" t="s">
        <v>1512</v>
      </c>
      <c r="S216" s="6" t="b">
        <f>C216='Plano de Contas'!C216</f>
        <v>1</v>
      </c>
    </row>
    <row r="217" spans="1:19" x14ac:dyDescent="0.2">
      <c r="A217" s="18" t="s">
        <v>2004</v>
      </c>
      <c r="B217" s="2" t="s">
        <v>54</v>
      </c>
      <c r="C217" s="2" t="s">
        <v>401</v>
      </c>
      <c r="D217" s="2" t="s">
        <v>196</v>
      </c>
      <c r="E217" s="2" t="s">
        <v>39</v>
      </c>
      <c r="F217" s="2" t="s">
        <v>43</v>
      </c>
      <c r="G217" s="2" t="s">
        <v>1491</v>
      </c>
      <c r="H217" s="2">
        <v>16</v>
      </c>
      <c r="I217" s="3" t="s">
        <v>1492</v>
      </c>
      <c r="J217" s="2" t="s">
        <v>418</v>
      </c>
      <c r="K217" s="2" t="s">
        <v>437</v>
      </c>
      <c r="L217" s="2" t="s">
        <v>1513</v>
      </c>
      <c r="S217" s="6" t="b">
        <f>C217='Plano de Contas'!C217</f>
        <v>1</v>
      </c>
    </row>
    <row r="218" spans="1:19" x14ac:dyDescent="0.2">
      <c r="A218" s="18" t="s">
        <v>2005</v>
      </c>
      <c r="B218" s="2" t="s">
        <v>54</v>
      </c>
      <c r="C218" s="2" t="s">
        <v>403</v>
      </c>
      <c r="D218" s="2" t="s">
        <v>196</v>
      </c>
      <c r="E218" s="2" t="s">
        <v>39</v>
      </c>
      <c r="F218" s="2" t="s">
        <v>43</v>
      </c>
      <c r="G218" s="2" t="s">
        <v>1491</v>
      </c>
      <c r="H218" s="2">
        <v>16</v>
      </c>
      <c r="I218" s="3" t="s">
        <v>1492</v>
      </c>
      <c r="J218" s="2" t="s">
        <v>418</v>
      </c>
      <c r="K218" s="2" t="s">
        <v>382</v>
      </c>
      <c r="L218" s="2" t="s">
        <v>1512</v>
      </c>
      <c r="S218" s="6" t="b">
        <f>C218='Plano de Contas'!C218</f>
        <v>1</v>
      </c>
    </row>
    <row r="219" spans="1:19" x14ac:dyDescent="0.2">
      <c r="A219" s="18" t="s">
        <v>2006</v>
      </c>
      <c r="B219" s="2" t="s">
        <v>54</v>
      </c>
      <c r="C219" s="2" t="s">
        <v>405</v>
      </c>
      <c r="D219" s="2" t="s">
        <v>196</v>
      </c>
      <c r="E219" s="2" t="s">
        <v>39</v>
      </c>
      <c r="F219" s="2" t="s">
        <v>43</v>
      </c>
      <c r="G219" s="2" t="s">
        <v>1491</v>
      </c>
      <c r="H219" s="2">
        <v>16</v>
      </c>
      <c r="I219" s="3" t="s">
        <v>1492</v>
      </c>
      <c r="J219" s="2" t="s">
        <v>418</v>
      </c>
      <c r="K219" s="2" t="s">
        <v>382</v>
      </c>
      <c r="L219" s="2" t="s">
        <v>1512</v>
      </c>
      <c r="S219" s="6" t="b">
        <f>C219='Plano de Contas'!C219</f>
        <v>1</v>
      </c>
    </row>
    <row r="220" spans="1:19" x14ac:dyDescent="0.2">
      <c r="A220" s="17" t="s">
        <v>2007</v>
      </c>
      <c r="B220" s="1" t="s">
        <v>40</v>
      </c>
      <c r="C220" s="1" t="s">
        <v>431</v>
      </c>
      <c r="D220" s="2" t="s">
        <v>42</v>
      </c>
      <c r="E220" s="2" t="s">
        <v>39</v>
      </c>
      <c r="F220" s="2" t="s">
        <v>43</v>
      </c>
      <c r="G220" s="2" t="s">
        <v>1491</v>
      </c>
      <c r="H220" s="2">
        <v>8</v>
      </c>
      <c r="I220" s="3" t="s">
        <v>1492</v>
      </c>
      <c r="J220" s="2" t="s">
        <v>431</v>
      </c>
      <c r="K220" s="2" t="s">
        <v>382</v>
      </c>
      <c r="S220" s="6" t="b">
        <f>C220='Plano de Contas'!C220</f>
        <v>1</v>
      </c>
    </row>
    <row r="221" spans="1:19" x14ac:dyDescent="0.2">
      <c r="A221" s="17" t="s">
        <v>2008</v>
      </c>
      <c r="B221" s="1" t="s">
        <v>40</v>
      </c>
      <c r="C221" s="1" t="s">
        <v>431</v>
      </c>
      <c r="D221" s="2" t="s">
        <v>42</v>
      </c>
      <c r="E221" s="2" t="s">
        <v>39</v>
      </c>
      <c r="F221" s="2" t="s">
        <v>43</v>
      </c>
      <c r="G221" s="2" t="s">
        <v>1491</v>
      </c>
      <c r="H221" s="2">
        <v>11</v>
      </c>
      <c r="I221" s="3" t="s">
        <v>432</v>
      </c>
      <c r="J221" s="2" t="s">
        <v>431</v>
      </c>
      <c r="K221" s="2" t="s">
        <v>382</v>
      </c>
      <c r="S221" s="6" t="b">
        <f>C221='Plano de Contas'!C221</f>
        <v>1</v>
      </c>
    </row>
    <row r="222" spans="1:19" x14ac:dyDescent="0.2">
      <c r="A222" s="18" t="s">
        <v>2009</v>
      </c>
      <c r="B222" s="2" t="s">
        <v>54</v>
      </c>
      <c r="C222" s="2" t="s">
        <v>434</v>
      </c>
      <c r="D222" s="2" t="s">
        <v>42</v>
      </c>
      <c r="E222" s="2" t="s">
        <v>39</v>
      </c>
      <c r="F222" s="2" t="s">
        <v>43</v>
      </c>
      <c r="G222" s="2" t="s">
        <v>1491</v>
      </c>
      <c r="H222" s="2">
        <v>16</v>
      </c>
      <c r="I222" s="3" t="s">
        <v>1492</v>
      </c>
      <c r="J222" s="2" t="s">
        <v>431</v>
      </c>
      <c r="K222" s="2" t="s">
        <v>382</v>
      </c>
      <c r="L222" s="6" t="s">
        <v>1603</v>
      </c>
      <c r="S222" s="6" t="b">
        <f>C222='Plano de Contas'!C222</f>
        <v>1</v>
      </c>
    </row>
    <row r="223" spans="1:19" x14ac:dyDescent="0.2">
      <c r="A223" s="18" t="s">
        <v>2010</v>
      </c>
      <c r="B223" s="2" t="s">
        <v>54</v>
      </c>
      <c r="C223" s="2" t="s">
        <v>436</v>
      </c>
      <c r="D223" s="2" t="s">
        <v>42</v>
      </c>
      <c r="E223" s="2" t="s">
        <v>39</v>
      </c>
      <c r="F223" s="2" t="s">
        <v>43</v>
      </c>
      <c r="G223" s="2" t="s">
        <v>1491</v>
      </c>
      <c r="H223" s="2">
        <v>16</v>
      </c>
      <c r="I223" s="3" t="s">
        <v>1492</v>
      </c>
      <c r="J223" s="2" t="s">
        <v>431</v>
      </c>
      <c r="K223" s="2" t="s">
        <v>382</v>
      </c>
      <c r="L223" s="6" t="s">
        <v>1603</v>
      </c>
      <c r="S223" s="6" t="b">
        <f>C223='Plano de Contas'!C223</f>
        <v>1</v>
      </c>
    </row>
    <row r="224" spans="1:19" x14ac:dyDescent="0.2">
      <c r="A224" s="17" t="s">
        <v>2011</v>
      </c>
      <c r="B224" s="1" t="s">
        <v>40</v>
      </c>
      <c r="C224" s="1" t="s">
        <v>439</v>
      </c>
      <c r="D224" s="2" t="s">
        <v>42</v>
      </c>
      <c r="E224" s="2" t="s">
        <v>39</v>
      </c>
      <c r="F224" s="2" t="s">
        <v>43</v>
      </c>
      <c r="G224" s="4" t="s">
        <v>1492</v>
      </c>
      <c r="H224" s="2">
        <v>3</v>
      </c>
      <c r="I224" s="3" t="s">
        <v>1492</v>
      </c>
      <c r="J224" s="2" t="s">
        <v>439</v>
      </c>
      <c r="K224" s="2" t="s">
        <v>440</v>
      </c>
      <c r="S224" s="6" t="b">
        <f>C224='Plano de Contas'!C224</f>
        <v>1</v>
      </c>
    </row>
    <row r="225" spans="1:19" x14ac:dyDescent="0.2">
      <c r="A225" s="17" t="s">
        <v>2012</v>
      </c>
      <c r="B225" s="1" t="s">
        <v>40</v>
      </c>
      <c r="C225" s="1" t="s">
        <v>442</v>
      </c>
      <c r="D225" s="2" t="s">
        <v>42</v>
      </c>
      <c r="E225" s="2" t="s">
        <v>39</v>
      </c>
      <c r="F225" s="2" t="s">
        <v>43</v>
      </c>
      <c r="G225" s="4" t="s">
        <v>1492</v>
      </c>
      <c r="H225" s="2">
        <v>5</v>
      </c>
      <c r="I225" s="3" t="s">
        <v>1492</v>
      </c>
      <c r="J225" s="2" t="s">
        <v>442</v>
      </c>
      <c r="K225" s="2" t="s">
        <v>440</v>
      </c>
      <c r="S225" s="6" t="b">
        <f>C225='Plano de Contas'!C225</f>
        <v>1</v>
      </c>
    </row>
    <row r="226" spans="1:19" x14ac:dyDescent="0.2">
      <c r="A226" s="17" t="s">
        <v>2013</v>
      </c>
      <c r="B226" s="1" t="s">
        <v>40</v>
      </c>
      <c r="C226" s="1" t="s">
        <v>444</v>
      </c>
      <c r="D226" s="2" t="s">
        <v>42</v>
      </c>
      <c r="E226" s="2" t="s">
        <v>39</v>
      </c>
      <c r="F226" s="2" t="s">
        <v>43</v>
      </c>
      <c r="G226" s="4" t="s">
        <v>1492</v>
      </c>
      <c r="H226" s="2">
        <v>8</v>
      </c>
      <c r="I226" s="3" t="s">
        <v>1492</v>
      </c>
      <c r="J226" s="2" t="s">
        <v>444</v>
      </c>
      <c r="K226" s="2" t="s">
        <v>440</v>
      </c>
      <c r="S226" s="6" t="b">
        <f>C226='Plano de Contas'!C226</f>
        <v>1</v>
      </c>
    </row>
    <row r="227" spans="1:19" x14ac:dyDescent="0.2">
      <c r="A227" s="17" t="s">
        <v>2014</v>
      </c>
      <c r="B227" s="1" t="s">
        <v>40</v>
      </c>
      <c r="C227" s="1" t="s">
        <v>444</v>
      </c>
      <c r="D227" s="2" t="s">
        <v>42</v>
      </c>
      <c r="E227" s="2" t="s">
        <v>39</v>
      </c>
      <c r="F227" s="2" t="s">
        <v>43</v>
      </c>
      <c r="G227" s="4" t="s">
        <v>1492</v>
      </c>
      <c r="H227" s="2">
        <v>11</v>
      </c>
      <c r="I227" s="3" t="s">
        <v>445</v>
      </c>
      <c r="J227" s="2" t="s">
        <v>444</v>
      </c>
      <c r="K227" s="2" t="s">
        <v>440</v>
      </c>
      <c r="S227" s="6" t="b">
        <f>C227='Plano de Contas'!C227</f>
        <v>1</v>
      </c>
    </row>
    <row r="228" spans="1:19" x14ac:dyDescent="0.2">
      <c r="A228" s="18" t="s">
        <v>2015</v>
      </c>
      <c r="B228" s="2" t="s">
        <v>54</v>
      </c>
      <c r="C228" s="2" t="s">
        <v>447</v>
      </c>
      <c r="D228" s="2" t="s">
        <v>42</v>
      </c>
      <c r="E228" s="2" t="s">
        <v>39</v>
      </c>
      <c r="F228" s="2" t="s">
        <v>43</v>
      </c>
      <c r="G228" s="4" t="s">
        <v>1492</v>
      </c>
      <c r="H228" s="2">
        <v>16</v>
      </c>
      <c r="I228" s="3" t="s">
        <v>1492</v>
      </c>
      <c r="J228" s="2" t="s">
        <v>444</v>
      </c>
      <c r="K228" s="2" t="s">
        <v>440</v>
      </c>
      <c r="S228" s="6" t="b">
        <f>C228='Plano de Contas'!C228</f>
        <v>1</v>
      </c>
    </row>
    <row r="229" spans="1:19" x14ac:dyDescent="0.2">
      <c r="A229" s="17" t="s">
        <v>2016</v>
      </c>
      <c r="B229" s="1" t="s">
        <v>40</v>
      </c>
      <c r="C229" s="1" t="s">
        <v>449</v>
      </c>
      <c r="D229" s="2" t="s">
        <v>42</v>
      </c>
      <c r="E229" s="2" t="s">
        <v>39</v>
      </c>
      <c r="F229" s="2" t="s">
        <v>43</v>
      </c>
      <c r="G229" s="4" t="s">
        <v>1492</v>
      </c>
      <c r="H229" s="2">
        <v>5</v>
      </c>
      <c r="I229" s="3" t="s">
        <v>1492</v>
      </c>
      <c r="J229" s="2" t="s">
        <v>449</v>
      </c>
      <c r="K229" s="2" t="s">
        <v>440</v>
      </c>
      <c r="S229" s="6" t="b">
        <f>C229='Plano de Contas'!C229</f>
        <v>1</v>
      </c>
    </row>
    <row r="230" spans="1:19" x14ac:dyDescent="0.2">
      <c r="A230" s="17" t="s">
        <v>2017</v>
      </c>
      <c r="B230" s="1" t="s">
        <v>40</v>
      </c>
      <c r="C230" s="1" t="s">
        <v>451</v>
      </c>
      <c r="D230" s="2" t="s">
        <v>42</v>
      </c>
      <c r="E230" s="2" t="s">
        <v>39</v>
      </c>
      <c r="F230" s="2" t="s">
        <v>43</v>
      </c>
      <c r="G230" s="4" t="s">
        <v>1492</v>
      </c>
      <c r="H230" s="2">
        <v>8</v>
      </c>
      <c r="I230" s="3" t="s">
        <v>1492</v>
      </c>
      <c r="J230" s="2" t="s">
        <v>451</v>
      </c>
      <c r="K230" s="2" t="s">
        <v>440</v>
      </c>
      <c r="S230" s="6" t="b">
        <f>C230='Plano de Contas'!C230</f>
        <v>1</v>
      </c>
    </row>
    <row r="231" spans="1:19" x14ac:dyDescent="0.2">
      <c r="A231" s="17" t="s">
        <v>2018</v>
      </c>
      <c r="B231" s="1" t="s">
        <v>40</v>
      </c>
      <c r="C231" s="1" t="s">
        <v>451</v>
      </c>
      <c r="D231" s="2" t="s">
        <v>42</v>
      </c>
      <c r="E231" s="2" t="s">
        <v>39</v>
      </c>
      <c r="F231" s="2" t="s">
        <v>43</v>
      </c>
      <c r="G231" s="4" t="s">
        <v>1492</v>
      </c>
      <c r="H231" s="2">
        <v>11</v>
      </c>
      <c r="I231" s="3" t="s">
        <v>452</v>
      </c>
      <c r="J231" s="2" t="s">
        <v>451</v>
      </c>
      <c r="K231" s="2" t="s">
        <v>440</v>
      </c>
      <c r="S231" s="6" t="b">
        <f>C231='Plano de Contas'!C231</f>
        <v>1</v>
      </c>
    </row>
    <row r="232" spans="1:19" x14ac:dyDescent="0.2">
      <c r="A232" s="18" t="s">
        <v>2019</v>
      </c>
      <c r="B232" s="2" t="s">
        <v>54</v>
      </c>
      <c r="C232" s="2" t="s">
        <v>454</v>
      </c>
      <c r="D232" s="2" t="s">
        <v>42</v>
      </c>
      <c r="E232" s="2" t="s">
        <v>39</v>
      </c>
      <c r="F232" s="2" t="s">
        <v>43</v>
      </c>
      <c r="G232" s="4" t="s">
        <v>1492</v>
      </c>
      <c r="H232" s="2">
        <v>16</v>
      </c>
      <c r="I232" s="3" t="s">
        <v>1492</v>
      </c>
      <c r="J232" s="2" t="s">
        <v>451</v>
      </c>
      <c r="K232" s="2" t="s">
        <v>440</v>
      </c>
      <c r="S232" s="6" t="b">
        <f>C232='Plano de Contas'!C232</f>
        <v>1</v>
      </c>
    </row>
    <row r="233" spans="1:19" x14ac:dyDescent="0.2">
      <c r="A233" s="18" t="s">
        <v>2020</v>
      </c>
      <c r="B233" s="2" t="s">
        <v>54</v>
      </c>
      <c r="C233" s="2" t="s">
        <v>456</v>
      </c>
      <c r="D233" s="2" t="s">
        <v>42</v>
      </c>
      <c r="E233" s="2" t="s">
        <v>39</v>
      </c>
      <c r="F233" s="2" t="s">
        <v>43</v>
      </c>
      <c r="G233" s="4" t="s">
        <v>1492</v>
      </c>
      <c r="H233" s="2">
        <v>16</v>
      </c>
      <c r="I233" s="3" t="s">
        <v>1492</v>
      </c>
      <c r="J233" s="2" t="s">
        <v>451</v>
      </c>
      <c r="K233" s="2" t="s">
        <v>440</v>
      </c>
      <c r="S233" s="6" t="b">
        <f>C233='Plano de Contas'!C233</f>
        <v>1</v>
      </c>
    </row>
    <row r="234" spans="1:19" x14ac:dyDescent="0.2">
      <c r="A234" s="18" t="s">
        <v>2021</v>
      </c>
      <c r="B234" s="2" t="s">
        <v>54</v>
      </c>
      <c r="C234" s="2" t="s">
        <v>458</v>
      </c>
      <c r="D234" s="2" t="s">
        <v>42</v>
      </c>
      <c r="E234" s="2" t="s">
        <v>39</v>
      </c>
      <c r="F234" s="2" t="s">
        <v>43</v>
      </c>
      <c r="G234" s="4" t="s">
        <v>1492</v>
      </c>
      <c r="H234" s="2">
        <v>16</v>
      </c>
      <c r="I234" s="3" t="s">
        <v>1492</v>
      </c>
      <c r="J234" s="2" t="s">
        <v>451</v>
      </c>
      <c r="K234" s="2" t="s">
        <v>440</v>
      </c>
      <c r="S234" s="6" t="b">
        <f>C234='Plano de Contas'!C234</f>
        <v>1</v>
      </c>
    </row>
    <row r="235" spans="1:19" x14ac:dyDescent="0.2">
      <c r="A235" s="18" t="s">
        <v>2022</v>
      </c>
      <c r="B235" s="2" t="s">
        <v>54</v>
      </c>
      <c r="C235" s="2" t="s">
        <v>460</v>
      </c>
      <c r="D235" s="2" t="s">
        <v>42</v>
      </c>
      <c r="E235" s="2" t="s">
        <v>39</v>
      </c>
      <c r="F235" s="2" t="s">
        <v>43</v>
      </c>
      <c r="G235" s="4" t="s">
        <v>1492</v>
      </c>
      <c r="H235" s="2">
        <v>16</v>
      </c>
      <c r="I235" s="3" t="s">
        <v>1492</v>
      </c>
      <c r="J235" s="2" t="s">
        <v>451</v>
      </c>
      <c r="K235" s="2" t="s">
        <v>440</v>
      </c>
      <c r="S235" s="6" t="b">
        <f>C235='Plano de Contas'!C235</f>
        <v>1</v>
      </c>
    </row>
    <row r="236" spans="1:19" x14ac:dyDescent="0.2">
      <c r="A236" s="18" t="s">
        <v>2023</v>
      </c>
      <c r="B236" s="2" t="s">
        <v>54</v>
      </c>
      <c r="C236" s="2" t="s">
        <v>462</v>
      </c>
      <c r="D236" s="2" t="s">
        <v>42</v>
      </c>
      <c r="E236" s="2" t="s">
        <v>39</v>
      </c>
      <c r="F236" s="2" t="s">
        <v>43</v>
      </c>
      <c r="G236" s="4" t="s">
        <v>1492</v>
      </c>
      <c r="H236" s="2">
        <v>16</v>
      </c>
      <c r="I236" s="3" t="s">
        <v>1492</v>
      </c>
      <c r="J236" s="2" t="s">
        <v>451</v>
      </c>
      <c r="K236" s="2" t="s">
        <v>440</v>
      </c>
      <c r="S236" s="6" t="b">
        <f>C236='Plano de Contas'!C236</f>
        <v>1</v>
      </c>
    </row>
    <row r="237" spans="1:19" x14ac:dyDescent="0.2">
      <c r="A237" s="18" t="s">
        <v>2024</v>
      </c>
      <c r="B237" s="2" t="s">
        <v>54</v>
      </c>
      <c r="C237" s="2" t="s">
        <v>464</v>
      </c>
      <c r="D237" s="2" t="s">
        <v>42</v>
      </c>
      <c r="E237" s="2" t="s">
        <v>39</v>
      </c>
      <c r="F237" s="2" t="s">
        <v>43</v>
      </c>
      <c r="G237" s="4" t="s">
        <v>1492</v>
      </c>
      <c r="H237" s="2">
        <v>16</v>
      </c>
      <c r="I237" s="3" t="s">
        <v>1492</v>
      </c>
      <c r="J237" s="2" t="s">
        <v>451</v>
      </c>
      <c r="K237" s="2" t="s">
        <v>440</v>
      </c>
      <c r="S237" s="6" t="b">
        <f>C237='Plano de Contas'!C237</f>
        <v>1</v>
      </c>
    </row>
    <row r="238" spans="1:19" x14ac:dyDescent="0.2">
      <c r="A238" s="18" t="s">
        <v>2025</v>
      </c>
      <c r="B238" s="2" t="s">
        <v>54</v>
      </c>
      <c r="C238" s="2" t="s">
        <v>466</v>
      </c>
      <c r="D238" s="2" t="s">
        <v>42</v>
      </c>
      <c r="E238" s="2" t="s">
        <v>39</v>
      </c>
      <c r="F238" s="2" t="s">
        <v>43</v>
      </c>
      <c r="G238" s="4" t="s">
        <v>1492</v>
      </c>
      <c r="H238" s="2">
        <v>16</v>
      </c>
      <c r="I238" s="3" t="s">
        <v>1492</v>
      </c>
      <c r="J238" s="2" t="s">
        <v>451</v>
      </c>
      <c r="K238" s="2" t="s">
        <v>440</v>
      </c>
      <c r="S238" s="6" t="b">
        <f>C238='Plano de Contas'!C238</f>
        <v>1</v>
      </c>
    </row>
    <row r="239" spans="1:19" x14ac:dyDescent="0.2">
      <c r="A239" s="18" t="s">
        <v>2026</v>
      </c>
      <c r="B239" s="2" t="s">
        <v>54</v>
      </c>
      <c r="C239" s="2" t="s">
        <v>468</v>
      </c>
      <c r="D239" s="2" t="s">
        <v>42</v>
      </c>
      <c r="E239" s="2" t="s">
        <v>39</v>
      </c>
      <c r="F239" s="2" t="s">
        <v>43</v>
      </c>
      <c r="G239" s="4" t="s">
        <v>1492</v>
      </c>
      <c r="H239" s="2">
        <v>16</v>
      </c>
      <c r="I239" s="3" t="s">
        <v>1492</v>
      </c>
      <c r="J239" s="2" t="s">
        <v>451</v>
      </c>
      <c r="K239" s="2" t="s">
        <v>440</v>
      </c>
      <c r="S239" s="6" t="b">
        <f>C239='Plano de Contas'!C239</f>
        <v>1</v>
      </c>
    </row>
    <row r="240" spans="1:19" x14ac:dyDescent="0.2">
      <c r="A240" s="18" t="s">
        <v>2027</v>
      </c>
      <c r="B240" s="2" t="s">
        <v>54</v>
      </c>
      <c r="C240" s="2" t="s">
        <v>470</v>
      </c>
      <c r="D240" s="2" t="s">
        <v>42</v>
      </c>
      <c r="E240" s="2" t="s">
        <v>39</v>
      </c>
      <c r="F240" s="2" t="s">
        <v>43</v>
      </c>
      <c r="G240" s="4" t="s">
        <v>1492</v>
      </c>
      <c r="H240" s="2">
        <v>16</v>
      </c>
      <c r="I240" s="3" t="s">
        <v>1492</v>
      </c>
      <c r="J240" s="2" t="s">
        <v>451</v>
      </c>
      <c r="K240" s="2" t="s">
        <v>440</v>
      </c>
      <c r="S240" s="6" t="b">
        <f>C240='Plano de Contas'!C240</f>
        <v>1</v>
      </c>
    </row>
    <row r="241" spans="1:19" x14ac:dyDescent="0.2">
      <c r="A241" s="18" t="s">
        <v>2028</v>
      </c>
      <c r="B241" s="2" t="s">
        <v>54</v>
      </c>
      <c r="C241" s="2" t="s">
        <v>472</v>
      </c>
      <c r="D241" s="2" t="s">
        <v>42</v>
      </c>
      <c r="E241" s="2" t="s">
        <v>39</v>
      </c>
      <c r="F241" s="2" t="s">
        <v>43</v>
      </c>
      <c r="G241" s="4" t="s">
        <v>1492</v>
      </c>
      <c r="H241" s="2">
        <v>16</v>
      </c>
      <c r="I241" s="3" t="s">
        <v>1492</v>
      </c>
      <c r="J241" s="2" t="s">
        <v>451</v>
      </c>
      <c r="K241" s="2" t="s">
        <v>440</v>
      </c>
      <c r="S241" s="6" t="b">
        <f>C241='Plano de Contas'!C241</f>
        <v>1</v>
      </c>
    </row>
    <row r="242" spans="1:19" x14ac:dyDescent="0.2">
      <c r="A242" s="18" t="s">
        <v>2029</v>
      </c>
      <c r="B242" s="2" t="s">
        <v>54</v>
      </c>
      <c r="C242" s="2" t="s">
        <v>474</v>
      </c>
      <c r="D242" s="2" t="s">
        <v>42</v>
      </c>
      <c r="E242" s="2" t="s">
        <v>39</v>
      </c>
      <c r="F242" s="2" t="s">
        <v>43</v>
      </c>
      <c r="G242" s="4" t="s">
        <v>1492</v>
      </c>
      <c r="H242" s="2">
        <v>16</v>
      </c>
      <c r="I242" s="3" t="s">
        <v>1492</v>
      </c>
      <c r="J242" s="2" t="s">
        <v>451</v>
      </c>
      <c r="K242" s="2" t="s">
        <v>440</v>
      </c>
      <c r="S242" s="6" t="b">
        <f>C242='Plano de Contas'!C242</f>
        <v>1</v>
      </c>
    </row>
    <row r="243" spans="1:19" x14ac:dyDescent="0.2">
      <c r="A243" s="18" t="s">
        <v>2030</v>
      </c>
      <c r="B243" s="2" t="s">
        <v>54</v>
      </c>
      <c r="C243" s="2" t="s">
        <v>476</v>
      </c>
      <c r="D243" s="2" t="s">
        <v>42</v>
      </c>
      <c r="E243" s="2" t="s">
        <v>39</v>
      </c>
      <c r="F243" s="2" t="s">
        <v>43</v>
      </c>
      <c r="G243" s="4" t="s">
        <v>1492</v>
      </c>
      <c r="H243" s="2">
        <v>16</v>
      </c>
      <c r="I243" s="3" t="s">
        <v>1492</v>
      </c>
      <c r="J243" s="2" t="s">
        <v>451</v>
      </c>
      <c r="K243" s="2" t="s">
        <v>440</v>
      </c>
      <c r="S243" s="6" t="b">
        <f>C243='Plano de Contas'!C243</f>
        <v>1</v>
      </c>
    </row>
    <row r="244" spans="1:19" x14ac:dyDescent="0.2">
      <c r="A244" s="17" t="s">
        <v>477</v>
      </c>
      <c r="B244" s="1" t="s">
        <v>40</v>
      </c>
      <c r="C244" s="1" t="s">
        <v>478</v>
      </c>
      <c r="D244" s="2" t="s">
        <v>196</v>
      </c>
      <c r="E244" s="2" t="s">
        <v>477</v>
      </c>
      <c r="F244" s="2" t="s">
        <v>479</v>
      </c>
      <c r="G244" s="4" t="s">
        <v>1492</v>
      </c>
      <c r="H244" s="2">
        <v>1</v>
      </c>
      <c r="I244" s="3" t="s">
        <v>1492</v>
      </c>
      <c r="J244" s="2" t="s">
        <v>478</v>
      </c>
      <c r="S244" s="6" t="b">
        <f>C244='Plano de Contas'!C244</f>
        <v>1</v>
      </c>
    </row>
    <row r="245" spans="1:19" x14ac:dyDescent="0.2">
      <c r="A245" s="17" t="s">
        <v>2031</v>
      </c>
      <c r="B245" s="1" t="s">
        <v>40</v>
      </c>
      <c r="C245" s="1" t="s">
        <v>481</v>
      </c>
      <c r="D245" s="2" t="s">
        <v>196</v>
      </c>
      <c r="E245" s="2" t="s">
        <v>477</v>
      </c>
      <c r="F245" s="2" t="s">
        <v>479</v>
      </c>
      <c r="G245" s="2" t="s">
        <v>1490</v>
      </c>
      <c r="H245" s="2">
        <v>3</v>
      </c>
      <c r="I245" s="3" t="s">
        <v>1492</v>
      </c>
      <c r="J245" s="2" t="s">
        <v>481</v>
      </c>
      <c r="S245" s="6" t="b">
        <f>C245='Plano de Contas'!C245</f>
        <v>1</v>
      </c>
    </row>
    <row r="246" spans="1:19" x14ac:dyDescent="0.2">
      <c r="A246" s="17" t="s">
        <v>2032</v>
      </c>
      <c r="B246" s="1" t="s">
        <v>40</v>
      </c>
      <c r="C246" s="1" t="s">
        <v>483</v>
      </c>
      <c r="D246" s="2" t="s">
        <v>196</v>
      </c>
      <c r="E246" s="2" t="s">
        <v>477</v>
      </c>
      <c r="F246" s="2" t="s">
        <v>479</v>
      </c>
      <c r="G246" s="2" t="s">
        <v>1490</v>
      </c>
      <c r="H246" s="2">
        <v>5</v>
      </c>
      <c r="I246" s="3" t="s">
        <v>1492</v>
      </c>
      <c r="J246" s="2" t="s">
        <v>483</v>
      </c>
      <c r="K246" s="2" t="s">
        <v>484</v>
      </c>
      <c r="S246" s="6" t="b">
        <f>C246='Plano de Contas'!C246</f>
        <v>1</v>
      </c>
    </row>
    <row r="247" spans="1:19" x14ac:dyDescent="0.2">
      <c r="A247" s="17" t="s">
        <v>2033</v>
      </c>
      <c r="B247" s="1" t="s">
        <v>40</v>
      </c>
      <c r="C247" s="1" t="s">
        <v>483</v>
      </c>
      <c r="D247" s="2" t="s">
        <v>196</v>
      </c>
      <c r="E247" s="2" t="s">
        <v>477</v>
      </c>
      <c r="F247" s="2" t="s">
        <v>479</v>
      </c>
      <c r="G247" s="2" t="s">
        <v>1490</v>
      </c>
      <c r="H247" s="2">
        <v>8</v>
      </c>
      <c r="I247" s="3" t="s">
        <v>1492</v>
      </c>
      <c r="J247" s="2" t="s">
        <v>483</v>
      </c>
      <c r="K247" s="2" t="s">
        <v>484</v>
      </c>
      <c r="S247" s="6" t="b">
        <f>C247='Plano de Contas'!C247</f>
        <v>1</v>
      </c>
    </row>
    <row r="248" spans="1:19" x14ac:dyDescent="0.2">
      <c r="A248" s="17" t="s">
        <v>2034</v>
      </c>
      <c r="B248" s="1" t="s">
        <v>40</v>
      </c>
      <c r="C248" s="1" t="s">
        <v>483</v>
      </c>
      <c r="D248" s="2" t="s">
        <v>196</v>
      </c>
      <c r="E248" s="2" t="s">
        <v>477</v>
      </c>
      <c r="F248" s="2" t="s">
        <v>479</v>
      </c>
      <c r="G248" s="2" t="s">
        <v>1490</v>
      </c>
      <c r="H248" s="2">
        <v>11</v>
      </c>
      <c r="I248" s="3" t="s">
        <v>486</v>
      </c>
      <c r="J248" s="2" t="s">
        <v>483</v>
      </c>
      <c r="K248" s="2" t="s">
        <v>484</v>
      </c>
      <c r="S248" s="6" t="b">
        <f>C248='Plano de Contas'!C248</f>
        <v>1</v>
      </c>
    </row>
    <row r="249" spans="1:19" x14ac:dyDescent="0.2">
      <c r="A249" s="18" t="s">
        <v>2035</v>
      </c>
      <c r="B249" s="2" t="s">
        <v>54</v>
      </c>
      <c r="C249" s="2" t="s">
        <v>483</v>
      </c>
      <c r="D249" s="2" t="s">
        <v>196</v>
      </c>
      <c r="E249" s="2" t="s">
        <v>477</v>
      </c>
      <c r="F249" s="2" t="s">
        <v>479</v>
      </c>
      <c r="G249" s="2" t="s">
        <v>1490</v>
      </c>
      <c r="H249" s="2">
        <v>16</v>
      </c>
      <c r="I249" s="3" t="s">
        <v>1492</v>
      </c>
      <c r="J249" s="2" t="s">
        <v>483</v>
      </c>
      <c r="K249" s="2" t="s">
        <v>484</v>
      </c>
      <c r="S249" s="6" t="b">
        <f>C249='Plano de Contas'!C249</f>
        <v>1</v>
      </c>
    </row>
    <row r="250" spans="1:19" x14ac:dyDescent="0.2">
      <c r="A250" s="17" t="s">
        <v>2036</v>
      </c>
      <c r="B250" s="1" t="s">
        <v>40</v>
      </c>
      <c r="C250" s="1" t="s">
        <v>489</v>
      </c>
      <c r="D250" s="2" t="s">
        <v>196</v>
      </c>
      <c r="E250" s="2" t="s">
        <v>477</v>
      </c>
      <c r="F250" s="2" t="s">
        <v>479</v>
      </c>
      <c r="G250" s="2" t="s">
        <v>1490</v>
      </c>
      <c r="H250" s="2">
        <v>8</v>
      </c>
      <c r="I250" s="3" t="s">
        <v>1492</v>
      </c>
      <c r="J250" s="2" t="s">
        <v>489</v>
      </c>
      <c r="K250" s="2" t="s">
        <v>484</v>
      </c>
      <c r="S250" s="6" t="b">
        <f>C250='Plano de Contas'!C250</f>
        <v>1</v>
      </c>
    </row>
    <row r="251" spans="1:19" x14ac:dyDescent="0.2">
      <c r="A251" s="17" t="s">
        <v>2037</v>
      </c>
      <c r="B251" s="1" t="s">
        <v>40</v>
      </c>
      <c r="C251" s="1" t="s">
        <v>489</v>
      </c>
      <c r="D251" s="2" t="s">
        <v>196</v>
      </c>
      <c r="E251" s="2" t="s">
        <v>477</v>
      </c>
      <c r="F251" s="2" t="s">
        <v>479</v>
      </c>
      <c r="G251" s="2" t="s">
        <v>1490</v>
      </c>
      <c r="H251" s="2">
        <v>11</v>
      </c>
      <c r="I251" s="3" t="s">
        <v>490</v>
      </c>
      <c r="J251" s="2" t="s">
        <v>489</v>
      </c>
      <c r="K251" s="2" t="s">
        <v>484</v>
      </c>
      <c r="S251" s="6" t="b">
        <f>C251='Plano de Contas'!C251</f>
        <v>1</v>
      </c>
    </row>
    <row r="252" spans="1:19" x14ac:dyDescent="0.2">
      <c r="A252" s="18" t="s">
        <v>2038</v>
      </c>
      <c r="B252" s="2" t="s">
        <v>54</v>
      </c>
      <c r="C252" s="2" t="s">
        <v>492</v>
      </c>
      <c r="D252" s="2" t="s">
        <v>196</v>
      </c>
      <c r="E252" s="2" t="s">
        <v>477</v>
      </c>
      <c r="F252" s="2" t="s">
        <v>479</v>
      </c>
      <c r="G252" s="2" t="s">
        <v>1490</v>
      </c>
      <c r="H252" s="2">
        <v>16</v>
      </c>
      <c r="I252" s="3" t="s">
        <v>1492</v>
      </c>
      <c r="J252" s="2" t="s">
        <v>489</v>
      </c>
      <c r="K252" s="2" t="s">
        <v>484</v>
      </c>
      <c r="S252" s="6" t="b">
        <f>C252='Plano de Contas'!C252</f>
        <v>1</v>
      </c>
    </row>
    <row r="253" spans="1:19" x14ac:dyDescent="0.2">
      <c r="A253" s="18" t="s">
        <v>2039</v>
      </c>
      <c r="B253" s="2" t="s">
        <v>54</v>
      </c>
      <c r="C253" s="2" t="s">
        <v>494</v>
      </c>
      <c r="D253" s="2" t="s">
        <v>196</v>
      </c>
      <c r="E253" s="2" t="s">
        <v>477</v>
      </c>
      <c r="F253" s="2" t="s">
        <v>479</v>
      </c>
      <c r="G253" s="2" t="s">
        <v>1490</v>
      </c>
      <c r="H253" s="2">
        <v>16</v>
      </c>
      <c r="I253" s="3" t="s">
        <v>1492</v>
      </c>
      <c r="J253" s="2" t="s">
        <v>489</v>
      </c>
      <c r="K253" s="2" t="s">
        <v>484</v>
      </c>
      <c r="S253" s="6" t="b">
        <f>C253='Plano de Contas'!C253</f>
        <v>1</v>
      </c>
    </row>
    <row r="254" spans="1:19" x14ac:dyDescent="0.2">
      <c r="A254" s="18" t="s">
        <v>2040</v>
      </c>
      <c r="B254" s="2" t="s">
        <v>54</v>
      </c>
      <c r="C254" s="2" t="s">
        <v>496</v>
      </c>
      <c r="D254" s="2" t="s">
        <v>196</v>
      </c>
      <c r="E254" s="2" t="s">
        <v>477</v>
      </c>
      <c r="F254" s="2" t="s">
        <v>479</v>
      </c>
      <c r="G254" s="2" t="s">
        <v>1490</v>
      </c>
      <c r="H254" s="2">
        <v>16</v>
      </c>
      <c r="I254" s="3" t="s">
        <v>1492</v>
      </c>
      <c r="J254" s="2" t="s">
        <v>489</v>
      </c>
      <c r="K254" s="2" t="s">
        <v>484</v>
      </c>
      <c r="S254" s="6" t="b">
        <f>C254='Plano de Contas'!C254</f>
        <v>1</v>
      </c>
    </row>
    <row r="255" spans="1:19" x14ac:dyDescent="0.2">
      <c r="A255" s="17" t="s">
        <v>2041</v>
      </c>
      <c r="B255" s="1" t="s">
        <v>40</v>
      </c>
      <c r="C255" s="1" t="s">
        <v>293</v>
      </c>
      <c r="D255" s="2" t="s">
        <v>196</v>
      </c>
      <c r="E255" s="2" t="s">
        <v>477</v>
      </c>
      <c r="F255" s="2" t="s">
        <v>479</v>
      </c>
      <c r="G255" s="2" t="s">
        <v>1490</v>
      </c>
      <c r="H255" s="2">
        <v>8</v>
      </c>
      <c r="I255" s="3" t="s">
        <v>1492</v>
      </c>
      <c r="J255" s="2" t="s">
        <v>293</v>
      </c>
      <c r="K255" s="2" t="s">
        <v>498</v>
      </c>
      <c r="L255" s="2"/>
      <c r="S255" s="6" t="b">
        <f>C255='Plano de Contas'!C255</f>
        <v>1</v>
      </c>
    </row>
    <row r="256" spans="1:19" x14ac:dyDescent="0.2">
      <c r="A256" s="17" t="s">
        <v>2042</v>
      </c>
      <c r="B256" s="1" t="s">
        <v>40</v>
      </c>
      <c r="C256" s="1" t="s">
        <v>293</v>
      </c>
      <c r="D256" s="2" t="s">
        <v>196</v>
      </c>
      <c r="E256" s="2" t="s">
        <v>477</v>
      </c>
      <c r="F256" s="2" t="s">
        <v>479</v>
      </c>
      <c r="G256" s="2" t="s">
        <v>1490</v>
      </c>
      <c r="H256" s="2">
        <v>11</v>
      </c>
      <c r="I256" s="3" t="s">
        <v>499</v>
      </c>
      <c r="J256" s="2" t="s">
        <v>293</v>
      </c>
      <c r="K256" s="2" t="s">
        <v>498</v>
      </c>
      <c r="L256" s="2"/>
      <c r="S256" s="6" t="b">
        <f>C256='Plano de Contas'!C256</f>
        <v>1</v>
      </c>
    </row>
    <row r="257" spans="1:19" x14ac:dyDescent="0.2">
      <c r="A257" s="18" t="s">
        <v>2043</v>
      </c>
      <c r="B257" s="2" t="s">
        <v>54</v>
      </c>
      <c r="C257" s="2" t="s">
        <v>293</v>
      </c>
      <c r="D257" s="2" t="s">
        <v>196</v>
      </c>
      <c r="E257" s="2" t="s">
        <v>477</v>
      </c>
      <c r="F257" s="2" t="s">
        <v>479</v>
      </c>
      <c r="G257" s="2" t="s">
        <v>1490</v>
      </c>
      <c r="H257" s="2">
        <v>16</v>
      </c>
      <c r="I257" s="3" t="s">
        <v>1492</v>
      </c>
      <c r="J257" s="2" t="s">
        <v>293</v>
      </c>
      <c r="K257" s="2" t="s">
        <v>498</v>
      </c>
      <c r="L257" s="2"/>
      <c r="S257" s="6" t="b">
        <f>C257='Plano de Contas'!C257</f>
        <v>1</v>
      </c>
    </row>
    <row r="258" spans="1:19" x14ac:dyDescent="0.2">
      <c r="A258" s="17" t="s">
        <v>2044</v>
      </c>
      <c r="B258" s="1" t="s">
        <v>40</v>
      </c>
      <c r="C258" s="1" t="s">
        <v>502</v>
      </c>
      <c r="D258" s="2" t="s">
        <v>196</v>
      </c>
      <c r="E258" s="2" t="s">
        <v>477</v>
      </c>
      <c r="F258" s="2" t="s">
        <v>479</v>
      </c>
      <c r="G258" s="2" t="s">
        <v>1490</v>
      </c>
      <c r="H258" s="2">
        <v>5</v>
      </c>
      <c r="I258" s="3" t="s">
        <v>1492</v>
      </c>
      <c r="J258" s="2" t="s">
        <v>502</v>
      </c>
      <c r="K258" s="2" t="s">
        <v>503</v>
      </c>
      <c r="S258" s="6" t="b">
        <f>C258='Plano de Contas'!C258</f>
        <v>1</v>
      </c>
    </row>
    <row r="259" spans="1:19" x14ac:dyDescent="0.2">
      <c r="A259" s="17" t="s">
        <v>2045</v>
      </c>
      <c r="B259" s="1" t="s">
        <v>40</v>
      </c>
      <c r="C259" s="1" t="s">
        <v>505</v>
      </c>
      <c r="D259" s="2" t="s">
        <v>196</v>
      </c>
      <c r="E259" s="2" t="s">
        <v>477</v>
      </c>
      <c r="F259" s="2" t="s">
        <v>479</v>
      </c>
      <c r="G259" s="2" t="s">
        <v>1490</v>
      </c>
      <c r="H259" s="2">
        <v>8</v>
      </c>
      <c r="I259" s="3" t="s">
        <v>1492</v>
      </c>
      <c r="J259" s="2" t="s">
        <v>505</v>
      </c>
      <c r="K259" s="2" t="s">
        <v>503</v>
      </c>
      <c r="S259" s="6" t="b">
        <f>C259='Plano de Contas'!C259</f>
        <v>1</v>
      </c>
    </row>
    <row r="260" spans="1:19" x14ac:dyDescent="0.2">
      <c r="A260" s="17" t="s">
        <v>2046</v>
      </c>
      <c r="B260" s="1" t="s">
        <v>40</v>
      </c>
      <c r="C260" s="1" t="s">
        <v>507</v>
      </c>
      <c r="D260" s="2" t="s">
        <v>196</v>
      </c>
      <c r="E260" s="2" t="s">
        <v>477</v>
      </c>
      <c r="F260" s="2" t="s">
        <v>479</v>
      </c>
      <c r="G260" s="2" t="s">
        <v>1490</v>
      </c>
      <c r="H260" s="2">
        <v>11</v>
      </c>
      <c r="I260" s="3" t="s">
        <v>506</v>
      </c>
      <c r="J260" s="2" t="s">
        <v>507</v>
      </c>
      <c r="K260" s="2" t="s">
        <v>503</v>
      </c>
      <c r="L260" s="10" t="s">
        <v>1563</v>
      </c>
      <c r="S260" s="6" t="b">
        <f>C260='Plano de Contas'!C260</f>
        <v>1</v>
      </c>
    </row>
    <row r="261" spans="1:19" x14ac:dyDescent="0.2">
      <c r="A261" s="18" t="s">
        <v>2047</v>
      </c>
      <c r="B261" s="2" t="s">
        <v>54</v>
      </c>
      <c r="C261" s="2" t="s">
        <v>509</v>
      </c>
      <c r="D261" s="2" t="s">
        <v>196</v>
      </c>
      <c r="E261" s="2" t="s">
        <v>477</v>
      </c>
      <c r="F261" s="2" t="s">
        <v>479</v>
      </c>
      <c r="G261" s="2" t="s">
        <v>1490</v>
      </c>
      <c r="H261" s="2">
        <v>16</v>
      </c>
      <c r="I261" s="3" t="s">
        <v>1492</v>
      </c>
      <c r="J261" s="2" t="s">
        <v>507</v>
      </c>
      <c r="K261" s="2" t="s">
        <v>503</v>
      </c>
      <c r="L261" s="10" t="s">
        <v>1563</v>
      </c>
      <c r="S261" s="6" t="b">
        <f>C261='Plano de Contas'!C261</f>
        <v>1</v>
      </c>
    </row>
    <row r="262" spans="1:19" x14ac:dyDescent="0.2">
      <c r="A262" s="18" t="s">
        <v>2048</v>
      </c>
      <c r="B262" s="2" t="s">
        <v>54</v>
      </c>
      <c r="C262" s="2" t="s">
        <v>511</v>
      </c>
      <c r="D262" s="2" t="s">
        <v>196</v>
      </c>
      <c r="E262" s="2" t="s">
        <v>477</v>
      </c>
      <c r="F262" s="2" t="s">
        <v>479</v>
      </c>
      <c r="G262" s="2" t="s">
        <v>1490</v>
      </c>
      <c r="H262" s="2">
        <v>16</v>
      </c>
      <c r="I262" s="3" t="s">
        <v>1492</v>
      </c>
      <c r="J262" s="2" t="s">
        <v>507</v>
      </c>
      <c r="K262" s="2" t="s">
        <v>503</v>
      </c>
      <c r="L262" s="10" t="s">
        <v>1563</v>
      </c>
      <c r="S262" s="6" t="b">
        <f>C262='Plano de Contas'!C262</f>
        <v>1</v>
      </c>
    </row>
    <row r="263" spans="1:19" x14ac:dyDescent="0.2">
      <c r="A263" s="18" t="s">
        <v>2049</v>
      </c>
      <c r="B263" s="2" t="s">
        <v>54</v>
      </c>
      <c r="C263" s="2" t="s">
        <v>513</v>
      </c>
      <c r="D263" s="2" t="s">
        <v>196</v>
      </c>
      <c r="E263" s="2" t="s">
        <v>477</v>
      </c>
      <c r="F263" s="2" t="s">
        <v>479</v>
      </c>
      <c r="G263" s="2" t="s">
        <v>1490</v>
      </c>
      <c r="H263" s="2">
        <v>16</v>
      </c>
      <c r="I263" s="3" t="s">
        <v>1492</v>
      </c>
      <c r="J263" s="2" t="s">
        <v>507</v>
      </c>
      <c r="K263" s="2" t="s">
        <v>503</v>
      </c>
      <c r="L263" s="10" t="s">
        <v>1563</v>
      </c>
      <c r="S263" s="6" t="b">
        <f>C263='Plano de Contas'!C263</f>
        <v>1</v>
      </c>
    </row>
    <row r="264" spans="1:19" x14ac:dyDescent="0.2">
      <c r="A264" s="18" t="s">
        <v>2050</v>
      </c>
      <c r="B264" s="2" t="s">
        <v>54</v>
      </c>
      <c r="C264" s="2" t="s">
        <v>515</v>
      </c>
      <c r="D264" s="2" t="s">
        <v>196</v>
      </c>
      <c r="E264" s="2" t="s">
        <v>477</v>
      </c>
      <c r="F264" s="2" t="s">
        <v>479</v>
      </c>
      <c r="G264" s="2" t="s">
        <v>1490</v>
      </c>
      <c r="H264" s="2">
        <v>16</v>
      </c>
      <c r="I264" s="3" t="s">
        <v>1492</v>
      </c>
      <c r="J264" s="2" t="s">
        <v>507</v>
      </c>
      <c r="K264" s="2" t="s">
        <v>503</v>
      </c>
      <c r="L264" s="10" t="s">
        <v>1563</v>
      </c>
      <c r="S264" s="6" t="b">
        <f>C264='Plano de Contas'!C264</f>
        <v>1</v>
      </c>
    </row>
    <row r="265" spans="1:19" x14ac:dyDescent="0.2">
      <c r="A265" s="18" t="s">
        <v>2051</v>
      </c>
      <c r="B265" s="2" t="s">
        <v>54</v>
      </c>
      <c r="C265" s="2" t="s">
        <v>517</v>
      </c>
      <c r="D265" s="2" t="s">
        <v>196</v>
      </c>
      <c r="E265" s="2" t="s">
        <v>477</v>
      </c>
      <c r="F265" s="2" t="s">
        <v>479</v>
      </c>
      <c r="G265" s="2" t="s">
        <v>1490</v>
      </c>
      <c r="H265" s="2">
        <v>16</v>
      </c>
      <c r="I265" s="3" t="s">
        <v>1492</v>
      </c>
      <c r="J265" s="2" t="s">
        <v>507</v>
      </c>
      <c r="K265" s="2" t="s">
        <v>503</v>
      </c>
      <c r="L265" s="10" t="s">
        <v>1563</v>
      </c>
      <c r="S265" s="6" t="b">
        <f>C265='Plano de Contas'!C265</f>
        <v>1</v>
      </c>
    </row>
    <row r="266" spans="1:19" x14ac:dyDescent="0.2">
      <c r="A266" s="17" t="s">
        <v>2052</v>
      </c>
      <c r="B266" s="1" t="s">
        <v>40</v>
      </c>
      <c r="C266" s="1" t="s">
        <v>519</v>
      </c>
      <c r="D266" s="2" t="s">
        <v>196</v>
      </c>
      <c r="E266" s="2" t="s">
        <v>477</v>
      </c>
      <c r="F266" s="2" t="s">
        <v>479</v>
      </c>
      <c r="G266" s="2" t="s">
        <v>1490</v>
      </c>
      <c r="H266" s="2">
        <v>11</v>
      </c>
      <c r="I266" s="3" t="s">
        <v>518</v>
      </c>
      <c r="J266" s="2" t="s">
        <v>519</v>
      </c>
      <c r="K266" s="2" t="s">
        <v>503</v>
      </c>
      <c r="L266" s="10" t="s">
        <v>1562</v>
      </c>
      <c r="S266" s="6" t="b">
        <f>C266='Plano de Contas'!C266</f>
        <v>1</v>
      </c>
    </row>
    <row r="267" spans="1:19" x14ac:dyDescent="0.2">
      <c r="A267" s="18" t="s">
        <v>2053</v>
      </c>
      <c r="B267" s="2" t="s">
        <v>54</v>
      </c>
      <c r="C267" s="2" t="s">
        <v>521</v>
      </c>
      <c r="D267" s="2" t="s">
        <v>196</v>
      </c>
      <c r="E267" s="2" t="s">
        <v>477</v>
      </c>
      <c r="F267" s="2" t="s">
        <v>479</v>
      </c>
      <c r="G267" s="2" t="s">
        <v>1490</v>
      </c>
      <c r="H267" s="2">
        <v>16</v>
      </c>
      <c r="I267" s="3" t="s">
        <v>1492</v>
      </c>
      <c r="J267" s="2" t="s">
        <v>519</v>
      </c>
      <c r="K267" s="2" t="s">
        <v>503</v>
      </c>
      <c r="L267" s="10" t="s">
        <v>1562</v>
      </c>
      <c r="S267" s="6" t="b">
        <f>C267='Plano de Contas'!C267</f>
        <v>1</v>
      </c>
    </row>
    <row r="268" spans="1:19" x14ac:dyDescent="0.2">
      <c r="A268" s="18" t="s">
        <v>2054</v>
      </c>
      <c r="B268" s="2" t="s">
        <v>54</v>
      </c>
      <c r="C268" s="2" t="s">
        <v>523</v>
      </c>
      <c r="D268" s="2" t="s">
        <v>196</v>
      </c>
      <c r="E268" s="2" t="s">
        <v>477</v>
      </c>
      <c r="F268" s="2" t="s">
        <v>479</v>
      </c>
      <c r="G268" s="2" t="s">
        <v>1490</v>
      </c>
      <c r="H268" s="2">
        <v>16</v>
      </c>
      <c r="I268" s="3" t="s">
        <v>1492</v>
      </c>
      <c r="J268" s="2" t="s">
        <v>519</v>
      </c>
      <c r="K268" s="2" t="s">
        <v>503</v>
      </c>
      <c r="L268" s="10" t="s">
        <v>1562</v>
      </c>
      <c r="S268" s="6" t="b">
        <f>C268='Plano de Contas'!C268</f>
        <v>1</v>
      </c>
    </row>
    <row r="269" spans="1:19" x14ac:dyDescent="0.2">
      <c r="A269" s="17" t="s">
        <v>2055</v>
      </c>
      <c r="B269" s="1" t="s">
        <v>40</v>
      </c>
      <c r="C269" s="1" t="s">
        <v>525</v>
      </c>
      <c r="D269" s="2" t="s">
        <v>196</v>
      </c>
      <c r="E269" s="2" t="s">
        <v>477</v>
      </c>
      <c r="F269" s="2" t="s">
        <v>479</v>
      </c>
      <c r="G269" s="2" t="s">
        <v>1490</v>
      </c>
      <c r="H269" s="2">
        <v>8</v>
      </c>
      <c r="I269" s="3" t="s">
        <v>1492</v>
      </c>
      <c r="J269" s="2" t="s">
        <v>525</v>
      </c>
      <c r="K269" s="2" t="s">
        <v>503</v>
      </c>
      <c r="S269" s="6" t="b">
        <f>C269='Plano de Contas'!C269</f>
        <v>1</v>
      </c>
    </row>
    <row r="270" spans="1:19" x14ac:dyDescent="0.2">
      <c r="A270" s="17" t="s">
        <v>2056</v>
      </c>
      <c r="B270" s="1" t="s">
        <v>40</v>
      </c>
      <c r="C270" s="1" t="s">
        <v>527</v>
      </c>
      <c r="D270" s="2" t="s">
        <v>196</v>
      </c>
      <c r="E270" s="2" t="s">
        <v>477</v>
      </c>
      <c r="F270" s="2" t="s">
        <v>479</v>
      </c>
      <c r="G270" s="2" t="s">
        <v>1490</v>
      </c>
      <c r="H270" s="2">
        <v>11</v>
      </c>
      <c r="I270" s="3" t="s">
        <v>526</v>
      </c>
      <c r="J270" s="2" t="s">
        <v>527</v>
      </c>
      <c r="K270" s="2" t="s">
        <v>503</v>
      </c>
      <c r="L270" s="10" t="s">
        <v>1561</v>
      </c>
      <c r="S270" s="6" t="b">
        <f>C270='Plano de Contas'!C270</f>
        <v>1</v>
      </c>
    </row>
    <row r="271" spans="1:19" x14ac:dyDescent="0.2">
      <c r="A271" s="18" t="s">
        <v>2057</v>
      </c>
      <c r="B271" s="2" t="s">
        <v>54</v>
      </c>
      <c r="C271" s="2" t="s">
        <v>529</v>
      </c>
      <c r="D271" s="2" t="s">
        <v>196</v>
      </c>
      <c r="E271" s="2" t="s">
        <v>477</v>
      </c>
      <c r="F271" s="2" t="s">
        <v>479</v>
      </c>
      <c r="G271" s="2" t="s">
        <v>1490</v>
      </c>
      <c r="H271" s="2">
        <v>16</v>
      </c>
      <c r="I271" s="3" t="s">
        <v>1492</v>
      </c>
      <c r="J271" s="2" t="s">
        <v>527</v>
      </c>
      <c r="K271" s="2" t="s">
        <v>503</v>
      </c>
      <c r="L271" s="10" t="s">
        <v>1561</v>
      </c>
      <c r="S271" s="6" t="b">
        <f>C271='Plano de Contas'!C271</f>
        <v>1</v>
      </c>
    </row>
    <row r="272" spans="1:19" x14ac:dyDescent="0.2">
      <c r="A272" s="18" t="s">
        <v>2058</v>
      </c>
      <c r="B272" s="2" t="s">
        <v>54</v>
      </c>
      <c r="C272" s="2" t="s">
        <v>531</v>
      </c>
      <c r="D272" s="2" t="s">
        <v>196</v>
      </c>
      <c r="E272" s="2" t="s">
        <v>477</v>
      </c>
      <c r="F272" s="2" t="s">
        <v>479</v>
      </c>
      <c r="G272" s="2" t="s">
        <v>1490</v>
      </c>
      <c r="H272" s="2">
        <v>16</v>
      </c>
      <c r="I272" s="3" t="s">
        <v>1492</v>
      </c>
      <c r="J272" s="2" t="s">
        <v>527</v>
      </c>
      <c r="K272" s="2" t="s">
        <v>503</v>
      </c>
      <c r="L272" s="10" t="s">
        <v>1561</v>
      </c>
      <c r="S272" s="6" t="b">
        <f>C272='Plano de Contas'!C272</f>
        <v>1</v>
      </c>
    </row>
    <row r="273" spans="1:19" x14ac:dyDescent="0.2">
      <c r="A273" s="18" t="s">
        <v>2059</v>
      </c>
      <c r="B273" s="2" t="s">
        <v>54</v>
      </c>
      <c r="C273" s="2" t="s">
        <v>533</v>
      </c>
      <c r="D273" s="2" t="s">
        <v>196</v>
      </c>
      <c r="E273" s="2" t="s">
        <v>477</v>
      </c>
      <c r="F273" s="2" t="s">
        <v>479</v>
      </c>
      <c r="G273" s="2" t="s">
        <v>1490</v>
      </c>
      <c r="H273" s="2">
        <v>16</v>
      </c>
      <c r="I273" s="3" t="s">
        <v>1492</v>
      </c>
      <c r="J273" s="2" t="s">
        <v>527</v>
      </c>
      <c r="K273" s="2" t="s">
        <v>503</v>
      </c>
      <c r="L273" s="10" t="s">
        <v>1561</v>
      </c>
      <c r="S273" s="6" t="b">
        <f>C273='Plano de Contas'!C273</f>
        <v>1</v>
      </c>
    </row>
    <row r="274" spans="1:19" x14ac:dyDescent="0.2">
      <c r="A274" s="17" t="s">
        <v>2060</v>
      </c>
      <c r="B274" s="1" t="s">
        <v>40</v>
      </c>
      <c r="C274" s="1" t="s">
        <v>535</v>
      </c>
      <c r="D274" s="2" t="s">
        <v>196</v>
      </c>
      <c r="E274" s="2" t="s">
        <v>477</v>
      </c>
      <c r="F274" s="2" t="s">
        <v>479</v>
      </c>
      <c r="G274" s="2" t="s">
        <v>1490</v>
      </c>
      <c r="H274" s="2">
        <v>11</v>
      </c>
      <c r="I274" s="3" t="s">
        <v>534</v>
      </c>
      <c r="J274" s="2" t="s">
        <v>535</v>
      </c>
      <c r="K274" s="2" t="s">
        <v>503</v>
      </c>
      <c r="L274" s="10" t="s">
        <v>1560</v>
      </c>
      <c r="S274" s="6" t="b">
        <f>C274='Plano de Contas'!C274</f>
        <v>1</v>
      </c>
    </row>
    <row r="275" spans="1:19" x14ac:dyDescent="0.2">
      <c r="A275" s="18" t="s">
        <v>2061</v>
      </c>
      <c r="B275" s="2" t="s">
        <v>54</v>
      </c>
      <c r="C275" s="2" t="s">
        <v>537</v>
      </c>
      <c r="D275" s="2" t="s">
        <v>196</v>
      </c>
      <c r="E275" s="2" t="s">
        <v>477</v>
      </c>
      <c r="F275" s="2" t="s">
        <v>479</v>
      </c>
      <c r="G275" s="2" t="s">
        <v>1490</v>
      </c>
      <c r="H275" s="2">
        <v>16</v>
      </c>
      <c r="I275" s="3" t="s">
        <v>1492</v>
      </c>
      <c r="J275" s="2" t="s">
        <v>535</v>
      </c>
      <c r="K275" s="2" t="s">
        <v>503</v>
      </c>
      <c r="L275" s="10" t="s">
        <v>1560</v>
      </c>
      <c r="S275" s="6" t="b">
        <f>C275='Plano de Contas'!C275</f>
        <v>1</v>
      </c>
    </row>
    <row r="276" spans="1:19" x14ac:dyDescent="0.2">
      <c r="A276" s="18" t="s">
        <v>2062</v>
      </c>
      <c r="B276" s="2" t="s">
        <v>54</v>
      </c>
      <c r="C276" s="2" t="s">
        <v>539</v>
      </c>
      <c r="D276" s="2" t="s">
        <v>196</v>
      </c>
      <c r="E276" s="2" t="s">
        <v>477</v>
      </c>
      <c r="F276" s="2" t="s">
        <v>479</v>
      </c>
      <c r="G276" s="2" t="s">
        <v>1490</v>
      </c>
      <c r="H276" s="2">
        <v>16</v>
      </c>
      <c r="I276" s="3" t="s">
        <v>1492</v>
      </c>
      <c r="J276" s="2" t="s">
        <v>535</v>
      </c>
      <c r="K276" s="2" t="s">
        <v>503</v>
      </c>
      <c r="L276" s="10" t="s">
        <v>1560</v>
      </c>
      <c r="S276" s="6" t="b">
        <f>C276='Plano de Contas'!C276</f>
        <v>1</v>
      </c>
    </row>
    <row r="277" spans="1:19" x14ac:dyDescent="0.2">
      <c r="A277" s="18" t="s">
        <v>2063</v>
      </c>
      <c r="B277" s="2" t="s">
        <v>54</v>
      </c>
      <c r="C277" s="2" t="s">
        <v>541</v>
      </c>
      <c r="D277" s="2" t="s">
        <v>196</v>
      </c>
      <c r="E277" s="2" t="s">
        <v>477</v>
      </c>
      <c r="F277" s="2" t="s">
        <v>479</v>
      </c>
      <c r="G277" s="2" t="s">
        <v>1490</v>
      </c>
      <c r="H277" s="2">
        <v>16</v>
      </c>
      <c r="I277" s="3" t="s">
        <v>1492</v>
      </c>
      <c r="J277" s="2" t="s">
        <v>535</v>
      </c>
      <c r="K277" s="2" t="s">
        <v>503</v>
      </c>
      <c r="L277" s="10" t="s">
        <v>1560</v>
      </c>
      <c r="S277" s="6" t="b">
        <f>C277='Plano de Contas'!C277</f>
        <v>1</v>
      </c>
    </row>
    <row r="278" spans="1:19" x14ac:dyDescent="0.2">
      <c r="A278" s="17" t="s">
        <v>2064</v>
      </c>
      <c r="B278" s="1" t="s">
        <v>40</v>
      </c>
      <c r="C278" s="1" t="s">
        <v>543</v>
      </c>
      <c r="D278" s="2" t="s">
        <v>196</v>
      </c>
      <c r="E278" s="2" t="s">
        <v>477</v>
      </c>
      <c r="F278" s="2" t="s">
        <v>479</v>
      </c>
      <c r="G278" s="2" t="s">
        <v>1490</v>
      </c>
      <c r="H278" s="2">
        <v>11</v>
      </c>
      <c r="I278" s="3" t="s">
        <v>542</v>
      </c>
      <c r="J278" s="2" t="s">
        <v>543</v>
      </c>
      <c r="K278" s="2" t="s">
        <v>503</v>
      </c>
      <c r="L278" s="10" t="s">
        <v>1559</v>
      </c>
      <c r="S278" s="6" t="b">
        <f>C278='Plano de Contas'!C278</f>
        <v>1</v>
      </c>
    </row>
    <row r="279" spans="1:19" x14ac:dyDescent="0.2">
      <c r="A279" s="18" t="s">
        <v>2065</v>
      </c>
      <c r="B279" s="2" t="s">
        <v>54</v>
      </c>
      <c r="C279" s="2" t="s">
        <v>545</v>
      </c>
      <c r="D279" s="2" t="s">
        <v>196</v>
      </c>
      <c r="E279" s="2" t="s">
        <v>477</v>
      </c>
      <c r="F279" s="2" t="s">
        <v>479</v>
      </c>
      <c r="G279" s="2" t="s">
        <v>1490</v>
      </c>
      <c r="H279" s="2">
        <v>16</v>
      </c>
      <c r="I279" s="3" t="s">
        <v>1492</v>
      </c>
      <c r="J279" s="2" t="s">
        <v>543</v>
      </c>
      <c r="K279" s="2" t="s">
        <v>503</v>
      </c>
      <c r="L279" s="10" t="s">
        <v>1559</v>
      </c>
      <c r="S279" s="6" t="b">
        <f>C279='Plano de Contas'!C279</f>
        <v>1</v>
      </c>
    </row>
    <row r="280" spans="1:19" x14ac:dyDescent="0.2">
      <c r="A280" s="17" t="s">
        <v>2066</v>
      </c>
      <c r="B280" s="1" t="s">
        <v>40</v>
      </c>
      <c r="C280" s="1" t="s">
        <v>547</v>
      </c>
      <c r="D280" s="2" t="s">
        <v>196</v>
      </c>
      <c r="E280" s="2" t="s">
        <v>477</v>
      </c>
      <c r="F280" s="2" t="s">
        <v>479</v>
      </c>
      <c r="G280" s="2" t="s">
        <v>1490</v>
      </c>
      <c r="H280" s="2">
        <v>11</v>
      </c>
      <c r="I280" s="3" t="s">
        <v>546</v>
      </c>
      <c r="J280" s="2" t="s">
        <v>547</v>
      </c>
      <c r="K280" s="2" t="s">
        <v>503</v>
      </c>
      <c r="L280" s="10" t="s">
        <v>1558</v>
      </c>
      <c r="S280" s="6" t="b">
        <f>C280='Plano de Contas'!C280</f>
        <v>1</v>
      </c>
    </row>
    <row r="281" spans="1:19" x14ac:dyDescent="0.2">
      <c r="A281" s="18" t="s">
        <v>2067</v>
      </c>
      <c r="B281" s="2" t="s">
        <v>54</v>
      </c>
      <c r="C281" s="2" t="s">
        <v>549</v>
      </c>
      <c r="D281" s="2" t="s">
        <v>196</v>
      </c>
      <c r="E281" s="2" t="s">
        <v>477</v>
      </c>
      <c r="F281" s="2" t="s">
        <v>479</v>
      </c>
      <c r="G281" s="2" t="s">
        <v>1490</v>
      </c>
      <c r="H281" s="2">
        <v>16</v>
      </c>
      <c r="I281" s="3" t="s">
        <v>1492</v>
      </c>
      <c r="J281" s="2" t="s">
        <v>547</v>
      </c>
      <c r="K281" s="2" t="s">
        <v>503</v>
      </c>
      <c r="L281" s="10" t="s">
        <v>1558</v>
      </c>
      <c r="S281" s="6" t="b">
        <f>C281='Plano de Contas'!C281</f>
        <v>1</v>
      </c>
    </row>
    <row r="282" spans="1:19" x14ac:dyDescent="0.2">
      <c r="A282" s="17" t="s">
        <v>2068</v>
      </c>
      <c r="B282" s="1" t="s">
        <v>40</v>
      </c>
      <c r="C282" s="1" t="s">
        <v>551</v>
      </c>
      <c r="D282" s="2" t="s">
        <v>196</v>
      </c>
      <c r="E282" s="2" t="s">
        <v>477</v>
      </c>
      <c r="F282" s="2" t="s">
        <v>479</v>
      </c>
      <c r="G282" s="2" t="s">
        <v>1490</v>
      </c>
      <c r="H282" s="2">
        <v>11</v>
      </c>
      <c r="I282" s="3" t="s">
        <v>550</v>
      </c>
      <c r="J282" s="2" t="s">
        <v>551</v>
      </c>
      <c r="K282" s="2" t="s">
        <v>503</v>
      </c>
      <c r="L282" s="10" t="s">
        <v>1558</v>
      </c>
      <c r="S282" s="6" t="b">
        <f>C282='Plano de Contas'!C282</f>
        <v>1</v>
      </c>
    </row>
    <row r="283" spans="1:19" x14ac:dyDescent="0.2">
      <c r="A283" s="18" t="s">
        <v>2069</v>
      </c>
      <c r="B283" s="2" t="s">
        <v>54</v>
      </c>
      <c r="C283" s="2" t="s">
        <v>553</v>
      </c>
      <c r="D283" s="2" t="s">
        <v>196</v>
      </c>
      <c r="E283" s="2" t="s">
        <v>477</v>
      </c>
      <c r="F283" s="2" t="s">
        <v>479</v>
      </c>
      <c r="G283" s="2" t="s">
        <v>1490</v>
      </c>
      <c r="H283" s="2">
        <v>16</v>
      </c>
      <c r="I283" s="3" t="s">
        <v>1492</v>
      </c>
      <c r="J283" s="2" t="s">
        <v>551</v>
      </c>
      <c r="K283" s="2" t="s">
        <v>503</v>
      </c>
      <c r="L283" s="10" t="s">
        <v>1558</v>
      </c>
      <c r="S283" s="6" t="b">
        <f>C283='Plano de Contas'!C283</f>
        <v>1</v>
      </c>
    </row>
    <row r="284" spans="1:19" x14ac:dyDescent="0.2">
      <c r="A284" s="18" t="s">
        <v>2070</v>
      </c>
      <c r="B284" s="2" t="s">
        <v>54</v>
      </c>
      <c r="C284" s="2" t="s">
        <v>555</v>
      </c>
      <c r="D284" s="2" t="s">
        <v>196</v>
      </c>
      <c r="E284" s="2" t="s">
        <v>477</v>
      </c>
      <c r="F284" s="2" t="s">
        <v>479</v>
      </c>
      <c r="G284" s="2" t="s">
        <v>1490</v>
      </c>
      <c r="H284" s="2">
        <v>16</v>
      </c>
      <c r="I284" s="3" t="s">
        <v>1492</v>
      </c>
      <c r="J284" s="2" t="s">
        <v>551</v>
      </c>
      <c r="K284" s="2" t="s">
        <v>503</v>
      </c>
      <c r="L284" s="10" t="s">
        <v>1558</v>
      </c>
      <c r="S284" s="6" t="b">
        <f>C284='Plano de Contas'!C284</f>
        <v>1</v>
      </c>
    </row>
    <row r="285" spans="1:19" x14ac:dyDescent="0.2">
      <c r="A285" s="18" t="s">
        <v>2071</v>
      </c>
      <c r="B285" s="2" t="s">
        <v>54</v>
      </c>
      <c r="C285" s="2" t="s">
        <v>557</v>
      </c>
      <c r="D285" s="2" t="s">
        <v>196</v>
      </c>
      <c r="E285" s="2" t="s">
        <v>477</v>
      </c>
      <c r="F285" s="2" t="s">
        <v>479</v>
      </c>
      <c r="G285" s="2" t="s">
        <v>1490</v>
      </c>
      <c r="H285" s="2">
        <v>16</v>
      </c>
      <c r="I285" s="3" t="s">
        <v>1492</v>
      </c>
      <c r="J285" s="2" t="s">
        <v>551</v>
      </c>
      <c r="K285" s="2" t="s">
        <v>503</v>
      </c>
      <c r="L285" s="10" t="s">
        <v>1558</v>
      </c>
      <c r="S285" s="6" t="b">
        <f>C285='Plano de Contas'!C285</f>
        <v>1</v>
      </c>
    </row>
    <row r="286" spans="1:19" x14ac:dyDescent="0.2">
      <c r="A286" s="18" t="s">
        <v>2072</v>
      </c>
      <c r="B286" s="2" t="s">
        <v>54</v>
      </c>
      <c r="C286" s="2" t="s">
        <v>559</v>
      </c>
      <c r="D286" s="2" t="s">
        <v>196</v>
      </c>
      <c r="E286" s="2" t="s">
        <v>477</v>
      </c>
      <c r="F286" s="2" t="s">
        <v>479</v>
      </c>
      <c r="G286" s="2" t="s">
        <v>1490</v>
      </c>
      <c r="H286" s="2">
        <v>16</v>
      </c>
      <c r="I286" s="3" t="s">
        <v>1492</v>
      </c>
      <c r="J286" s="2" t="s">
        <v>551</v>
      </c>
      <c r="K286" s="2" t="s">
        <v>503</v>
      </c>
      <c r="L286" s="10" t="s">
        <v>1558</v>
      </c>
      <c r="S286" s="6" t="b">
        <f>C286='Plano de Contas'!C286</f>
        <v>1</v>
      </c>
    </row>
    <row r="287" spans="1:19" x14ac:dyDescent="0.2">
      <c r="A287" s="59">
        <v>21202050005</v>
      </c>
      <c r="B287" s="59" t="s">
        <v>54</v>
      </c>
      <c r="C287" s="59" t="s">
        <v>2921</v>
      </c>
      <c r="D287" s="59" t="s">
        <v>196</v>
      </c>
      <c r="E287" s="59" t="str">
        <f t="shared" ref="E287" si="6">LEFT(A287,1)</f>
        <v>2</v>
      </c>
      <c r="F287" s="59" t="s">
        <v>479</v>
      </c>
      <c r="G287" s="59" t="s">
        <v>1490</v>
      </c>
      <c r="H287" s="59">
        <f t="shared" ref="H287" si="7">LEN(A287)</f>
        <v>11</v>
      </c>
      <c r="I287" s="60">
        <f t="shared" ref="I287" si="8">IF(H287=11,A287,"-")</f>
        <v>21202050005</v>
      </c>
      <c r="J287" s="59" t="str">
        <f t="shared" ref="J287" si="9">IF(H287&lt;11,C287,IF(I287&lt;&gt;"-",C287,J286))</f>
        <v>IMPOSTOS SOBRE SERVIÇOS NO EXTERIOR</v>
      </c>
      <c r="K287" s="59" t="s">
        <v>503</v>
      </c>
      <c r="L287" s="61" t="s">
        <v>1558</v>
      </c>
      <c r="M287" s="62"/>
      <c r="N287" s="62"/>
      <c r="S287" s="6" t="b">
        <f>C287='Plano de Contas'!C287</f>
        <v>1</v>
      </c>
    </row>
    <row r="288" spans="1:19" x14ac:dyDescent="0.2">
      <c r="A288" s="17" t="s">
        <v>2073</v>
      </c>
      <c r="B288" s="1" t="s">
        <v>40</v>
      </c>
      <c r="C288" s="1" t="s">
        <v>561</v>
      </c>
      <c r="D288" s="2" t="s">
        <v>196</v>
      </c>
      <c r="E288" s="2" t="s">
        <v>477</v>
      </c>
      <c r="F288" s="2" t="s">
        <v>479</v>
      </c>
      <c r="G288" s="2" t="s">
        <v>1490</v>
      </c>
      <c r="H288" s="2">
        <v>8</v>
      </c>
      <c r="I288" s="3" t="s">
        <v>1492</v>
      </c>
      <c r="J288" s="2" t="s">
        <v>561</v>
      </c>
      <c r="K288" s="2" t="s">
        <v>503</v>
      </c>
      <c r="L288" s="10" t="s">
        <v>1558</v>
      </c>
      <c r="S288" s="6" t="b">
        <f>C288='Plano de Contas'!C288</f>
        <v>1</v>
      </c>
    </row>
    <row r="289" spans="1:19" x14ac:dyDescent="0.2">
      <c r="A289" s="17" t="s">
        <v>2074</v>
      </c>
      <c r="B289" s="1" t="s">
        <v>40</v>
      </c>
      <c r="C289" s="1" t="s">
        <v>563</v>
      </c>
      <c r="D289" s="2" t="s">
        <v>196</v>
      </c>
      <c r="E289" s="2" t="s">
        <v>477</v>
      </c>
      <c r="F289" s="2" t="s">
        <v>479</v>
      </c>
      <c r="G289" s="2" t="s">
        <v>1490</v>
      </c>
      <c r="H289" s="2">
        <v>11</v>
      </c>
      <c r="I289" s="3" t="s">
        <v>562</v>
      </c>
      <c r="J289" s="2" t="s">
        <v>563</v>
      </c>
      <c r="K289" s="2" t="s">
        <v>503</v>
      </c>
      <c r="L289" s="10" t="s">
        <v>1558</v>
      </c>
      <c r="S289" s="6" t="b">
        <f>C289='Plano de Contas'!C289</f>
        <v>1</v>
      </c>
    </row>
    <row r="290" spans="1:19" x14ac:dyDescent="0.2">
      <c r="A290" s="18" t="s">
        <v>2075</v>
      </c>
      <c r="B290" s="2" t="s">
        <v>54</v>
      </c>
      <c r="C290" s="2" t="s">
        <v>563</v>
      </c>
      <c r="D290" s="2" t="s">
        <v>196</v>
      </c>
      <c r="E290" s="2" t="s">
        <v>477</v>
      </c>
      <c r="F290" s="2" t="s">
        <v>479</v>
      </c>
      <c r="G290" s="2" t="s">
        <v>1490</v>
      </c>
      <c r="H290" s="2">
        <v>16</v>
      </c>
      <c r="I290" s="3" t="s">
        <v>1492</v>
      </c>
      <c r="J290" s="2" t="s">
        <v>563</v>
      </c>
      <c r="K290" s="2" t="s">
        <v>503</v>
      </c>
      <c r="L290" s="10" t="s">
        <v>1558</v>
      </c>
      <c r="S290" s="6" t="b">
        <f>C290='Plano de Contas'!C290</f>
        <v>1</v>
      </c>
    </row>
    <row r="291" spans="1:19" x14ac:dyDescent="0.2">
      <c r="A291" s="17" t="s">
        <v>2076</v>
      </c>
      <c r="B291" s="1" t="s">
        <v>40</v>
      </c>
      <c r="C291" s="1" t="s">
        <v>566</v>
      </c>
      <c r="D291" s="2" t="s">
        <v>196</v>
      </c>
      <c r="E291" s="2" t="s">
        <v>477</v>
      </c>
      <c r="F291" s="2" t="s">
        <v>479</v>
      </c>
      <c r="G291" s="2" t="s">
        <v>1490</v>
      </c>
      <c r="H291" s="2">
        <v>11</v>
      </c>
      <c r="I291" s="3" t="s">
        <v>565</v>
      </c>
      <c r="J291" s="2" t="s">
        <v>566</v>
      </c>
      <c r="K291" s="2" t="s">
        <v>503</v>
      </c>
      <c r="L291" s="10" t="s">
        <v>1558</v>
      </c>
      <c r="S291" s="6" t="b">
        <f>C291='Plano de Contas'!C291</f>
        <v>1</v>
      </c>
    </row>
    <row r="292" spans="1:19" x14ac:dyDescent="0.2">
      <c r="A292" s="18" t="s">
        <v>2077</v>
      </c>
      <c r="B292" s="2" t="s">
        <v>54</v>
      </c>
      <c r="C292" s="2" t="s">
        <v>566</v>
      </c>
      <c r="D292" s="2" t="s">
        <v>196</v>
      </c>
      <c r="E292" s="2" t="s">
        <v>477</v>
      </c>
      <c r="F292" s="2" t="s">
        <v>479</v>
      </c>
      <c r="G292" s="2" t="s">
        <v>1490</v>
      </c>
      <c r="H292" s="2">
        <v>16</v>
      </c>
      <c r="I292" s="3" t="s">
        <v>1492</v>
      </c>
      <c r="J292" s="2" t="s">
        <v>566</v>
      </c>
      <c r="K292" s="2" t="s">
        <v>503</v>
      </c>
      <c r="L292" s="10" t="s">
        <v>1558</v>
      </c>
      <c r="S292" s="6" t="b">
        <f>C292='Plano de Contas'!C292</f>
        <v>1</v>
      </c>
    </row>
    <row r="293" spans="1:19" x14ac:dyDescent="0.2">
      <c r="A293" s="17" t="s">
        <v>2078</v>
      </c>
      <c r="B293" s="1" t="s">
        <v>40</v>
      </c>
      <c r="C293" s="1" t="s">
        <v>569</v>
      </c>
      <c r="D293" s="2" t="s">
        <v>196</v>
      </c>
      <c r="E293" s="2" t="s">
        <v>477</v>
      </c>
      <c r="F293" s="2" t="s">
        <v>479</v>
      </c>
      <c r="G293" s="2" t="s">
        <v>1490</v>
      </c>
      <c r="H293" s="2">
        <v>5</v>
      </c>
      <c r="I293" s="3" t="s">
        <v>1492</v>
      </c>
      <c r="J293" s="2" t="s">
        <v>569</v>
      </c>
      <c r="K293" s="2" t="s">
        <v>570</v>
      </c>
      <c r="S293" s="6" t="b">
        <f>C293='Plano de Contas'!C293</f>
        <v>1</v>
      </c>
    </row>
    <row r="294" spans="1:19" x14ac:dyDescent="0.2">
      <c r="A294" s="17" t="s">
        <v>2079</v>
      </c>
      <c r="B294" s="1" t="s">
        <v>40</v>
      </c>
      <c r="C294" s="1" t="s">
        <v>572</v>
      </c>
      <c r="D294" s="2" t="s">
        <v>196</v>
      </c>
      <c r="E294" s="2" t="s">
        <v>477</v>
      </c>
      <c r="F294" s="2" t="s">
        <v>479</v>
      </c>
      <c r="G294" s="2" t="s">
        <v>1490</v>
      </c>
      <c r="H294" s="2">
        <v>8</v>
      </c>
      <c r="I294" s="3" t="s">
        <v>1492</v>
      </c>
      <c r="J294" s="2" t="s">
        <v>572</v>
      </c>
      <c r="K294" s="2" t="s">
        <v>570</v>
      </c>
      <c r="S294" s="6" t="b">
        <f>C294='Plano de Contas'!C294</f>
        <v>1</v>
      </c>
    </row>
    <row r="295" spans="1:19" x14ac:dyDescent="0.2">
      <c r="A295" s="17" t="s">
        <v>2080</v>
      </c>
      <c r="B295" s="1" t="s">
        <v>40</v>
      </c>
      <c r="C295" s="1" t="s">
        <v>572</v>
      </c>
      <c r="D295" s="2" t="s">
        <v>196</v>
      </c>
      <c r="E295" s="2" t="s">
        <v>477</v>
      </c>
      <c r="F295" s="2" t="s">
        <v>479</v>
      </c>
      <c r="G295" s="2" t="s">
        <v>1490</v>
      </c>
      <c r="H295" s="2">
        <v>11</v>
      </c>
      <c r="I295" s="3" t="s">
        <v>573</v>
      </c>
      <c r="J295" s="2" t="s">
        <v>572</v>
      </c>
      <c r="K295" s="2" t="s">
        <v>570</v>
      </c>
      <c r="S295" s="6" t="b">
        <f>C295='Plano de Contas'!C295</f>
        <v>1</v>
      </c>
    </row>
    <row r="296" spans="1:19" x14ac:dyDescent="0.2">
      <c r="A296" s="18" t="s">
        <v>2081</v>
      </c>
      <c r="B296" s="2" t="s">
        <v>54</v>
      </c>
      <c r="C296" s="2" t="s">
        <v>575</v>
      </c>
      <c r="D296" s="2" t="s">
        <v>196</v>
      </c>
      <c r="E296" s="2" t="s">
        <v>477</v>
      </c>
      <c r="F296" s="2" t="s">
        <v>479</v>
      </c>
      <c r="G296" s="2" t="s">
        <v>1490</v>
      </c>
      <c r="H296" s="2">
        <v>16</v>
      </c>
      <c r="I296" s="3" t="s">
        <v>1492</v>
      </c>
      <c r="J296" s="2" t="s">
        <v>572</v>
      </c>
      <c r="K296" s="2" t="s">
        <v>570</v>
      </c>
      <c r="L296" s="6" t="s">
        <v>1601</v>
      </c>
      <c r="S296" s="6" t="b">
        <f>C296='Plano de Contas'!C296</f>
        <v>1</v>
      </c>
    </row>
    <row r="297" spans="1:19" x14ac:dyDescent="0.2">
      <c r="A297" s="18" t="s">
        <v>2082</v>
      </c>
      <c r="B297" s="2" t="s">
        <v>54</v>
      </c>
      <c r="C297" s="2" t="s">
        <v>577</v>
      </c>
      <c r="D297" s="2" t="s">
        <v>196</v>
      </c>
      <c r="E297" s="2" t="s">
        <v>477</v>
      </c>
      <c r="F297" s="2" t="s">
        <v>479</v>
      </c>
      <c r="G297" s="2" t="s">
        <v>1490</v>
      </c>
      <c r="H297" s="2">
        <v>16</v>
      </c>
      <c r="I297" s="3" t="s">
        <v>1492</v>
      </c>
      <c r="J297" s="2" t="s">
        <v>572</v>
      </c>
      <c r="K297" s="2" t="s">
        <v>570</v>
      </c>
      <c r="L297" s="6" t="s">
        <v>1601</v>
      </c>
      <c r="S297" s="6" t="b">
        <f>C297='Plano de Contas'!C297</f>
        <v>1</v>
      </c>
    </row>
    <row r="298" spans="1:19" x14ac:dyDescent="0.2">
      <c r="A298" s="18" t="s">
        <v>2083</v>
      </c>
      <c r="B298" s="2" t="s">
        <v>54</v>
      </c>
      <c r="C298" s="2" t="s">
        <v>579</v>
      </c>
      <c r="D298" s="2" t="s">
        <v>196</v>
      </c>
      <c r="E298" s="2" t="s">
        <v>477</v>
      </c>
      <c r="F298" s="2" t="s">
        <v>479</v>
      </c>
      <c r="G298" s="2" t="s">
        <v>1490</v>
      </c>
      <c r="H298" s="2">
        <v>16</v>
      </c>
      <c r="I298" s="3" t="s">
        <v>1492</v>
      </c>
      <c r="J298" s="2" t="s">
        <v>572</v>
      </c>
      <c r="K298" s="2" t="s">
        <v>570</v>
      </c>
      <c r="L298" s="6" t="s">
        <v>1601</v>
      </c>
      <c r="S298" s="6" t="b">
        <f>C298='Plano de Contas'!C298</f>
        <v>1</v>
      </c>
    </row>
    <row r="299" spans="1:19" x14ac:dyDescent="0.2">
      <c r="A299" s="17" t="s">
        <v>2084</v>
      </c>
      <c r="B299" s="1" t="s">
        <v>40</v>
      </c>
      <c r="C299" s="1" t="s">
        <v>581</v>
      </c>
      <c r="D299" s="2" t="s">
        <v>196</v>
      </c>
      <c r="E299" s="2" t="s">
        <v>477</v>
      </c>
      <c r="F299" s="2" t="s">
        <v>479</v>
      </c>
      <c r="G299" s="2" t="s">
        <v>1490</v>
      </c>
      <c r="H299" s="2">
        <v>11</v>
      </c>
      <c r="I299" s="3" t="s">
        <v>580</v>
      </c>
      <c r="J299" s="2" t="s">
        <v>581</v>
      </c>
      <c r="K299" s="2" t="s">
        <v>570</v>
      </c>
      <c r="S299" s="6" t="b">
        <f>C299='Plano de Contas'!C299</f>
        <v>1</v>
      </c>
    </row>
    <row r="300" spans="1:19" x14ac:dyDescent="0.2">
      <c r="A300" s="18" t="s">
        <v>2085</v>
      </c>
      <c r="B300" s="2" t="s">
        <v>54</v>
      </c>
      <c r="C300" s="2" t="s">
        <v>583</v>
      </c>
      <c r="D300" s="2" t="s">
        <v>196</v>
      </c>
      <c r="E300" s="2" t="s">
        <v>477</v>
      </c>
      <c r="F300" s="2" t="s">
        <v>479</v>
      </c>
      <c r="G300" s="2" t="s">
        <v>1490</v>
      </c>
      <c r="H300" s="2">
        <v>16</v>
      </c>
      <c r="I300" s="3" t="s">
        <v>1492</v>
      </c>
      <c r="J300" s="2" t="s">
        <v>581</v>
      </c>
      <c r="K300" s="2" t="s">
        <v>570</v>
      </c>
      <c r="L300" s="6" t="s">
        <v>1601</v>
      </c>
      <c r="S300" s="6" t="b">
        <f>C300='Plano de Contas'!C300</f>
        <v>1</v>
      </c>
    </row>
    <row r="301" spans="1:19" x14ac:dyDescent="0.2">
      <c r="A301" s="18" t="s">
        <v>2086</v>
      </c>
      <c r="B301" s="2" t="s">
        <v>54</v>
      </c>
      <c r="C301" s="2" t="s">
        <v>585</v>
      </c>
      <c r="D301" s="2" t="s">
        <v>196</v>
      </c>
      <c r="E301" s="2" t="s">
        <v>477</v>
      </c>
      <c r="F301" s="2" t="s">
        <v>479</v>
      </c>
      <c r="G301" s="2" t="s">
        <v>1490</v>
      </c>
      <c r="H301" s="2">
        <v>16</v>
      </c>
      <c r="I301" s="3" t="s">
        <v>1492</v>
      </c>
      <c r="J301" s="2" t="s">
        <v>581</v>
      </c>
      <c r="K301" s="2" t="s">
        <v>570</v>
      </c>
      <c r="L301" s="6" t="s">
        <v>1601</v>
      </c>
      <c r="S301" s="6" t="b">
        <f>C301='Plano de Contas'!C301</f>
        <v>1</v>
      </c>
    </row>
    <row r="302" spans="1:19" x14ac:dyDescent="0.2">
      <c r="A302" s="18" t="s">
        <v>2087</v>
      </c>
      <c r="B302" s="2" t="s">
        <v>54</v>
      </c>
      <c r="C302" s="2" t="s">
        <v>587</v>
      </c>
      <c r="D302" s="2" t="s">
        <v>196</v>
      </c>
      <c r="E302" s="2" t="s">
        <v>477</v>
      </c>
      <c r="F302" s="2" t="s">
        <v>479</v>
      </c>
      <c r="G302" s="2" t="s">
        <v>1490</v>
      </c>
      <c r="H302" s="2">
        <v>16</v>
      </c>
      <c r="I302" s="3" t="s">
        <v>1492</v>
      </c>
      <c r="J302" s="2" t="s">
        <v>581</v>
      </c>
      <c r="K302" s="2" t="s">
        <v>570</v>
      </c>
      <c r="L302" s="6" t="s">
        <v>1601</v>
      </c>
      <c r="S302" s="6" t="b">
        <f>C302='Plano de Contas'!C302</f>
        <v>1</v>
      </c>
    </row>
    <row r="303" spans="1:19" x14ac:dyDescent="0.2">
      <c r="A303" s="18" t="s">
        <v>2088</v>
      </c>
      <c r="B303" s="2" t="s">
        <v>54</v>
      </c>
      <c r="C303" s="2" t="s">
        <v>589</v>
      </c>
      <c r="D303" s="2" t="s">
        <v>196</v>
      </c>
      <c r="E303" s="2" t="s">
        <v>477</v>
      </c>
      <c r="F303" s="2" t="s">
        <v>479</v>
      </c>
      <c r="G303" s="2" t="s">
        <v>1490</v>
      </c>
      <c r="H303" s="2">
        <v>16</v>
      </c>
      <c r="I303" s="3" t="s">
        <v>1492</v>
      </c>
      <c r="J303" s="2" t="s">
        <v>581</v>
      </c>
      <c r="K303" s="2" t="s">
        <v>570</v>
      </c>
      <c r="L303" s="6" t="s">
        <v>1601</v>
      </c>
      <c r="S303" s="6" t="b">
        <f>C303='Plano de Contas'!C303</f>
        <v>1</v>
      </c>
    </row>
    <row r="304" spans="1:19" x14ac:dyDescent="0.2">
      <c r="A304" s="17" t="s">
        <v>2089</v>
      </c>
      <c r="B304" s="1" t="s">
        <v>40</v>
      </c>
      <c r="C304" s="1" t="s">
        <v>591</v>
      </c>
      <c r="D304" s="2" t="s">
        <v>196</v>
      </c>
      <c r="E304" s="2" t="s">
        <v>477</v>
      </c>
      <c r="F304" s="2" t="s">
        <v>479</v>
      </c>
      <c r="G304" s="2" t="s">
        <v>1490</v>
      </c>
      <c r="H304" s="2">
        <v>11</v>
      </c>
      <c r="I304" s="3" t="s">
        <v>590</v>
      </c>
      <c r="J304" s="2" t="s">
        <v>591</v>
      </c>
      <c r="K304" s="2" t="s">
        <v>570</v>
      </c>
      <c r="S304" s="6" t="b">
        <f>C304='Plano de Contas'!C304</f>
        <v>1</v>
      </c>
    </row>
    <row r="305" spans="1:19" x14ac:dyDescent="0.2">
      <c r="A305" s="18" t="s">
        <v>2090</v>
      </c>
      <c r="B305" s="2" t="s">
        <v>54</v>
      </c>
      <c r="C305" s="2" t="s">
        <v>591</v>
      </c>
      <c r="D305" s="2" t="s">
        <v>196</v>
      </c>
      <c r="E305" s="2" t="s">
        <v>477</v>
      </c>
      <c r="F305" s="2" t="s">
        <v>479</v>
      </c>
      <c r="G305" s="2" t="s">
        <v>1490</v>
      </c>
      <c r="H305" s="2">
        <v>16</v>
      </c>
      <c r="I305" s="3" t="s">
        <v>1492</v>
      </c>
      <c r="J305" s="2" t="s">
        <v>591</v>
      </c>
      <c r="K305" s="2" t="s">
        <v>570</v>
      </c>
      <c r="L305" s="6" t="s">
        <v>1601</v>
      </c>
      <c r="S305" s="6" t="b">
        <f>C305='Plano de Contas'!C305</f>
        <v>1</v>
      </c>
    </row>
    <row r="306" spans="1:19" x14ac:dyDescent="0.2">
      <c r="A306" s="17" t="s">
        <v>2091</v>
      </c>
      <c r="B306" s="1" t="s">
        <v>40</v>
      </c>
      <c r="C306" s="1" t="s">
        <v>594</v>
      </c>
      <c r="D306" s="2" t="s">
        <v>196</v>
      </c>
      <c r="E306" s="2" t="s">
        <v>477</v>
      </c>
      <c r="F306" s="2" t="s">
        <v>479</v>
      </c>
      <c r="G306" s="2" t="s">
        <v>1490</v>
      </c>
      <c r="H306" s="2">
        <v>11</v>
      </c>
      <c r="I306" s="3" t="s">
        <v>593</v>
      </c>
      <c r="J306" s="2" t="s">
        <v>594</v>
      </c>
      <c r="K306" s="2" t="s">
        <v>570</v>
      </c>
      <c r="S306" s="6" t="b">
        <f>C306='Plano de Contas'!C306</f>
        <v>1</v>
      </c>
    </row>
    <row r="307" spans="1:19" x14ac:dyDescent="0.2">
      <c r="A307" s="18" t="s">
        <v>2092</v>
      </c>
      <c r="B307" s="2" t="s">
        <v>54</v>
      </c>
      <c r="C307" s="2" t="s">
        <v>594</v>
      </c>
      <c r="D307" s="2" t="s">
        <v>196</v>
      </c>
      <c r="E307" s="2" t="s">
        <v>477</v>
      </c>
      <c r="F307" s="2" t="s">
        <v>479</v>
      </c>
      <c r="G307" s="2" t="s">
        <v>1490</v>
      </c>
      <c r="H307" s="2">
        <v>16</v>
      </c>
      <c r="I307" s="3" t="s">
        <v>1492</v>
      </c>
      <c r="J307" s="2" t="s">
        <v>594</v>
      </c>
      <c r="K307" s="2" t="s">
        <v>570</v>
      </c>
      <c r="L307" s="6" t="s">
        <v>1601</v>
      </c>
      <c r="S307" s="6" t="b">
        <f>C307='Plano de Contas'!C307</f>
        <v>1</v>
      </c>
    </row>
    <row r="308" spans="1:19" s="2" customFormat="1" x14ac:dyDescent="0.2">
      <c r="A308" s="18" t="s">
        <v>2093</v>
      </c>
      <c r="B308" s="2" t="s">
        <v>40</v>
      </c>
      <c r="C308" s="2" t="s">
        <v>597</v>
      </c>
      <c r="D308" s="2" t="s">
        <v>196</v>
      </c>
      <c r="E308" s="2" t="s">
        <v>477</v>
      </c>
      <c r="F308" s="2" t="s">
        <v>479</v>
      </c>
      <c r="G308" s="2" t="s">
        <v>1490</v>
      </c>
      <c r="H308" s="2">
        <v>11</v>
      </c>
      <c r="I308" s="3" t="s">
        <v>596</v>
      </c>
      <c r="J308" s="2" t="s">
        <v>597</v>
      </c>
      <c r="K308" s="2" t="s">
        <v>570</v>
      </c>
      <c r="L308" s="6" t="s">
        <v>1601</v>
      </c>
      <c r="S308" s="6" t="b">
        <f>C308='Plano de Contas'!C308</f>
        <v>1</v>
      </c>
    </row>
    <row r="309" spans="1:19" s="2" customFormat="1" x14ac:dyDescent="0.2">
      <c r="A309" s="18" t="s">
        <v>2094</v>
      </c>
      <c r="B309" s="2" t="s">
        <v>54</v>
      </c>
      <c r="C309" s="2" t="s">
        <v>599</v>
      </c>
      <c r="D309" s="2" t="s">
        <v>196</v>
      </c>
      <c r="E309" s="2" t="s">
        <v>477</v>
      </c>
      <c r="F309" s="2" t="s">
        <v>479</v>
      </c>
      <c r="G309" s="2" t="s">
        <v>1490</v>
      </c>
      <c r="H309" s="2">
        <v>16</v>
      </c>
      <c r="I309" s="3" t="s">
        <v>1492</v>
      </c>
      <c r="J309" s="2" t="s">
        <v>597</v>
      </c>
      <c r="K309" s="2" t="s">
        <v>570</v>
      </c>
      <c r="L309" s="6" t="s">
        <v>1601</v>
      </c>
      <c r="S309" s="6" t="b">
        <f>C309='Plano de Contas'!C309</f>
        <v>1</v>
      </c>
    </row>
    <row r="310" spans="1:19" s="2" customFormat="1" x14ac:dyDescent="0.2">
      <c r="A310" s="18" t="s">
        <v>2095</v>
      </c>
      <c r="B310" s="2" t="s">
        <v>40</v>
      </c>
      <c r="C310" s="2" t="s">
        <v>601</v>
      </c>
      <c r="D310" s="2" t="s">
        <v>42</v>
      </c>
      <c r="E310" s="2" t="s">
        <v>477</v>
      </c>
      <c r="F310" s="2" t="s">
        <v>479</v>
      </c>
      <c r="G310" s="2" t="s">
        <v>1490</v>
      </c>
      <c r="H310" s="2">
        <v>11</v>
      </c>
      <c r="I310" s="3" t="s">
        <v>600</v>
      </c>
      <c r="J310" s="2" t="s">
        <v>601</v>
      </c>
      <c r="K310" s="2" t="s">
        <v>570</v>
      </c>
      <c r="L310" s="6" t="s">
        <v>1601</v>
      </c>
      <c r="S310" s="6" t="b">
        <f>C310='Plano de Contas'!C310</f>
        <v>1</v>
      </c>
    </row>
    <row r="311" spans="1:19" s="2" customFormat="1" x14ac:dyDescent="0.2">
      <c r="A311" s="18" t="s">
        <v>2096</v>
      </c>
      <c r="B311" s="2" t="s">
        <v>54</v>
      </c>
      <c r="C311" s="2" t="s">
        <v>601</v>
      </c>
      <c r="D311" s="2" t="s">
        <v>42</v>
      </c>
      <c r="E311" s="2" t="s">
        <v>477</v>
      </c>
      <c r="F311" s="2" t="s">
        <v>479</v>
      </c>
      <c r="G311" s="2" t="s">
        <v>1490</v>
      </c>
      <c r="H311" s="2">
        <v>16</v>
      </c>
      <c r="I311" s="3" t="s">
        <v>1492</v>
      </c>
      <c r="J311" s="2" t="s">
        <v>601</v>
      </c>
      <c r="K311" s="2" t="s">
        <v>570</v>
      </c>
      <c r="L311" s="6" t="s">
        <v>1601</v>
      </c>
      <c r="S311" s="6" t="b">
        <f>C311='Plano de Contas'!C311</f>
        <v>1</v>
      </c>
    </row>
    <row r="312" spans="1:19" x14ac:dyDescent="0.2">
      <c r="A312" s="17" t="s">
        <v>2097</v>
      </c>
      <c r="B312" s="1" t="s">
        <v>40</v>
      </c>
      <c r="C312" s="1" t="s">
        <v>604</v>
      </c>
      <c r="D312" s="2" t="s">
        <v>196</v>
      </c>
      <c r="E312" s="2" t="s">
        <v>477</v>
      </c>
      <c r="F312" s="2" t="s">
        <v>479</v>
      </c>
      <c r="G312" s="2" t="s">
        <v>1490</v>
      </c>
      <c r="H312" s="2">
        <v>8</v>
      </c>
      <c r="I312" s="3" t="s">
        <v>1492</v>
      </c>
      <c r="J312" s="2" t="s">
        <v>604</v>
      </c>
      <c r="K312" s="2" t="s">
        <v>570</v>
      </c>
      <c r="S312" s="6" t="b">
        <f>C312='Plano de Contas'!C312</f>
        <v>1</v>
      </c>
    </row>
    <row r="313" spans="1:19" x14ac:dyDescent="0.2">
      <c r="A313" s="17" t="s">
        <v>2098</v>
      </c>
      <c r="B313" s="1" t="s">
        <v>40</v>
      </c>
      <c r="C313" s="1" t="s">
        <v>604</v>
      </c>
      <c r="D313" s="2" t="s">
        <v>196</v>
      </c>
      <c r="E313" s="2" t="s">
        <v>477</v>
      </c>
      <c r="F313" s="2" t="s">
        <v>479</v>
      </c>
      <c r="G313" s="2" t="s">
        <v>1490</v>
      </c>
      <c r="H313" s="2">
        <v>11</v>
      </c>
      <c r="I313" s="3" t="s">
        <v>605</v>
      </c>
      <c r="J313" s="2" t="s">
        <v>604</v>
      </c>
      <c r="K313" s="2" t="s">
        <v>570</v>
      </c>
      <c r="S313" s="6" t="b">
        <f>C313='Plano de Contas'!C313</f>
        <v>1</v>
      </c>
    </row>
    <row r="314" spans="1:19" x14ac:dyDescent="0.2">
      <c r="A314" s="18" t="s">
        <v>2099</v>
      </c>
      <c r="B314" s="2" t="s">
        <v>54</v>
      </c>
      <c r="C314" s="2" t="s">
        <v>604</v>
      </c>
      <c r="D314" s="2" t="s">
        <v>196</v>
      </c>
      <c r="E314" s="2" t="s">
        <v>477</v>
      </c>
      <c r="F314" s="2" t="s">
        <v>479</v>
      </c>
      <c r="G314" s="2" t="s">
        <v>1490</v>
      </c>
      <c r="H314" s="2">
        <v>16</v>
      </c>
      <c r="I314" s="3" t="s">
        <v>1492</v>
      </c>
      <c r="J314" s="2" t="s">
        <v>604</v>
      </c>
      <c r="K314" s="2" t="s">
        <v>570</v>
      </c>
      <c r="L314" s="6" t="s">
        <v>1601</v>
      </c>
      <c r="S314" s="6" t="b">
        <f>C314='Plano de Contas'!C314</f>
        <v>1</v>
      </c>
    </row>
    <row r="315" spans="1:19" x14ac:dyDescent="0.2">
      <c r="A315" s="18" t="s">
        <v>2100</v>
      </c>
      <c r="B315" s="2" t="s">
        <v>54</v>
      </c>
      <c r="C315" s="2" t="s">
        <v>608</v>
      </c>
      <c r="D315" s="2" t="s">
        <v>196</v>
      </c>
      <c r="E315" s="2" t="s">
        <v>477</v>
      </c>
      <c r="F315" s="2" t="s">
        <v>479</v>
      </c>
      <c r="G315" s="2" t="s">
        <v>1490</v>
      </c>
      <c r="H315" s="2">
        <v>16</v>
      </c>
      <c r="I315" s="3" t="s">
        <v>1492</v>
      </c>
      <c r="J315" s="2" t="s">
        <v>604</v>
      </c>
      <c r="K315" s="2" t="s">
        <v>570</v>
      </c>
      <c r="L315" s="6" t="s">
        <v>1601</v>
      </c>
      <c r="S315" s="6" t="b">
        <f>C315='Plano de Contas'!C315</f>
        <v>1</v>
      </c>
    </row>
    <row r="316" spans="1:19" x14ac:dyDescent="0.2">
      <c r="A316" s="18" t="s">
        <v>2101</v>
      </c>
      <c r="B316" s="2" t="s">
        <v>54</v>
      </c>
      <c r="C316" s="2" t="s">
        <v>610</v>
      </c>
      <c r="D316" s="2" t="s">
        <v>196</v>
      </c>
      <c r="E316" s="2" t="s">
        <v>477</v>
      </c>
      <c r="F316" s="2" t="s">
        <v>479</v>
      </c>
      <c r="G316" s="2" t="s">
        <v>1490</v>
      </c>
      <c r="H316" s="2">
        <v>16</v>
      </c>
      <c r="I316" s="3" t="s">
        <v>1492</v>
      </c>
      <c r="J316" s="2" t="s">
        <v>604</v>
      </c>
      <c r="K316" s="2" t="s">
        <v>570</v>
      </c>
      <c r="L316" s="6" t="s">
        <v>1601</v>
      </c>
      <c r="S316" s="6" t="b">
        <f>C316='Plano de Contas'!C316</f>
        <v>1</v>
      </c>
    </row>
    <row r="317" spans="1:19" x14ac:dyDescent="0.2">
      <c r="A317" s="18" t="s">
        <v>2102</v>
      </c>
      <c r="B317" s="2" t="s">
        <v>54</v>
      </c>
      <c r="C317" s="2" t="s">
        <v>612</v>
      </c>
      <c r="D317" s="2" t="s">
        <v>196</v>
      </c>
      <c r="E317" s="2" t="s">
        <v>477</v>
      </c>
      <c r="F317" s="2" t="s">
        <v>479</v>
      </c>
      <c r="G317" s="2" t="s">
        <v>1490</v>
      </c>
      <c r="H317" s="2">
        <v>16</v>
      </c>
      <c r="I317" s="3" t="s">
        <v>1492</v>
      </c>
      <c r="J317" s="2" t="s">
        <v>604</v>
      </c>
      <c r="K317" s="2" t="s">
        <v>570</v>
      </c>
      <c r="L317" s="6" t="s">
        <v>1601</v>
      </c>
      <c r="S317" s="6" t="b">
        <f>C317='Plano de Contas'!C317</f>
        <v>1</v>
      </c>
    </row>
    <row r="318" spans="1:19" x14ac:dyDescent="0.2">
      <c r="A318" s="18" t="s">
        <v>2103</v>
      </c>
      <c r="B318" s="2" t="s">
        <v>54</v>
      </c>
      <c r="C318" s="2" t="s">
        <v>614</v>
      </c>
      <c r="D318" s="2" t="s">
        <v>196</v>
      </c>
      <c r="E318" s="2" t="s">
        <v>477</v>
      </c>
      <c r="F318" s="2" t="s">
        <v>479</v>
      </c>
      <c r="G318" s="2" t="s">
        <v>1490</v>
      </c>
      <c r="H318" s="2">
        <v>16</v>
      </c>
      <c r="I318" s="3" t="s">
        <v>1492</v>
      </c>
      <c r="J318" s="2" t="s">
        <v>604</v>
      </c>
      <c r="K318" s="2" t="s">
        <v>570</v>
      </c>
      <c r="L318" s="6" t="s">
        <v>1601</v>
      </c>
      <c r="S318" s="6" t="b">
        <f>C318='Plano de Contas'!C318</f>
        <v>1</v>
      </c>
    </row>
    <row r="319" spans="1:19" x14ac:dyDescent="0.2">
      <c r="A319" s="17" t="s">
        <v>2104</v>
      </c>
      <c r="B319" s="1" t="s">
        <v>40</v>
      </c>
      <c r="C319" s="1" t="s">
        <v>616</v>
      </c>
      <c r="D319" s="2" t="s">
        <v>196</v>
      </c>
      <c r="E319" s="2" t="s">
        <v>477</v>
      </c>
      <c r="F319" s="2" t="s">
        <v>479</v>
      </c>
      <c r="G319" s="2" t="s">
        <v>1490</v>
      </c>
      <c r="H319" s="2">
        <v>8</v>
      </c>
      <c r="I319" s="3" t="s">
        <v>1492</v>
      </c>
      <c r="J319" s="2" t="s">
        <v>616</v>
      </c>
      <c r="K319" s="2" t="s">
        <v>570</v>
      </c>
      <c r="S319" s="6" t="b">
        <f>C319='Plano de Contas'!C319</f>
        <v>1</v>
      </c>
    </row>
    <row r="320" spans="1:19" x14ac:dyDescent="0.2">
      <c r="A320" s="17" t="s">
        <v>2105</v>
      </c>
      <c r="B320" s="1" t="s">
        <v>40</v>
      </c>
      <c r="C320" s="1" t="s">
        <v>616</v>
      </c>
      <c r="D320" s="2" t="s">
        <v>196</v>
      </c>
      <c r="E320" s="2" t="s">
        <v>477</v>
      </c>
      <c r="F320" s="2" t="s">
        <v>479</v>
      </c>
      <c r="G320" s="2" t="s">
        <v>1490</v>
      </c>
      <c r="H320" s="2">
        <v>11</v>
      </c>
      <c r="I320" s="3" t="s">
        <v>617</v>
      </c>
      <c r="J320" s="2" t="s">
        <v>616</v>
      </c>
      <c r="K320" s="2" t="s">
        <v>570</v>
      </c>
      <c r="S320" s="6" t="b">
        <f>C320='Plano de Contas'!C320</f>
        <v>1</v>
      </c>
    </row>
    <row r="321" spans="1:19" x14ac:dyDescent="0.2">
      <c r="A321" s="18" t="s">
        <v>2106</v>
      </c>
      <c r="B321" s="2" t="s">
        <v>54</v>
      </c>
      <c r="C321" s="2" t="s">
        <v>619</v>
      </c>
      <c r="D321" s="2" t="s">
        <v>196</v>
      </c>
      <c r="E321" s="2" t="s">
        <v>477</v>
      </c>
      <c r="F321" s="2" t="s">
        <v>479</v>
      </c>
      <c r="G321" s="2" t="s">
        <v>1490</v>
      </c>
      <c r="H321" s="2">
        <v>16</v>
      </c>
      <c r="I321" s="3" t="s">
        <v>1492</v>
      </c>
      <c r="J321" s="2" t="s">
        <v>616</v>
      </c>
      <c r="K321" s="2" t="s">
        <v>570</v>
      </c>
      <c r="L321" s="6" t="s">
        <v>1601</v>
      </c>
      <c r="S321" s="6" t="b">
        <f>C321='Plano de Contas'!C321</f>
        <v>1</v>
      </c>
    </row>
    <row r="322" spans="1:19" x14ac:dyDescent="0.2">
      <c r="A322" s="18" t="s">
        <v>2107</v>
      </c>
      <c r="B322" s="2" t="s">
        <v>54</v>
      </c>
      <c r="C322" s="2" t="s">
        <v>621</v>
      </c>
      <c r="D322" s="2" t="s">
        <v>196</v>
      </c>
      <c r="E322" s="2" t="s">
        <v>477</v>
      </c>
      <c r="F322" s="2" t="s">
        <v>479</v>
      </c>
      <c r="G322" s="2" t="s">
        <v>1490</v>
      </c>
      <c r="H322" s="2">
        <v>16</v>
      </c>
      <c r="I322" s="3" t="s">
        <v>1492</v>
      </c>
      <c r="J322" s="2" t="s">
        <v>616</v>
      </c>
      <c r="K322" s="2" t="s">
        <v>570</v>
      </c>
      <c r="L322" s="6" t="s">
        <v>1601</v>
      </c>
      <c r="S322" s="6" t="b">
        <f>C322='Plano de Contas'!C322</f>
        <v>1</v>
      </c>
    </row>
    <row r="323" spans="1:19" x14ac:dyDescent="0.2">
      <c r="A323" s="18" t="s">
        <v>2108</v>
      </c>
      <c r="B323" s="2" t="s">
        <v>54</v>
      </c>
      <c r="C323" s="2" t="s">
        <v>623</v>
      </c>
      <c r="D323" s="2" t="s">
        <v>196</v>
      </c>
      <c r="E323" s="2" t="s">
        <v>477</v>
      </c>
      <c r="F323" s="2" t="s">
        <v>479</v>
      </c>
      <c r="G323" s="2" t="s">
        <v>1490</v>
      </c>
      <c r="H323" s="2">
        <v>16</v>
      </c>
      <c r="I323" s="3" t="s">
        <v>1492</v>
      </c>
      <c r="J323" s="2" t="s">
        <v>616</v>
      </c>
      <c r="K323" s="2" t="s">
        <v>570</v>
      </c>
      <c r="L323" s="6" t="s">
        <v>1601</v>
      </c>
      <c r="S323" s="6" t="b">
        <f>C323='Plano de Contas'!C323</f>
        <v>1</v>
      </c>
    </row>
    <row r="324" spans="1:19" x14ac:dyDescent="0.2">
      <c r="A324" s="18" t="s">
        <v>2109</v>
      </c>
      <c r="B324" s="2" t="s">
        <v>54</v>
      </c>
      <c r="C324" s="6" t="s">
        <v>625</v>
      </c>
      <c r="D324" s="2" t="s">
        <v>196</v>
      </c>
      <c r="E324" s="2" t="s">
        <v>477</v>
      </c>
      <c r="F324" s="2" t="s">
        <v>479</v>
      </c>
      <c r="G324" s="2" t="s">
        <v>1490</v>
      </c>
      <c r="H324" s="2">
        <v>16</v>
      </c>
      <c r="I324" s="3" t="s">
        <v>1492</v>
      </c>
      <c r="J324" s="2" t="s">
        <v>616</v>
      </c>
      <c r="K324" s="2" t="s">
        <v>570</v>
      </c>
      <c r="L324" s="6" t="s">
        <v>1601</v>
      </c>
      <c r="S324" s="6" t="b">
        <f>C324='Plano de Contas'!C324</f>
        <v>1</v>
      </c>
    </row>
    <row r="325" spans="1:19" x14ac:dyDescent="0.2">
      <c r="A325" s="17" t="s">
        <v>2110</v>
      </c>
      <c r="B325" s="1" t="s">
        <v>40</v>
      </c>
      <c r="C325" s="1" t="s">
        <v>627</v>
      </c>
      <c r="D325" s="2" t="s">
        <v>196</v>
      </c>
      <c r="E325" s="2" t="s">
        <v>477</v>
      </c>
      <c r="F325" s="2" t="s">
        <v>479</v>
      </c>
      <c r="G325" s="2" t="s">
        <v>1490</v>
      </c>
      <c r="H325" s="2">
        <v>5</v>
      </c>
      <c r="I325" s="3" t="s">
        <v>1492</v>
      </c>
      <c r="J325" s="2" t="s">
        <v>627</v>
      </c>
      <c r="K325" s="2" t="s">
        <v>1494</v>
      </c>
      <c r="S325" s="6" t="b">
        <f>C325='Plano de Contas'!C325</f>
        <v>1</v>
      </c>
    </row>
    <row r="326" spans="1:19" x14ac:dyDescent="0.2">
      <c r="A326" s="17" t="s">
        <v>2111</v>
      </c>
      <c r="B326" s="1" t="s">
        <v>40</v>
      </c>
      <c r="C326" s="1" t="s">
        <v>627</v>
      </c>
      <c r="D326" s="2" t="s">
        <v>196</v>
      </c>
      <c r="E326" s="2" t="s">
        <v>477</v>
      </c>
      <c r="F326" s="2" t="s">
        <v>479</v>
      </c>
      <c r="G326" s="2" t="s">
        <v>1490</v>
      </c>
      <c r="H326" s="2">
        <v>8</v>
      </c>
      <c r="I326" s="3" t="s">
        <v>1492</v>
      </c>
      <c r="J326" s="2" t="s">
        <v>627</v>
      </c>
      <c r="K326" s="2" t="s">
        <v>1494</v>
      </c>
      <c r="S326" s="6" t="b">
        <f>C326='Plano de Contas'!C326</f>
        <v>1</v>
      </c>
    </row>
    <row r="327" spans="1:19" x14ac:dyDescent="0.2">
      <c r="A327" s="17" t="s">
        <v>2112</v>
      </c>
      <c r="B327" s="1" t="s">
        <v>40</v>
      </c>
      <c r="C327" s="1" t="s">
        <v>627</v>
      </c>
      <c r="D327" s="2" t="s">
        <v>196</v>
      </c>
      <c r="E327" s="2" t="s">
        <v>477</v>
      </c>
      <c r="F327" s="2" t="s">
        <v>479</v>
      </c>
      <c r="G327" s="2" t="s">
        <v>1490</v>
      </c>
      <c r="H327" s="2">
        <v>11</v>
      </c>
      <c r="I327" s="3" t="s">
        <v>629</v>
      </c>
      <c r="J327" s="2" t="s">
        <v>627</v>
      </c>
      <c r="K327" s="2" t="s">
        <v>1494</v>
      </c>
      <c r="S327" s="6" t="b">
        <f>C327='Plano de Contas'!C327</f>
        <v>1</v>
      </c>
    </row>
    <row r="328" spans="1:19" x14ac:dyDescent="0.2">
      <c r="A328" s="18" t="s">
        <v>2113</v>
      </c>
      <c r="B328" s="2" t="s">
        <v>54</v>
      </c>
      <c r="C328" s="2" t="s">
        <v>631</v>
      </c>
      <c r="D328" s="2" t="s">
        <v>196</v>
      </c>
      <c r="E328" s="2" t="s">
        <v>477</v>
      </c>
      <c r="F328" s="2" t="s">
        <v>479</v>
      </c>
      <c r="G328" s="2" t="s">
        <v>1490</v>
      </c>
      <c r="H328" s="2">
        <v>16</v>
      </c>
      <c r="I328" s="3" t="s">
        <v>1492</v>
      </c>
      <c r="J328" s="2" t="s">
        <v>627</v>
      </c>
      <c r="K328" s="2" t="s">
        <v>1494</v>
      </c>
      <c r="L328" s="6" t="s">
        <v>1557</v>
      </c>
      <c r="M328" s="6" t="s">
        <v>1530</v>
      </c>
      <c r="S328" s="6" t="b">
        <f>C328='Plano de Contas'!C328</f>
        <v>1</v>
      </c>
    </row>
    <row r="329" spans="1:19" x14ac:dyDescent="0.2">
      <c r="A329" s="18" t="s">
        <v>2114</v>
      </c>
      <c r="B329" s="2" t="s">
        <v>54</v>
      </c>
      <c r="C329" s="2" t="s">
        <v>633</v>
      </c>
      <c r="D329" s="2" t="s">
        <v>196</v>
      </c>
      <c r="E329" s="2" t="s">
        <v>477</v>
      </c>
      <c r="F329" s="2" t="s">
        <v>479</v>
      </c>
      <c r="G329" s="2" t="s">
        <v>1490</v>
      </c>
      <c r="H329" s="2">
        <v>16</v>
      </c>
      <c r="I329" s="3" t="s">
        <v>1492</v>
      </c>
      <c r="J329" s="2" t="s">
        <v>627</v>
      </c>
      <c r="K329" s="2" t="s">
        <v>1494</v>
      </c>
      <c r="L329" s="6" t="s">
        <v>1557</v>
      </c>
      <c r="M329" s="6" t="s">
        <v>1531</v>
      </c>
      <c r="S329" s="6" t="b">
        <f>C329='Plano de Contas'!C329</f>
        <v>1</v>
      </c>
    </row>
    <row r="330" spans="1:19" x14ac:dyDescent="0.2">
      <c r="A330" s="18" t="s">
        <v>2115</v>
      </c>
      <c r="B330" s="2" t="s">
        <v>54</v>
      </c>
      <c r="C330" s="2" t="s">
        <v>635</v>
      </c>
      <c r="D330" s="2" t="s">
        <v>196</v>
      </c>
      <c r="E330" s="2" t="s">
        <v>477</v>
      </c>
      <c r="F330" s="2" t="s">
        <v>479</v>
      </c>
      <c r="G330" s="2" t="s">
        <v>1490</v>
      </c>
      <c r="H330" s="2">
        <v>16</v>
      </c>
      <c r="I330" s="3" t="s">
        <v>1492</v>
      </c>
      <c r="J330" s="2" t="s">
        <v>627</v>
      </c>
      <c r="K330" s="2" t="s">
        <v>1494</v>
      </c>
      <c r="L330" s="6" t="s">
        <v>1557</v>
      </c>
      <c r="M330" s="6" t="s">
        <v>1532</v>
      </c>
      <c r="S330" s="6" t="b">
        <f>C330='Plano de Contas'!C330</f>
        <v>1</v>
      </c>
    </row>
    <row r="331" spans="1:19" x14ac:dyDescent="0.2">
      <c r="A331" s="18" t="s">
        <v>2116</v>
      </c>
      <c r="B331" s="2" t="s">
        <v>54</v>
      </c>
      <c r="C331" s="2" t="s">
        <v>637</v>
      </c>
      <c r="D331" s="2" t="s">
        <v>196</v>
      </c>
      <c r="E331" s="2" t="s">
        <v>477</v>
      </c>
      <c r="F331" s="2" t="s">
        <v>479</v>
      </c>
      <c r="G331" s="2" t="s">
        <v>1490</v>
      </c>
      <c r="H331" s="2">
        <v>16</v>
      </c>
      <c r="I331" s="3" t="s">
        <v>1492</v>
      </c>
      <c r="J331" s="2" t="s">
        <v>627</v>
      </c>
      <c r="K331" s="2" t="s">
        <v>1494</v>
      </c>
      <c r="L331" s="6" t="s">
        <v>1557</v>
      </c>
      <c r="M331" s="6" t="s">
        <v>1533</v>
      </c>
      <c r="S331" s="6" t="b">
        <f>C331='Plano de Contas'!C331</f>
        <v>1</v>
      </c>
    </row>
    <row r="332" spans="1:19" x14ac:dyDescent="0.2">
      <c r="A332" s="18" t="s">
        <v>2117</v>
      </c>
      <c r="B332" s="2" t="s">
        <v>54</v>
      </c>
      <c r="C332" s="2" t="s">
        <v>639</v>
      </c>
      <c r="D332" s="2" t="s">
        <v>196</v>
      </c>
      <c r="E332" s="2" t="s">
        <v>477</v>
      </c>
      <c r="F332" s="2" t="s">
        <v>479</v>
      </c>
      <c r="G332" s="2" t="s">
        <v>1490</v>
      </c>
      <c r="H332" s="2">
        <v>16</v>
      </c>
      <c r="I332" s="3" t="s">
        <v>1492</v>
      </c>
      <c r="J332" s="2" t="s">
        <v>627</v>
      </c>
      <c r="K332" s="2" t="s">
        <v>1494</v>
      </c>
      <c r="L332" s="6" t="s">
        <v>1557</v>
      </c>
      <c r="M332" s="6" t="s">
        <v>1534</v>
      </c>
      <c r="S332" s="6" t="b">
        <f>C332='Plano de Contas'!C332</f>
        <v>1</v>
      </c>
    </row>
    <row r="333" spans="1:19" x14ac:dyDescent="0.2">
      <c r="A333" s="18" t="s">
        <v>2118</v>
      </c>
      <c r="B333" s="2" t="s">
        <v>54</v>
      </c>
      <c r="C333" s="2" t="s">
        <v>641</v>
      </c>
      <c r="D333" s="2" t="s">
        <v>196</v>
      </c>
      <c r="E333" s="2" t="s">
        <v>477</v>
      </c>
      <c r="F333" s="2" t="s">
        <v>479</v>
      </c>
      <c r="G333" s="2" t="s">
        <v>1490</v>
      </c>
      <c r="H333" s="2">
        <v>16</v>
      </c>
      <c r="I333" s="3" t="s">
        <v>1492</v>
      </c>
      <c r="J333" s="2" t="s">
        <v>627</v>
      </c>
      <c r="K333" s="2" t="s">
        <v>1494</v>
      </c>
      <c r="L333" s="6" t="s">
        <v>1557</v>
      </c>
      <c r="M333" s="6" t="s">
        <v>1535</v>
      </c>
      <c r="S333" s="6" t="b">
        <f>C333='Plano de Contas'!C333</f>
        <v>1</v>
      </c>
    </row>
    <row r="334" spans="1:19" x14ac:dyDescent="0.2">
      <c r="A334" s="18" t="s">
        <v>2119</v>
      </c>
      <c r="B334" s="2" t="s">
        <v>54</v>
      </c>
      <c r="C334" s="2" t="s">
        <v>643</v>
      </c>
      <c r="D334" s="2" t="s">
        <v>196</v>
      </c>
      <c r="E334" s="2" t="s">
        <v>477</v>
      </c>
      <c r="F334" s="2" t="s">
        <v>479</v>
      </c>
      <c r="G334" s="2" t="s">
        <v>1490</v>
      </c>
      <c r="H334" s="2">
        <v>16</v>
      </c>
      <c r="I334" s="3" t="s">
        <v>1492</v>
      </c>
      <c r="J334" s="2" t="s">
        <v>627</v>
      </c>
      <c r="K334" s="2" t="s">
        <v>1494</v>
      </c>
      <c r="L334" s="6" t="s">
        <v>1557</v>
      </c>
      <c r="M334" s="6" t="s">
        <v>1536</v>
      </c>
      <c r="S334" s="6" t="b">
        <f>C334='Plano de Contas'!C334</f>
        <v>1</v>
      </c>
    </row>
    <row r="335" spans="1:19" x14ac:dyDescent="0.2">
      <c r="A335" s="18" t="s">
        <v>2120</v>
      </c>
      <c r="B335" s="2" t="s">
        <v>54</v>
      </c>
      <c r="C335" s="2" t="s">
        <v>645</v>
      </c>
      <c r="D335" s="2" t="s">
        <v>196</v>
      </c>
      <c r="E335" s="2" t="s">
        <v>477</v>
      </c>
      <c r="F335" s="2" t="s">
        <v>479</v>
      </c>
      <c r="G335" s="2" t="s">
        <v>1490</v>
      </c>
      <c r="H335" s="2">
        <v>16</v>
      </c>
      <c r="I335" s="3" t="s">
        <v>1492</v>
      </c>
      <c r="J335" s="2" t="s">
        <v>627</v>
      </c>
      <c r="K335" s="2" t="s">
        <v>1494</v>
      </c>
      <c r="L335" s="6" t="s">
        <v>1557</v>
      </c>
      <c r="M335" s="6" t="s">
        <v>1537</v>
      </c>
      <c r="S335" s="6" t="b">
        <f>C335='Plano de Contas'!C335</f>
        <v>1</v>
      </c>
    </row>
    <row r="336" spans="1:19" x14ac:dyDescent="0.2">
      <c r="A336" s="18" t="s">
        <v>2121</v>
      </c>
      <c r="B336" s="2" t="s">
        <v>54</v>
      </c>
      <c r="C336" s="2" t="s">
        <v>647</v>
      </c>
      <c r="D336" s="2" t="s">
        <v>196</v>
      </c>
      <c r="E336" s="2" t="s">
        <v>477</v>
      </c>
      <c r="F336" s="2" t="s">
        <v>479</v>
      </c>
      <c r="G336" s="2" t="s">
        <v>1490</v>
      </c>
      <c r="H336" s="2">
        <v>16</v>
      </c>
      <c r="I336" s="3" t="s">
        <v>1492</v>
      </c>
      <c r="J336" s="2" t="s">
        <v>627</v>
      </c>
      <c r="K336" s="2" t="s">
        <v>1494</v>
      </c>
      <c r="L336" s="6" t="s">
        <v>1557</v>
      </c>
      <c r="M336" s="6" t="s">
        <v>1538</v>
      </c>
      <c r="S336" s="6" t="b">
        <f>C336='Plano de Contas'!C336</f>
        <v>1</v>
      </c>
    </row>
    <row r="337" spans="1:19" x14ac:dyDescent="0.2">
      <c r="A337" s="18" t="s">
        <v>2122</v>
      </c>
      <c r="B337" s="2" t="s">
        <v>54</v>
      </c>
      <c r="C337" s="2" t="s">
        <v>649</v>
      </c>
      <c r="D337" s="2" t="s">
        <v>196</v>
      </c>
      <c r="E337" s="2" t="s">
        <v>477</v>
      </c>
      <c r="F337" s="2" t="s">
        <v>479</v>
      </c>
      <c r="G337" s="2" t="s">
        <v>1490</v>
      </c>
      <c r="H337" s="2">
        <v>16</v>
      </c>
      <c r="I337" s="3" t="s">
        <v>1492</v>
      </c>
      <c r="J337" s="2" t="s">
        <v>627</v>
      </c>
      <c r="K337" s="2" t="s">
        <v>1494</v>
      </c>
      <c r="L337" s="6" t="s">
        <v>1557</v>
      </c>
      <c r="M337" s="6" t="s">
        <v>1539</v>
      </c>
      <c r="S337" s="6" t="b">
        <f>C337='Plano de Contas'!C337</f>
        <v>1</v>
      </c>
    </row>
    <row r="338" spans="1:19" x14ac:dyDescent="0.2">
      <c r="A338" s="18" t="s">
        <v>2123</v>
      </c>
      <c r="B338" s="2" t="s">
        <v>54</v>
      </c>
      <c r="C338" s="2" t="s">
        <v>651</v>
      </c>
      <c r="D338" s="2" t="s">
        <v>196</v>
      </c>
      <c r="E338" s="2" t="s">
        <v>477</v>
      </c>
      <c r="F338" s="2" t="s">
        <v>479</v>
      </c>
      <c r="G338" s="2" t="s">
        <v>1490</v>
      </c>
      <c r="H338" s="2">
        <v>16</v>
      </c>
      <c r="I338" s="3" t="s">
        <v>1492</v>
      </c>
      <c r="J338" s="2" t="s">
        <v>627</v>
      </c>
      <c r="K338" s="2" t="s">
        <v>1494</v>
      </c>
      <c r="L338" s="6" t="s">
        <v>1557</v>
      </c>
      <c r="M338" s="6" t="s">
        <v>1540</v>
      </c>
      <c r="S338" s="6" t="b">
        <f>C338='Plano de Contas'!C338</f>
        <v>1</v>
      </c>
    </row>
    <row r="339" spans="1:19" x14ac:dyDescent="0.2">
      <c r="A339" s="18" t="s">
        <v>2124</v>
      </c>
      <c r="B339" s="2" t="s">
        <v>54</v>
      </c>
      <c r="C339" s="2" t="s">
        <v>653</v>
      </c>
      <c r="D339" s="2" t="s">
        <v>196</v>
      </c>
      <c r="E339" s="2" t="s">
        <v>477</v>
      </c>
      <c r="F339" s="2" t="s">
        <v>479</v>
      </c>
      <c r="G339" s="2" t="s">
        <v>1490</v>
      </c>
      <c r="H339" s="2">
        <v>16</v>
      </c>
      <c r="I339" s="3" t="s">
        <v>1492</v>
      </c>
      <c r="J339" s="2" t="s">
        <v>627</v>
      </c>
      <c r="K339" s="2" t="s">
        <v>1494</v>
      </c>
      <c r="L339" s="6" t="s">
        <v>1557</v>
      </c>
      <c r="M339" s="6" t="s">
        <v>1541</v>
      </c>
      <c r="S339" s="6" t="b">
        <f>C339='Plano de Contas'!C339</f>
        <v>1</v>
      </c>
    </row>
    <row r="340" spans="1:19" x14ac:dyDescent="0.2">
      <c r="A340" s="18" t="s">
        <v>2125</v>
      </c>
      <c r="B340" s="2" t="s">
        <v>54</v>
      </c>
      <c r="C340" s="2" t="s">
        <v>655</v>
      </c>
      <c r="D340" s="2" t="s">
        <v>196</v>
      </c>
      <c r="E340" s="2" t="s">
        <v>477</v>
      </c>
      <c r="F340" s="2" t="s">
        <v>479</v>
      </c>
      <c r="G340" s="2" t="s">
        <v>1490</v>
      </c>
      <c r="H340" s="2">
        <v>16</v>
      </c>
      <c r="I340" s="3" t="s">
        <v>1492</v>
      </c>
      <c r="J340" s="2" t="s">
        <v>627</v>
      </c>
      <c r="K340" s="2" t="s">
        <v>1494</v>
      </c>
      <c r="L340" s="6" t="s">
        <v>1557</v>
      </c>
      <c r="M340" s="6" t="s">
        <v>1542</v>
      </c>
      <c r="S340" s="6" t="b">
        <f>C340='Plano de Contas'!C340</f>
        <v>1</v>
      </c>
    </row>
    <row r="341" spans="1:19" x14ac:dyDescent="0.2">
      <c r="A341" s="18" t="s">
        <v>2126</v>
      </c>
      <c r="B341" s="2" t="s">
        <v>54</v>
      </c>
      <c r="C341" s="2" t="s">
        <v>657</v>
      </c>
      <c r="D341" s="2" t="s">
        <v>196</v>
      </c>
      <c r="E341" s="2" t="s">
        <v>477</v>
      </c>
      <c r="F341" s="2" t="s">
        <v>479</v>
      </c>
      <c r="G341" s="2" t="s">
        <v>1490</v>
      </c>
      <c r="H341" s="2">
        <v>16</v>
      </c>
      <c r="I341" s="3" t="s">
        <v>1492</v>
      </c>
      <c r="J341" s="2" t="s">
        <v>627</v>
      </c>
      <c r="K341" s="2" t="s">
        <v>1494</v>
      </c>
      <c r="L341" s="6" t="s">
        <v>1557</v>
      </c>
      <c r="M341" s="6" t="s">
        <v>1543</v>
      </c>
      <c r="S341" s="6" t="b">
        <f>C341='Plano de Contas'!C341</f>
        <v>1</v>
      </c>
    </row>
    <row r="342" spans="1:19" x14ac:dyDescent="0.2">
      <c r="A342" s="18" t="s">
        <v>2127</v>
      </c>
      <c r="B342" s="2" t="s">
        <v>54</v>
      </c>
      <c r="C342" s="2" t="s">
        <v>659</v>
      </c>
      <c r="D342" s="2" t="s">
        <v>196</v>
      </c>
      <c r="E342" s="2" t="s">
        <v>477</v>
      </c>
      <c r="F342" s="2" t="s">
        <v>479</v>
      </c>
      <c r="G342" s="2" t="s">
        <v>1490</v>
      </c>
      <c r="H342" s="2">
        <v>16</v>
      </c>
      <c r="I342" s="3" t="s">
        <v>1492</v>
      </c>
      <c r="J342" s="2" t="s">
        <v>627</v>
      </c>
      <c r="K342" s="2" t="s">
        <v>1494</v>
      </c>
      <c r="L342" s="6" t="s">
        <v>1557</v>
      </c>
      <c r="M342" s="6" t="s">
        <v>1544</v>
      </c>
      <c r="S342" s="6" t="b">
        <f>C342='Plano de Contas'!C342</f>
        <v>1</v>
      </c>
    </row>
    <row r="343" spans="1:19" x14ac:dyDescent="0.2">
      <c r="A343" s="18" t="s">
        <v>2128</v>
      </c>
      <c r="B343" s="2" t="s">
        <v>54</v>
      </c>
      <c r="C343" s="2" t="s">
        <v>661</v>
      </c>
      <c r="D343" s="2" t="s">
        <v>196</v>
      </c>
      <c r="E343" s="2" t="s">
        <v>477</v>
      </c>
      <c r="F343" s="2" t="s">
        <v>479</v>
      </c>
      <c r="G343" s="2" t="s">
        <v>1490</v>
      </c>
      <c r="H343" s="2">
        <v>16</v>
      </c>
      <c r="I343" s="3" t="s">
        <v>1492</v>
      </c>
      <c r="J343" s="2" t="s">
        <v>627</v>
      </c>
      <c r="K343" s="2" t="s">
        <v>1494</v>
      </c>
      <c r="L343" s="6" t="s">
        <v>1557</v>
      </c>
      <c r="M343" s="6" t="s">
        <v>1545</v>
      </c>
      <c r="S343" s="6" t="b">
        <f>C343='Plano de Contas'!C343</f>
        <v>1</v>
      </c>
    </row>
    <row r="344" spans="1:19" x14ac:dyDescent="0.2">
      <c r="A344" s="18" t="s">
        <v>2129</v>
      </c>
      <c r="B344" s="2" t="s">
        <v>54</v>
      </c>
      <c r="C344" s="2" t="s">
        <v>663</v>
      </c>
      <c r="D344" s="2" t="s">
        <v>196</v>
      </c>
      <c r="E344" s="2" t="s">
        <v>477</v>
      </c>
      <c r="F344" s="2" t="s">
        <v>479</v>
      </c>
      <c r="G344" s="2" t="s">
        <v>1490</v>
      </c>
      <c r="H344" s="2">
        <v>16</v>
      </c>
      <c r="I344" s="3" t="s">
        <v>1492</v>
      </c>
      <c r="J344" s="2" t="s">
        <v>627</v>
      </c>
      <c r="K344" s="2" t="s">
        <v>1494</v>
      </c>
      <c r="L344" s="6" t="s">
        <v>1557</v>
      </c>
      <c r="M344" s="6" t="s">
        <v>1546</v>
      </c>
      <c r="S344" s="6" t="b">
        <f>C344='Plano de Contas'!C344</f>
        <v>1</v>
      </c>
    </row>
    <row r="345" spans="1:19" x14ac:dyDescent="0.2">
      <c r="A345" s="18" t="s">
        <v>2130</v>
      </c>
      <c r="B345" s="2" t="s">
        <v>54</v>
      </c>
      <c r="C345" s="2" t="s">
        <v>665</v>
      </c>
      <c r="D345" s="2" t="s">
        <v>196</v>
      </c>
      <c r="E345" s="2" t="s">
        <v>477</v>
      </c>
      <c r="F345" s="2" t="s">
        <v>479</v>
      </c>
      <c r="G345" s="2" t="s">
        <v>1490</v>
      </c>
      <c r="H345" s="2">
        <v>16</v>
      </c>
      <c r="I345" s="3" t="s">
        <v>1492</v>
      </c>
      <c r="J345" s="2" t="s">
        <v>627</v>
      </c>
      <c r="K345" s="2" t="s">
        <v>1494</v>
      </c>
      <c r="L345" s="6" t="s">
        <v>1557</v>
      </c>
      <c r="M345" s="6" t="s">
        <v>1547</v>
      </c>
      <c r="S345" s="6" t="b">
        <f>C345='Plano de Contas'!C345</f>
        <v>1</v>
      </c>
    </row>
    <row r="346" spans="1:19" x14ac:dyDescent="0.2">
      <c r="A346" s="18" t="s">
        <v>2131</v>
      </c>
      <c r="B346" s="2" t="s">
        <v>54</v>
      </c>
      <c r="C346" s="2" t="s">
        <v>667</v>
      </c>
      <c r="D346" s="2" t="s">
        <v>196</v>
      </c>
      <c r="E346" s="2" t="s">
        <v>477</v>
      </c>
      <c r="F346" s="2" t="s">
        <v>479</v>
      </c>
      <c r="G346" s="2" t="s">
        <v>1490</v>
      </c>
      <c r="H346" s="2">
        <v>16</v>
      </c>
      <c r="I346" s="3" t="s">
        <v>1492</v>
      </c>
      <c r="J346" s="2" t="s">
        <v>627</v>
      </c>
      <c r="K346" s="2" t="s">
        <v>1494</v>
      </c>
      <c r="L346" s="6" t="s">
        <v>1557</v>
      </c>
      <c r="M346" s="6" t="s">
        <v>1548</v>
      </c>
      <c r="S346" s="6" t="b">
        <f>C346='Plano de Contas'!C346</f>
        <v>1</v>
      </c>
    </row>
    <row r="347" spans="1:19" x14ac:dyDescent="0.2">
      <c r="A347" s="18" t="s">
        <v>2132</v>
      </c>
      <c r="B347" s="2" t="s">
        <v>54</v>
      </c>
      <c r="C347" s="2" t="s">
        <v>669</v>
      </c>
      <c r="D347" s="2" t="s">
        <v>196</v>
      </c>
      <c r="E347" s="2" t="s">
        <v>477</v>
      </c>
      <c r="F347" s="2" t="s">
        <v>479</v>
      </c>
      <c r="G347" s="2" t="s">
        <v>1490</v>
      </c>
      <c r="H347" s="2">
        <v>16</v>
      </c>
      <c r="I347" s="3" t="s">
        <v>1492</v>
      </c>
      <c r="J347" s="2" t="s">
        <v>627</v>
      </c>
      <c r="K347" s="2" t="s">
        <v>1494</v>
      </c>
      <c r="L347" s="6" t="s">
        <v>1557</v>
      </c>
      <c r="M347" s="6" t="s">
        <v>1549</v>
      </c>
      <c r="S347" s="6" t="b">
        <f>C347='Plano de Contas'!C347</f>
        <v>1</v>
      </c>
    </row>
    <row r="348" spans="1:19" x14ac:dyDescent="0.2">
      <c r="A348" s="18" t="s">
        <v>2133</v>
      </c>
      <c r="B348" s="2" t="s">
        <v>54</v>
      </c>
      <c r="C348" s="2" t="s">
        <v>671</v>
      </c>
      <c r="D348" s="2" t="s">
        <v>196</v>
      </c>
      <c r="E348" s="2" t="s">
        <v>477</v>
      </c>
      <c r="F348" s="2" t="s">
        <v>479</v>
      </c>
      <c r="G348" s="2" t="s">
        <v>1490</v>
      </c>
      <c r="H348" s="2">
        <v>16</v>
      </c>
      <c r="I348" s="3" t="s">
        <v>1492</v>
      </c>
      <c r="J348" s="2" t="s">
        <v>627</v>
      </c>
      <c r="K348" s="2" t="s">
        <v>1494</v>
      </c>
      <c r="L348" s="6" t="s">
        <v>1557</v>
      </c>
      <c r="M348" s="6" t="s">
        <v>1550</v>
      </c>
      <c r="S348" s="6" t="b">
        <f>C348='Plano de Contas'!C348</f>
        <v>1</v>
      </c>
    </row>
    <row r="349" spans="1:19" x14ac:dyDescent="0.2">
      <c r="A349" s="18" t="s">
        <v>2134</v>
      </c>
      <c r="B349" s="2" t="s">
        <v>54</v>
      </c>
      <c r="C349" s="2" t="s">
        <v>673</v>
      </c>
      <c r="D349" s="2" t="s">
        <v>196</v>
      </c>
      <c r="E349" s="2" t="s">
        <v>477</v>
      </c>
      <c r="F349" s="2" t="s">
        <v>479</v>
      </c>
      <c r="G349" s="2" t="s">
        <v>1490</v>
      </c>
      <c r="H349" s="2">
        <v>16</v>
      </c>
      <c r="I349" s="3" t="s">
        <v>1492</v>
      </c>
      <c r="J349" s="2" t="s">
        <v>627</v>
      </c>
      <c r="K349" s="2" t="s">
        <v>1494</v>
      </c>
      <c r="L349" s="6" t="s">
        <v>1557</v>
      </c>
      <c r="M349" s="6" t="s">
        <v>1551</v>
      </c>
      <c r="S349" s="6" t="b">
        <f>C349='Plano de Contas'!C349</f>
        <v>1</v>
      </c>
    </row>
    <row r="350" spans="1:19" x14ac:dyDescent="0.2">
      <c r="A350" s="18" t="s">
        <v>2135</v>
      </c>
      <c r="B350" s="2" t="s">
        <v>54</v>
      </c>
      <c r="C350" s="2" t="s">
        <v>675</v>
      </c>
      <c r="D350" s="2" t="s">
        <v>196</v>
      </c>
      <c r="E350" s="2" t="s">
        <v>477</v>
      </c>
      <c r="F350" s="2" t="s">
        <v>479</v>
      </c>
      <c r="G350" s="2" t="s">
        <v>1490</v>
      </c>
      <c r="H350" s="2">
        <v>16</v>
      </c>
      <c r="I350" s="3" t="s">
        <v>1492</v>
      </c>
      <c r="J350" s="2" t="s">
        <v>627</v>
      </c>
      <c r="K350" s="2" t="s">
        <v>1494</v>
      </c>
      <c r="L350" s="6" t="s">
        <v>1557</v>
      </c>
      <c r="M350" s="6" t="s">
        <v>1552</v>
      </c>
      <c r="S350" s="6" t="b">
        <f>C350='Plano de Contas'!C350</f>
        <v>1</v>
      </c>
    </row>
    <row r="351" spans="1:19" x14ac:dyDescent="0.2">
      <c r="A351" s="18" t="s">
        <v>2136</v>
      </c>
      <c r="B351" s="2" t="s">
        <v>54</v>
      </c>
      <c r="C351" s="2" t="s">
        <v>677</v>
      </c>
      <c r="D351" s="2" t="s">
        <v>196</v>
      </c>
      <c r="E351" s="2" t="s">
        <v>477</v>
      </c>
      <c r="F351" s="2" t="s">
        <v>479</v>
      </c>
      <c r="G351" s="2" t="s">
        <v>1490</v>
      </c>
      <c r="H351" s="2">
        <v>16</v>
      </c>
      <c r="I351" s="3" t="s">
        <v>1492</v>
      </c>
      <c r="J351" s="2" t="s">
        <v>627</v>
      </c>
      <c r="K351" s="2" t="s">
        <v>1494</v>
      </c>
      <c r="L351" s="6" t="s">
        <v>1557</v>
      </c>
      <c r="M351" s="6" t="s">
        <v>1553</v>
      </c>
      <c r="S351" s="6" t="b">
        <f>C351='Plano de Contas'!C351</f>
        <v>1</v>
      </c>
    </row>
    <row r="352" spans="1:19" x14ac:dyDescent="0.2">
      <c r="A352" s="18" t="s">
        <v>2137</v>
      </c>
      <c r="B352" s="2" t="s">
        <v>54</v>
      </c>
      <c r="C352" s="2" t="s">
        <v>679</v>
      </c>
      <c r="D352" s="2" t="s">
        <v>196</v>
      </c>
      <c r="E352" s="2" t="s">
        <v>477</v>
      </c>
      <c r="F352" s="2" t="s">
        <v>479</v>
      </c>
      <c r="G352" s="2" t="s">
        <v>1490</v>
      </c>
      <c r="H352" s="2">
        <v>16</v>
      </c>
      <c r="I352" s="3" t="s">
        <v>1492</v>
      </c>
      <c r="J352" s="2" t="s">
        <v>627</v>
      </c>
      <c r="K352" s="2" t="s">
        <v>1494</v>
      </c>
      <c r="L352" s="6" t="s">
        <v>1557</v>
      </c>
      <c r="M352" s="6" t="s">
        <v>1554</v>
      </c>
      <c r="S352" s="6" t="b">
        <f>C352='Plano de Contas'!C352</f>
        <v>1</v>
      </c>
    </row>
    <row r="353" spans="1:19" x14ac:dyDescent="0.2">
      <c r="A353" s="18" t="s">
        <v>2138</v>
      </c>
      <c r="B353" s="2" t="s">
        <v>54</v>
      </c>
      <c r="C353" s="2" t="s">
        <v>681</v>
      </c>
      <c r="D353" s="2" t="s">
        <v>196</v>
      </c>
      <c r="E353" s="2" t="s">
        <v>477</v>
      </c>
      <c r="F353" s="2" t="s">
        <v>479</v>
      </c>
      <c r="G353" s="2" t="s">
        <v>1490</v>
      </c>
      <c r="H353" s="2">
        <v>16</v>
      </c>
      <c r="I353" s="3" t="s">
        <v>1492</v>
      </c>
      <c r="J353" s="2" t="s">
        <v>627</v>
      </c>
      <c r="K353" s="2" t="s">
        <v>1494</v>
      </c>
      <c r="L353" s="6" t="s">
        <v>1557</v>
      </c>
      <c r="M353" s="6" t="s">
        <v>1555</v>
      </c>
      <c r="S353" s="6" t="b">
        <f>C353='Plano de Contas'!C353</f>
        <v>1</v>
      </c>
    </row>
    <row r="354" spans="1:19" x14ac:dyDescent="0.2">
      <c r="A354" s="18" t="s">
        <v>2139</v>
      </c>
      <c r="B354" s="2" t="s">
        <v>54</v>
      </c>
      <c r="C354" s="2" t="s">
        <v>683</v>
      </c>
      <c r="D354" s="2" t="s">
        <v>196</v>
      </c>
      <c r="E354" s="2" t="s">
        <v>477</v>
      </c>
      <c r="F354" s="2" t="s">
        <v>479</v>
      </c>
      <c r="G354" s="2" t="s">
        <v>1490</v>
      </c>
      <c r="H354" s="2">
        <v>16</v>
      </c>
      <c r="I354" s="3" t="s">
        <v>1492</v>
      </c>
      <c r="J354" s="2" t="s">
        <v>627</v>
      </c>
      <c r="K354" s="2" t="s">
        <v>1494</v>
      </c>
      <c r="L354" s="6" t="s">
        <v>1557</v>
      </c>
      <c r="M354" s="6" t="s">
        <v>1556</v>
      </c>
      <c r="S354" s="6" t="b">
        <f>C354='Plano de Contas'!C354</f>
        <v>1</v>
      </c>
    </row>
    <row r="355" spans="1:19" x14ac:dyDescent="0.2">
      <c r="A355" s="17" t="s">
        <v>2140</v>
      </c>
      <c r="B355" s="1" t="s">
        <v>40</v>
      </c>
      <c r="C355" s="1" t="s">
        <v>685</v>
      </c>
      <c r="D355" s="2" t="s">
        <v>196</v>
      </c>
      <c r="E355" s="2" t="s">
        <v>477</v>
      </c>
      <c r="F355" s="2" t="s">
        <v>479</v>
      </c>
      <c r="G355" s="2" t="s">
        <v>1490</v>
      </c>
      <c r="H355" s="2">
        <v>5</v>
      </c>
      <c r="I355" s="3" t="s">
        <v>1492</v>
      </c>
      <c r="J355" s="2" t="s">
        <v>685</v>
      </c>
      <c r="K355" s="2" t="s">
        <v>686</v>
      </c>
      <c r="M355" s="4"/>
      <c r="N355" s="5"/>
      <c r="S355" s="6" t="b">
        <f>C355='Plano de Contas'!C355</f>
        <v>1</v>
      </c>
    </row>
    <row r="356" spans="1:19" x14ac:dyDescent="0.2">
      <c r="A356" s="17" t="s">
        <v>2141</v>
      </c>
      <c r="B356" s="1" t="s">
        <v>40</v>
      </c>
      <c r="C356" s="1" t="s">
        <v>688</v>
      </c>
      <c r="D356" s="2" t="s">
        <v>196</v>
      </c>
      <c r="E356" s="2" t="s">
        <v>477</v>
      </c>
      <c r="F356" s="2" t="s">
        <v>479</v>
      </c>
      <c r="G356" s="2" t="s">
        <v>1490</v>
      </c>
      <c r="H356" s="2">
        <v>8</v>
      </c>
      <c r="I356" s="3" t="s">
        <v>1492</v>
      </c>
      <c r="J356" s="2" t="s">
        <v>688</v>
      </c>
      <c r="K356" s="2" t="s">
        <v>686</v>
      </c>
      <c r="M356" s="4"/>
      <c r="N356" s="5"/>
      <c r="S356" s="6" t="b">
        <f>C356='Plano de Contas'!C356</f>
        <v>1</v>
      </c>
    </row>
    <row r="357" spans="1:19" x14ac:dyDescent="0.2">
      <c r="A357" s="17" t="s">
        <v>2142</v>
      </c>
      <c r="B357" s="1" t="s">
        <v>40</v>
      </c>
      <c r="C357" s="1" t="s">
        <v>688</v>
      </c>
      <c r="D357" s="2" t="s">
        <v>196</v>
      </c>
      <c r="E357" s="2" t="s">
        <v>477</v>
      </c>
      <c r="F357" s="2" t="s">
        <v>479</v>
      </c>
      <c r="G357" s="2" t="s">
        <v>1490</v>
      </c>
      <c r="H357" s="2">
        <v>11</v>
      </c>
      <c r="I357" s="3" t="s">
        <v>689</v>
      </c>
      <c r="J357" s="2" t="s">
        <v>688</v>
      </c>
      <c r="K357" s="2" t="s">
        <v>686</v>
      </c>
      <c r="S357" s="6" t="b">
        <f>C357='Plano de Contas'!C357</f>
        <v>1</v>
      </c>
    </row>
    <row r="358" spans="1:19" x14ac:dyDescent="0.2">
      <c r="A358" s="18" t="s">
        <v>2143</v>
      </c>
      <c r="B358" s="2" t="s">
        <v>54</v>
      </c>
      <c r="C358" s="2" t="s">
        <v>691</v>
      </c>
      <c r="D358" s="2" t="s">
        <v>196</v>
      </c>
      <c r="E358" s="2" t="s">
        <v>477</v>
      </c>
      <c r="F358" s="2" t="s">
        <v>479</v>
      </c>
      <c r="G358" s="2" t="s">
        <v>1490</v>
      </c>
      <c r="H358" s="2">
        <v>16</v>
      </c>
      <c r="I358" s="3" t="s">
        <v>1492</v>
      </c>
      <c r="J358" s="2" t="s">
        <v>688</v>
      </c>
      <c r="K358" s="2" t="s">
        <v>686</v>
      </c>
      <c r="L358" s="6" t="s">
        <v>1602</v>
      </c>
      <c r="S358" s="6" t="b">
        <f>C358='Plano de Contas'!C358</f>
        <v>1</v>
      </c>
    </row>
    <row r="359" spans="1:19" x14ac:dyDescent="0.2">
      <c r="A359" s="18" t="s">
        <v>2144</v>
      </c>
      <c r="B359" s="2" t="s">
        <v>54</v>
      </c>
      <c r="C359" s="2" t="s">
        <v>693</v>
      </c>
      <c r="D359" s="2" t="s">
        <v>196</v>
      </c>
      <c r="E359" s="2" t="s">
        <v>477</v>
      </c>
      <c r="F359" s="2" t="s">
        <v>479</v>
      </c>
      <c r="G359" s="2" t="s">
        <v>1490</v>
      </c>
      <c r="H359" s="2">
        <v>16</v>
      </c>
      <c r="I359" s="3" t="s">
        <v>1492</v>
      </c>
      <c r="J359" s="2" t="s">
        <v>688</v>
      </c>
      <c r="K359" s="2" t="s">
        <v>686</v>
      </c>
      <c r="L359" s="6" t="s">
        <v>1602</v>
      </c>
      <c r="S359" s="6" t="b">
        <f>C359='Plano de Contas'!C359</f>
        <v>1</v>
      </c>
    </row>
    <row r="360" spans="1:19" x14ac:dyDescent="0.2">
      <c r="A360" s="18" t="s">
        <v>2145</v>
      </c>
      <c r="B360" s="2" t="s">
        <v>54</v>
      </c>
      <c r="C360" s="2" t="s">
        <v>695</v>
      </c>
      <c r="D360" s="2" t="s">
        <v>196</v>
      </c>
      <c r="E360" s="2" t="s">
        <v>477</v>
      </c>
      <c r="F360" s="2" t="s">
        <v>479</v>
      </c>
      <c r="G360" s="2" t="s">
        <v>1490</v>
      </c>
      <c r="H360" s="2">
        <v>16</v>
      </c>
      <c r="I360" s="3" t="s">
        <v>1492</v>
      </c>
      <c r="J360" s="2" t="s">
        <v>688</v>
      </c>
      <c r="K360" s="2" t="s">
        <v>686</v>
      </c>
      <c r="L360" s="6" t="s">
        <v>1602</v>
      </c>
      <c r="S360" s="6" t="b">
        <f>C360='Plano de Contas'!C360</f>
        <v>1</v>
      </c>
    </row>
    <row r="361" spans="1:19" x14ac:dyDescent="0.2">
      <c r="A361" s="18" t="s">
        <v>2146</v>
      </c>
      <c r="B361" s="2" t="s">
        <v>54</v>
      </c>
      <c r="C361" s="2" t="s">
        <v>697</v>
      </c>
      <c r="D361" s="2" t="s">
        <v>196</v>
      </c>
      <c r="E361" s="2" t="s">
        <v>477</v>
      </c>
      <c r="F361" s="2" t="s">
        <v>479</v>
      </c>
      <c r="G361" s="2" t="s">
        <v>1490</v>
      </c>
      <c r="H361" s="2">
        <v>16</v>
      </c>
      <c r="I361" s="3" t="s">
        <v>1492</v>
      </c>
      <c r="J361" s="2" t="s">
        <v>688</v>
      </c>
      <c r="K361" s="2" t="s">
        <v>686</v>
      </c>
      <c r="L361" s="6" t="s">
        <v>1602</v>
      </c>
      <c r="S361" s="6" t="b">
        <f>C361='Plano de Contas'!C361</f>
        <v>1</v>
      </c>
    </row>
    <row r="362" spans="1:19" x14ac:dyDescent="0.2">
      <c r="A362" s="17" t="s">
        <v>2147</v>
      </c>
      <c r="B362" s="1" t="s">
        <v>40</v>
      </c>
      <c r="C362" s="1" t="s">
        <v>699</v>
      </c>
      <c r="D362" s="2" t="s">
        <v>196</v>
      </c>
      <c r="E362" s="2" t="s">
        <v>477</v>
      </c>
      <c r="F362" s="2" t="s">
        <v>479</v>
      </c>
      <c r="G362" s="2" t="s">
        <v>1490</v>
      </c>
      <c r="H362" s="2">
        <v>8</v>
      </c>
      <c r="I362" s="3" t="s">
        <v>1492</v>
      </c>
      <c r="J362" s="2" t="s">
        <v>699</v>
      </c>
      <c r="K362" s="2" t="s">
        <v>686</v>
      </c>
      <c r="L362" s="6" t="s">
        <v>1602</v>
      </c>
      <c r="S362" s="6" t="b">
        <f>C362='Plano de Contas'!C362</f>
        <v>1</v>
      </c>
    </row>
    <row r="363" spans="1:19" x14ac:dyDescent="0.2">
      <c r="A363" s="17" t="s">
        <v>2148</v>
      </c>
      <c r="B363" s="1" t="s">
        <v>40</v>
      </c>
      <c r="C363" s="1" t="s">
        <v>699</v>
      </c>
      <c r="D363" s="2" t="s">
        <v>196</v>
      </c>
      <c r="E363" s="2" t="s">
        <v>477</v>
      </c>
      <c r="F363" s="2" t="s">
        <v>479</v>
      </c>
      <c r="G363" s="2" t="s">
        <v>1490</v>
      </c>
      <c r="H363" s="2">
        <v>11</v>
      </c>
      <c r="I363" s="3" t="s">
        <v>700</v>
      </c>
      <c r="J363" s="2" t="s">
        <v>699</v>
      </c>
      <c r="K363" s="2" t="s">
        <v>686</v>
      </c>
      <c r="L363" s="6" t="s">
        <v>1602</v>
      </c>
      <c r="S363" s="6" t="b">
        <f>C363='Plano de Contas'!C363</f>
        <v>1</v>
      </c>
    </row>
    <row r="364" spans="1:19" x14ac:dyDescent="0.2">
      <c r="A364" s="18" t="s">
        <v>2149</v>
      </c>
      <c r="B364" s="2" t="s">
        <v>54</v>
      </c>
      <c r="C364" s="2" t="s">
        <v>702</v>
      </c>
      <c r="D364" s="2" t="s">
        <v>196</v>
      </c>
      <c r="E364" s="2" t="s">
        <v>477</v>
      </c>
      <c r="F364" s="2" t="s">
        <v>479</v>
      </c>
      <c r="G364" s="2" t="s">
        <v>1490</v>
      </c>
      <c r="H364" s="2">
        <v>16</v>
      </c>
      <c r="I364" s="3" t="s">
        <v>1492</v>
      </c>
      <c r="J364" s="2" t="s">
        <v>699</v>
      </c>
      <c r="K364" s="2" t="s">
        <v>686</v>
      </c>
      <c r="L364" s="6" t="s">
        <v>1602</v>
      </c>
      <c r="S364" s="6" t="b">
        <f>C364='Plano de Contas'!C364</f>
        <v>1</v>
      </c>
    </row>
    <row r="365" spans="1:19" x14ac:dyDescent="0.2">
      <c r="A365" s="18" t="s">
        <v>2150</v>
      </c>
      <c r="B365" s="2" t="s">
        <v>54</v>
      </c>
      <c r="C365" s="2" t="s">
        <v>704</v>
      </c>
      <c r="D365" s="2" t="s">
        <v>196</v>
      </c>
      <c r="E365" s="2" t="s">
        <v>477</v>
      </c>
      <c r="F365" s="2" t="s">
        <v>479</v>
      </c>
      <c r="G365" s="2" t="s">
        <v>1490</v>
      </c>
      <c r="H365" s="2">
        <v>16</v>
      </c>
      <c r="I365" s="3" t="s">
        <v>1492</v>
      </c>
      <c r="J365" s="2" t="s">
        <v>699</v>
      </c>
      <c r="K365" s="2" t="s">
        <v>686</v>
      </c>
      <c r="L365" s="6" t="s">
        <v>1602</v>
      </c>
      <c r="S365" s="6" t="b">
        <f>C365='Plano de Contas'!C365</f>
        <v>1</v>
      </c>
    </row>
    <row r="366" spans="1:19" x14ac:dyDescent="0.2">
      <c r="A366" s="18" t="s">
        <v>2151</v>
      </c>
      <c r="B366" s="2" t="s">
        <v>54</v>
      </c>
      <c r="C366" s="2" t="s">
        <v>706</v>
      </c>
      <c r="D366" s="2" t="s">
        <v>196</v>
      </c>
      <c r="E366" s="2" t="s">
        <v>477</v>
      </c>
      <c r="F366" s="2" t="s">
        <v>479</v>
      </c>
      <c r="G366" s="2" t="s">
        <v>1490</v>
      </c>
      <c r="H366" s="2">
        <v>16</v>
      </c>
      <c r="I366" s="3" t="s">
        <v>1492</v>
      </c>
      <c r="J366" s="2" t="s">
        <v>699</v>
      </c>
      <c r="K366" s="2" t="s">
        <v>686</v>
      </c>
      <c r="L366" s="6" t="s">
        <v>1602</v>
      </c>
      <c r="S366" s="6" t="b">
        <f>C366='Plano de Contas'!C366</f>
        <v>1</v>
      </c>
    </row>
    <row r="367" spans="1:19" x14ac:dyDescent="0.2">
      <c r="A367" s="18" t="s">
        <v>2152</v>
      </c>
      <c r="B367" s="2" t="s">
        <v>54</v>
      </c>
      <c r="C367" s="2" t="s">
        <v>708</v>
      </c>
      <c r="D367" s="2" t="s">
        <v>196</v>
      </c>
      <c r="E367" s="2" t="s">
        <v>477</v>
      </c>
      <c r="F367" s="2" t="s">
        <v>479</v>
      </c>
      <c r="G367" s="2" t="s">
        <v>1490</v>
      </c>
      <c r="H367" s="2">
        <v>16</v>
      </c>
      <c r="I367" s="3" t="s">
        <v>1492</v>
      </c>
      <c r="J367" s="2" t="s">
        <v>699</v>
      </c>
      <c r="K367" s="2" t="s">
        <v>686</v>
      </c>
      <c r="L367" s="6" t="s">
        <v>1602</v>
      </c>
      <c r="S367" s="6" t="b">
        <f>C367='Plano de Contas'!C367</f>
        <v>1</v>
      </c>
    </row>
    <row r="368" spans="1:19" x14ac:dyDescent="0.2">
      <c r="A368" s="17" t="s">
        <v>2153</v>
      </c>
      <c r="B368" s="1" t="s">
        <v>40</v>
      </c>
      <c r="C368" s="1" t="s">
        <v>710</v>
      </c>
      <c r="D368" s="2" t="s">
        <v>196</v>
      </c>
      <c r="E368" s="2" t="s">
        <v>477</v>
      </c>
      <c r="F368" s="2" t="s">
        <v>479</v>
      </c>
      <c r="G368" s="2" t="s">
        <v>1490</v>
      </c>
      <c r="H368" s="2">
        <v>5</v>
      </c>
      <c r="I368" s="3" t="s">
        <v>1492</v>
      </c>
      <c r="J368" s="2" t="s">
        <v>710</v>
      </c>
      <c r="K368" s="2" t="s">
        <v>711</v>
      </c>
      <c r="S368" s="6" t="b">
        <f>C368='Plano de Contas'!C368</f>
        <v>1</v>
      </c>
    </row>
    <row r="369" spans="1:19" x14ac:dyDescent="0.2">
      <c r="A369" s="17" t="s">
        <v>2154</v>
      </c>
      <c r="B369" s="1" t="s">
        <v>40</v>
      </c>
      <c r="C369" s="1" t="s">
        <v>710</v>
      </c>
      <c r="D369" s="2" t="s">
        <v>196</v>
      </c>
      <c r="E369" s="2" t="s">
        <v>477</v>
      </c>
      <c r="F369" s="2" t="s">
        <v>479</v>
      </c>
      <c r="G369" s="2" t="s">
        <v>1490</v>
      </c>
      <c r="H369" s="2">
        <v>8</v>
      </c>
      <c r="I369" s="3" t="s">
        <v>1492</v>
      </c>
      <c r="J369" s="2" t="s">
        <v>710</v>
      </c>
      <c r="K369" s="2" t="s">
        <v>711</v>
      </c>
      <c r="S369" s="6" t="b">
        <f>C369='Plano de Contas'!C369</f>
        <v>1</v>
      </c>
    </row>
    <row r="370" spans="1:19" x14ac:dyDescent="0.2">
      <c r="A370" s="17" t="s">
        <v>2155</v>
      </c>
      <c r="B370" s="1" t="s">
        <v>40</v>
      </c>
      <c r="C370" s="1" t="s">
        <v>710</v>
      </c>
      <c r="D370" s="2" t="s">
        <v>196</v>
      </c>
      <c r="E370" s="2" t="s">
        <v>477</v>
      </c>
      <c r="F370" s="2" t="s">
        <v>479</v>
      </c>
      <c r="G370" s="2" t="s">
        <v>1490</v>
      </c>
      <c r="H370" s="2">
        <v>11</v>
      </c>
      <c r="I370" s="3" t="s">
        <v>713</v>
      </c>
      <c r="J370" s="2" t="s">
        <v>710</v>
      </c>
      <c r="K370" s="2" t="s">
        <v>711</v>
      </c>
      <c r="S370" s="6" t="b">
        <f>C370='Plano de Contas'!C370</f>
        <v>1</v>
      </c>
    </row>
    <row r="371" spans="1:19" x14ac:dyDescent="0.2">
      <c r="A371" s="18" t="s">
        <v>2156</v>
      </c>
      <c r="B371" s="2" t="s">
        <v>54</v>
      </c>
      <c r="C371" s="2" t="s">
        <v>710</v>
      </c>
      <c r="D371" s="2" t="s">
        <v>196</v>
      </c>
      <c r="E371" s="2" t="s">
        <v>477</v>
      </c>
      <c r="F371" s="2" t="s">
        <v>479</v>
      </c>
      <c r="G371" s="2" t="s">
        <v>1490</v>
      </c>
      <c r="H371" s="2">
        <v>16</v>
      </c>
      <c r="I371" s="3" t="s">
        <v>1492</v>
      </c>
      <c r="J371" s="2" t="s">
        <v>710</v>
      </c>
      <c r="K371" s="2" t="s">
        <v>711</v>
      </c>
      <c r="S371" s="6" t="b">
        <f>C371='Plano de Contas'!C371</f>
        <v>1</v>
      </c>
    </row>
    <row r="372" spans="1:19" x14ac:dyDescent="0.2">
      <c r="A372" s="17" t="s">
        <v>2157</v>
      </c>
      <c r="B372" s="1" t="s">
        <v>40</v>
      </c>
      <c r="C372" s="1" t="s">
        <v>716</v>
      </c>
      <c r="D372" s="2" t="s">
        <v>196</v>
      </c>
      <c r="E372" s="2" t="s">
        <v>477</v>
      </c>
      <c r="F372" s="2" t="s">
        <v>479</v>
      </c>
      <c r="G372" s="2" t="s">
        <v>1490</v>
      </c>
      <c r="H372" s="2">
        <v>5</v>
      </c>
      <c r="I372" s="3" t="s">
        <v>1492</v>
      </c>
      <c r="J372" s="2" t="s">
        <v>716</v>
      </c>
      <c r="K372" s="2" t="s">
        <v>1495</v>
      </c>
      <c r="S372" s="6" t="b">
        <f>C372='Plano de Contas'!C372</f>
        <v>1</v>
      </c>
    </row>
    <row r="373" spans="1:19" x14ac:dyDescent="0.2">
      <c r="A373" s="17" t="s">
        <v>2158</v>
      </c>
      <c r="B373" s="1" t="s">
        <v>40</v>
      </c>
      <c r="C373" s="1" t="s">
        <v>716</v>
      </c>
      <c r="D373" s="2" t="s">
        <v>196</v>
      </c>
      <c r="E373" s="2" t="s">
        <v>477</v>
      </c>
      <c r="F373" s="2" t="s">
        <v>479</v>
      </c>
      <c r="G373" s="2" t="s">
        <v>1490</v>
      </c>
      <c r="H373" s="2">
        <v>8</v>
      </c>
      <c r="I373" s="3" t="s">
        <v>1492</v>
      </c>
      <c r="J373" s="2" t="s">
        <v>716</v>
      </c>
      <c r="K373" s="2" t="s">
        <v>1495</v>
      </c>
      <c r="S373" s="6" t="b">
        <f>C373='Plano de Contas'!C373</f>
        <v>1</v>
      </c>
    </row>
    <row r="374" spans="1:19" x14ac:dyDescent="0.2">
      <c r="A374" s="17" t="s">
        <v>2159</v>
      </c>
      <c r="B374" s="1" t="s">
        <v>40</v>
      </c>
      <c r="C374" s="1" t="s">
        <v>719</v>
      </c>
      <c r="D374" s="2" t="s">
        <v>196</v>
      </c>
      <c r="E374" s="2" t="s">
        <v>477</v>
      </c>
      <c r="F374" s="2" t="s">
        <v>479</v>
      </c>
      <c r="G374" s="2" t="s">
        <v>1490</v>
      </c>
      <c r="H374" s="2">
        <v>11</v>
      </c>
      <c r="I374" s="3" t="s">
        <v>718</v>
      </c>
      <c r="J374" s="2" t="s">
        <v>719</v>
      </c>
      <c r="K374" s="2" t="s">
        <v>1495</v>
      </c>
      <c r="S374" s="6" t="b">
        <f>C374='Plano de Contas'!C374</f>
        <v>1</v>
      </c>
    </row>
    <row r="375" spans="1:19" x14ac:dyDescent="0.2">
      <c r="A375" s="18" t="s">
        <v>2160</v>
      </c>
      <c r="B375" s="2" t="s">
        <v>54</v>
      </c>
      <c r="C375" s="2" t="s">
        <v>719</v>
      </c>
      <c r="D375" s="2" t="s">
        <v>196</v>
      </c>
      <c r="E375" s="2" t="s">
        <v>477</v>
      </c>
      <c r="F375" s="2" t="s">
        <v>479</v>
      </c>
      <c r="G375" s="2" t="s">
        <v>1490</v>
      </c>
      <c r="H375" s="2">
        <v>16</v>
      </c>
      <c r="I375" s="3" t="s">
        <v>1492</v>
      </c>
      <c r="J375" s="2" t="s">
        <v>719</v>
      </c>
      <c r="K375" s="2" t="s">
        <v>1495</v>
      </c>
      <c r="S375" s="6" t="b">
        <f>C375='Plano de Contas'!C375</f>
        <v>1</v>
      </c>
    </row>
    <row r="376" spans="1:19" x14ac:dyDescent="0.2">
      <c r="A376" s="17" t="s">
        <v>2161</v>
      </c>
      <c r="B376" s="1" t="s">
        <v>40</v>
      </c>
      <c r="C376" s="1" t="s">
        <v>722</v>
      </c>
      <c r="D376" s="2" t="s">
        <v>196</v>
      </c>
      <c r="E376" s="2" t="s">
        <v>477</v>
      </c>
      <c r="F376" s="2" t="s">
        <v>479</v>
      </c>
      <c r="G376" s="2" t="s">
        <v>1490</v>
      </c>
      <c r="H376" s="2">
        <v>5</v>
      </c>
      <c r="I376" s="3" t="s">
        <v>1492</v>
      </c>
      <c r="J376" s="2" t="s">
        <v>722</v>
      </c>
      <c r="K376" s="2" t="s">
        <v>440</v>
      </c>
      <c r="S376" s="6" t="b">
        <f>C376='Plano de Contas'!C376</f>
        <v>1</v>
      </c>
    </row>
    <row r="377" spans="1:19" x14ac:dyDescent="0.2">
      <c r="A377" s="17" t="s">
        <v>2162</v>
      </c>
      <c r="B377" s="1" t="s">
        <v>40</v>
      </c>
      <c r="C377" s="1" t="s">
        <v>722</v>
      </c>
      <c r="D377" s="2" t="s">
        <v>196</v>
      </c>
      <c r="E377" s="2" t="s">
        <v>477</v>
      </c>
      <c r="F377" s="2" t="s">
        <v>479</v>
      </c>
      <c r="G377" s="2" t="s">
        <v>1490</v>
      </c>
      <c r="H377" s="2">
        <v>8</v>
      </c>
      <c r="I377" s="3" t="s">
        <v>1492</v>
      </c>
      <c r="J377" s="2" t="s">
        <v>722</v>
      </c>
      <c r="K377" s="2" t="s">
        <v>440</v>
      </c>
      <c r="S377" s="6" t="b">
        <f>C377='Plano de Contas'!C377</f>
        <v>1</v>
      </c>
    </row>
    <row r="378" spans="1:19" x14ac:dyDescent="0.2">
      <c r="A378" s="17" t="s">
        <v>2163</v>
      </c>
      <c r="B378" s="1" t="s">
        <v>40</v>
      </c>
      <c r="C378" s="1" t="s">
        <v>725</v>
      </c>
      <c r="D378" s="2" t="s">
        <v>196</v>
      </c>
      <c r="E378" s="2" t="s">
        <v>477</v>
      </c>
      <c r="F378" s="2" t="s">
        <v>479</v>
      </c>
      <c r="G378" s="2" t="s">
        <v>1490</v>
      </c>
      <c r="H378" s="2">
        <v>11</v>
      </c>
      <c r="I378" s="3" t="s">
        <v>724</v>
      </c>
      <c r="J378" s="2" t="s">
        <v>725</v>
      </c>
      <c r="K378" s="2" t="s">
        <v>440</v>
      </c>
      <c r="S378" s="6" t="b">
        <f>C378='Plano de Contas'!C378</f>
        <v>1</v>
      </c>
    </row>
    <row r="379" spans="1:19" x14ac:dyDescent="0.2">
      <c r="A379" s="18" t="s">
        <v>2164</v>
      </c>
      <c r="B379" s="2" t="s">
        <v>54</v>
      </c>
      <c r="C379" s="2" t="s">
        <v>725</v>
      </c>
      <c r="D379" s="2" t="s">
        <v>196</v>
      </c>
      <c r="E379" s="2" t="s">
        <v>477</v>
      </c>
      <c r="F379" s="2" t="s">
        <v>479</v>
      </c>
      <c r="G379" s="2" t="s">
        <v>1490</v>
      </c>
      <c r="H379" s="2">
        <v>16</v>
      </c>
      <c r="I379" s="3" t="s">
        <v>1492</v>
      </c>
      <c r="J379" s="2" t="s">
        <v>725</v>
      </c>
      <c r="K379" s="2" t="s">
        <v>440</v>
      </c>
      <c r="S379" s="6" t="b">
        <f>C379='Plano de Contas'!C379</f>
        <v>1</v>
      </c>
    </row>
    <row r="380" spans="1:19" x14ac:dyDescent="0.2">
      <c r="A380" s="41" t="s">
        <v>2858</v>
      </c>
      <c r="B380" s="12" t="s">
        <v>54</v>
      </c>
      <c r="C380" s="12" t="s">
        <v>2846</v>
      </c>
      <c r="D380" s="2" t="s">
        <v>196</v>
      </c>
      <c r="E380" s="2" t="s">
        <v>477</v>
      </c>
      <c r="F380" s="2" t="s">
        <v>479</v>
      </c>
      <c r="G380" s="2" t="s">
        <v>1490</v>
      </c>
      <c r="H380" s="2">
        <v>16</v>
      </c>
      <c r="I380" s="3" t="s">
        <v>1492</v>
      </c>
      <c r="J380" s="2" t="s">
        <v>725</v>
      </c>
      <c r="K380" s="2" t="s">
        <v>440</v>
      </c>
      <c r="S380" s="6" t="b">
        <f>C380='Plano de Contas'!C380</f>
        <v>1</v>
      </c>
    </row>
    <row r="381" spans="1:19" x14ac:dyDescent="0.2">
      <c r="A381" s="41" t="s">
        <v>2870</v>
      </c>
      <c r="B381" s="12" t="s">
        <v>54</v>
      </c>
      <c r="C381" s="12" t="s">
        <v>2869</v>
      </c>
      <c r="D381" s="2" t="s">
        <v>196</v>
      </c>
      <c r="E381" s="2" t="s">
        <v>477</v>
      </c>
      <c r="F381" s="2" t="s">
        <v>479</v>
      </c>
      <c r="G381" s="2" t="s">
        <v>1490</v>
      </c>
      <c r="H381" s="2">
        <v>16</v>
      </c>
      <c r="I381" s="3" t="s">
        <v>1492</v>
      </c>
      <c r="J381" s="2" t="s">
        <v>725</v>
      </c>
      <c r="K381" s="2" t="s">
        <v>440</v>
      </c>
      <c r="S381" s="6" t="b">
        <f>C381='Plano de Contas'!C381</f>
        <v>1</v>
      </c>
    </row>
    <row r="382" spans="1:19" x14ac:dyDescent="0.2">
      <c r="A382" s="17" t="s">
        <v>2165</v>
      </c>
      <c r="B382" s="1" t="s">
        <v>40</v>
      </c>
      <c r="C382" s="1" t="s">
        <v>728</v>
      </c>
      <c r="D382" s="2" t="s">
        <v>196</v>
      </c>
      <c r="E382" s="2" t="s">
        <v>477</v>
      </c>
      <c r="F382" s="2" t="s">
        <v>479</v>
      </c>
      <c r="G382" s="2" t="s">
        <v>1491</v>
      </c>
      <c r="H382" s="2">
        <v>3</v>
      </c>
      <c r="I382" s="3" t="s">
        <v>1492</v>
      </c>
      <c r="J382" s="2" t="s">
        <v>728</v>
      </c>
      <c r="S382" s="6" t="b">
        <f>C382='Plano de Contas'!C382</f>
        <v>1</v>
      </c>
    </row>
    <row r="383" spans="1:19" x14ac:dyDescent="0.2">
      <c r="A383" s="17" t="s">
        <v>2166</v>
      </c>
      <c r="B383" s="1" t="s">
        <v>40</v>
      </c>
      <c r="C383" s="1" t="s">
        <v>730</v>
      </c>
      <c r="D383" s="2" t="s">
        <v>196</v>
      </c>
      <c r="E383" s="2" t="s">
        <v>477</v>
      </c>
      <c r="F383" s="2" t="s">
        <v>479</v>
      </c>
      <c r="G383" s="2" t="s">
        <v>1491</v>
      </c>
      <c r="H383" s="2">
        <v>5</v>
      </c>
      <c r="I383" s="3" t="s">
        <v>1492</v>
      </c>
      <c r="J383" s="2" t="s">
        <v>730</v>
      </c>
      <c r="K383" s="2" t="s">
        <v>731</v>
      </c>
      <c r="S383" s="6" t="b">
        <f>C383='Plano de Contas'!C383</f>
        <v>1</v>
      </c>
    </row>
    <row r="384" spans="1:19" x14ac:dyDescent="0.2">
      <c r="A384" s="17" t="s">
        <v>2167</v>
      </c>
      <c r="B384" s="1" t="s">
        <v>40</v>
      </c>
      <c r="C384" s="1" t="s">
        <v>733</v>
      </c>
      <c r="D384" s="2" t="s">
        <v>196</v>
      </c>
      <c r="E384" s="2" t="s">
        <v>477</v>
      </c>
      <c r="F384" s="2" t="s">
        <v>479</v>
      </c>
      <c r="G384" s="2" t="s">
        <v>1491</v>
      </c>
      <c r="H384" s="2">
        <v>8</v>
      </c>
      <c r="I384" s="3" t="s">
        <v>1492</v>
      </c>
      <c r="J384" s="2" t="s">
        <v>733</v>
      </c>
      <c r="K384" s="2" t="s">
        <v>731</v>
      </c>
      <c r="S384" s="6" t="b">
        <f>C384='Plano de Contas'!C384</f>
        <v>1</v>
      </c>
    </row>
    <row r="385" spans="1:19" x14ac:dyDescent="0.2">
      <c r="A385" s="17" t="s">
        <v>2168</v>
      </c>
      <c r="B385" s="1" t="s">
        <v>40</v>
      </c>
      <c r="C385" s="1" t="s">
        <v>502</v>
      </c>
      <c r="D385" s="2" t="s">
        <v>196</v>
      </c>
      <c r="E385" s="2" t="s">
        <v>477</v>
      </c>
      <c r="F385" s="2" t="s">
        <v>479</v>
      </c>
      <c r="G385" s="2" t="s">
        <v>1491</v>
      </c>
      <c r="H385" s="2">
        <v>11</v>
      </c>
      <c r="I385" s="3" t="s">
        <v>734</v>
      </c>
      <c r="J385" s="2" t="s">
        <v>502</v>
      </c>
      <c r="K385" s="2" t="s">
        <v>731</v>
      </c>
      <c r="S385" s="6" t="b">
        <f>C385='Plano de Contas'!C385</f>
        <v>1</v>
      </c>
    </row>
    <row r="386" spans="1:19" x14ac:dyDescent="0.2">
      <c r="A386" s="18" t="s">
        <v>2169</v>
      </c>
      <c r="B386" s="2" t="s">
        <v>54</v>
      </c>
      <c r="C386" s="2" t="s">
        <v>736</v>
      </c>
      <c r="D386" s="2" t="s">
        <v>196</v>
      </c>
      <c r="E386" s="2" t="s">
        <v>477</v>
      </c>
      <c r="F386" s="2" t="s">
        <v>479</v>
      </c>
      <c r="G386" s="2" t="s">
        <v>1491</v>
      </c>
      <c r="H386" s="2">
        <v>16</v>
      </c>
      <c r="I386" s="3" t="s">
        <v>1492</v>
      </c>
      <c r="J386" s="2" t="s">
        <v>502</v>
      </c>
      <c r="K386" s="2" t="s">
        <v>731</v>
      </c>
      <c r="S386" s="6" t="b">
        <f>C386='Plano de Contas'!C386</f>
        <v>1</v>
      </c>
    </row>
    <row r="387" spans="1:19" x14ac:dyDescent="0.2">
      <c r="A387" s="17" t="s">
        <v>2170</v>
      </c>
      <c r="B387" s="1" t="s">
        <v>40</v>
      </c>
      <c r="C387" s="1" t="s">
        <v>738</v>
      </c>
      <c r="D387" s="2" t="s">
        <v>196</v>
      </c>
      <c r="E387" s="2" t="s">
        <v>477</v>
      </c>
      <c r="F387" s="2" t="s">
        <v>479</v>
      </c>
      <c r="G387" s="2" t="s">
        <v>1491</v>
      </c>
      <c r="H387" s="2">
        <v>11</v>
      </c>
      <c r="I387" s="3" t="s">
        <v>737</v>
      </c>
      <c r="J387" s="2" t="s">
        <v>738</v>
      </c>
      <c r="K387" s="2" t="s">
        <v>731</v>
      </c>
      <c r="S387" s="6" t="b">
        <f>C387='Plano de Contas'!C387</f>
        <v>1</v>
      </c>
    </row>
    <row r="388" spans="1:19" x14ac:dyDescent="0.2">
      <c r="A388" s="18" t="s">
        <v>2171</v>
      </c>
      <c r="B388" s="2" t="s">
        <v>54</v>
      </c>
      <c r="C388" s="2" t="s">
        <v>740</v>
      </c>
      <c r="D388" s="2" t="s">
        <v>196</v>
      </c>
      <c r="E388" s="2" t="s">
        <v>477</v>
      </c>
      <c r="F388" s="2" t="s">
        <v>479</v>
      </c>
      <c r="G388" s="2" t="s">
        <v>1491</v>
      </c>
      <c r="H388" s="2">
        <v>16</v>
      </c>
      <c r="I388" s="3" t="s">
        <v>1492</v>
      </c>
      <c r="J388" s="2" t="s">
        <v>738</v>
      </c>
      <c r="K388" s="2" t="s">
        <v>731</v>
      </c>
      <c r="S388" s="6" t="b">
        <f>C388='Plano de Contas'!C388</f>
        <v>1</v>
      </c>
    </row>
    <row r="389" spans="1:19" x14ac:dyDescent="0.2">
      <c r="A389" s="17" t="s">
        <v>2172</v>
      </c>
      <c r="B389" s="1" t="s">
        <v>40</v>
      </c>
      <c r="C389" s="1" t="s">
        <v>742</v>
      </c>
      <c r="D389" s="2" t="s">
        <v>196</v>
      </c>
      <c r="E389" s="2" t="s">
        <v>477</v>
      </c>
      <c r="F389" s="2" t="s">
        <v>479</v>
      </c>
      <c r="G389" s="2" t="s">
        <v>1491</v>
      </c>
      <c r="H389" s="2">
        <v>11</v>
      </c>
      <c r="I389" s="3" t="s">
        <v>741</v>
      </c>
      <c r="J389" s="2" t="s">
        <v>742</v>
      </c>
      <c r="K389" s="2" t="s">
        <v>731</v>
      </c>
      <c r="S389" s="6" t="b">
        <f>C389='Plano de Contas'!C389</f>
        <v>1</v>
      </c>
    </row>
    <row r="390" spans="1:19" x14ac:dyDescent="0.2">
      <c r="A390" s="18" t="s">
        <v>2173</v>
      </c>
      <c r="B390" s="2" t="s">
        <v>54</v>
      </c>
      <c r="C390" s="2" t="s">
        <v>744</v>
      </c>
      <c r="D390" s="2" t="s">
        <v>196</v>
      </c>
      <c r="E390" s="2" t="s">
        <v>477</v>
      </c>
      <c r="F390" s="2" t="s">
        <v>479</v>
      </c>
      <c r="G390" s="2" t="s">
        <v>1491</v>
      </c>
      <c r="H390" s="2">
        <v>16</v>
      </c>
      <c r="I390" s="3" t="s">
        <v>1492</v>
      </c>
      <c r="J390" s="2" t="s">
        <v>742</v>
      </c>
      <c r="K390" s="2" t="s">
        <v>731</v>
      </c>
      <c r="S390" s="6" t="b">
        <f>C390='Plano de Contas'!C390</f>
        <v>1</v>
      </c>
    </row>
    <row r="391" spans="1:19" x14ac:dyDescent="0.2">
      <c r="A391" s="17" t="s">
        <v>2174</v>
      </c>
      <c r="B391" s="1" t="s">
        <v>40</v>
      </c>
      <c r="C391" s="1" t="s">
        <v>293</v>
      </c>
      <c r="D391" s="2" t="s">
        <v>196</v>
      </c>
      <c r="E391" s="2" t="s">
        <v>477</v>
      </c>
      <c r="F391" s="2" t="s">
        <v>479</v>
      </c>
      <c r="G391" s="2" t="s">
        <v>1491</v>
      </c>
      <c r="H391" s="2">
        <v>5</v>
      </c>
      <c r="I391" s="3" t="s">
        <v>1492</v>
      </c>
      <c r="J391" s="2" t="s">
        <v>293</v>
      </c>
      <c r="K391" s="2" t="s">
        <v>498</v>
      </c>
      <c r="S391" s="6" t="b">
        <f>C391='Plano de Contas'!C391</f>
        <v>1</v>
      </c>
    </row>
    <row r="392" spans="1:19" x14ac:dyDescent="0.2">
      <c r="A392" s="17" t="s">
        <v>2175</v>
      </c>
      <c r="B392" s="1" t="s">
        <v>40</v>
      </c>
      <c r="C392" s="1" t="s">
        <v>293</v>
      </c>
      <c r="D392" s="2" t="s">
        <v>196</v>
      </c>
      <c r="E392" s="2" t="s">
        <v>477</v>
      </c>
      <c r="F392" s="2" t="s">
        <v>479</v>
      </c>
      <c r="G392" s="2" t="s">
        <v>1491</v>
      </c>
      <c r="H392" s="2">
        <v>8</v>
      </c>
      <c r="I392" s="3" t="s">
        <v>1492</v>
      </c>
      <c r="J392" s="2" t="s">
        <v>293</v>
      </c>
      <c r="K392" s="2" t="s">
        <v>498</v>
      </c>
      <c r="S392" s="6" t="b">
        <f>C392='Plano de Contas'!C392</f>
        <v>1</v>
      </c>
    </row>
    <row r="393" spans="1:19" x14ac:dyDescent="0.2">
      <c r="A393" s="17" t="s">
        <v>2176</v>
      </c>
      <c r="B393" s="1" t="s">
        <v>40</v>
      </c>
      <c r="C393" s="1" t="s">
        <v>293</v>
      </c>
      <c r="D393" s="2" t="s">
        <v>196</v>
      </c>
      <c r="E393" s="2" t="s">
        <v>477</v>
      </c>
      <c r="F393" s="2" t="s">
        <v>479</v>
      </c>
      <c r="G393" s="2" t="s">
        <v>1491</v>
      </c>
      <c r="H393" s="2">
        <v>11</v>
      </c>
      <c r="I393" s="3" t="s">
        <v>747</v>
      </c>
      <c r="J393" s="2" t="s">
        <v>293</v>
      </c>
      <c r="K393" s="2" t="s">
        <v>498</v>
      </c>
      <c r="S393" s="6" t="b">
        <f>C393='Plano de Contas'!C393</f>
        <v>1</v>
      </c>
    </row>
    <row r="394" spans="1:19" x14ac:dyDescent="0.2">
      <c r="A394" s="18" t="s">
        <v>2177</v>
      </c>
      <c r="B394" s="2" t="s">
        <v>54</v>
      </c>
      <c r="C394" s="2" t="s">
        <v>293</v>
      </c>
      <c r="D394" s="2" t="s">
        <v>196</v>
      </c>
      <c r="E394" s="2" t="s">
        <v>477</v>
      </c>
      <c r="F394" s="2" t="s">
        <v>479</v>
      </c>
      <c r="G394" s="2" t="s">
        <v>1491</v>
      </c>
      <c r="H394" s="2">
        <v>16</v>
      </c>
      <c r="I394" s="3" t="s">
        <v>1492</v>
      </c>
      <c r="J394" s="2" t="s">
        <v>293</v>
      </c>
      <c r="K394" s="2" t="s">
        <v>498</v>
      </c>
      <c r="S394" s="6" t="b">
        <f>C394='Plano de Contas'!C394</f>
        <v>1</v>
      </c>
    </row>
    <row r="395" spans="1:19" x14ac:dyDescent="0.2">
      <c r="A395" s="17" t="s">
        <v>2178</v>
      </c>
      <c r="B395" s="1" t="s">
        <v>40</v>
      </c>
      <c r="C395" s="1" t="s">
        <v>750</v>
      </c>
      <c r="D395" s="2" t="s">
        <v>196</v>
      </c>
      <c r="E395" s="2" t="s">
        <v>477</v>
      </c>
      <c r="F395" s="2" t="s">
        <v>479</v>
      </c>
      <c r="G395" s="2" t="s">
        <v>1491</v>
      </c>
      <c r="H395" s="2">
        <v>5</v>
      </c>
      <c r="I395" s="3" t="s">
        <v>1492</v>
      </c>
      <c r="J395" s="2" t="s">
        <v>750</v>
      </c>
      <c r="K395" s="2" t="s">
        <v>440</v>
      </c>
      <c r="S395" s="6" t="b">
        <f>C395='Plano de Contas'!C395</f>
        <v>1</v>
      </c>
    </row>
    <row r="396" spans="1:19" x14ac:dyDescent="0.2">
      <c r="A396" s="17" t="s">
        <v>2179</v>
      </c>
      <c r="B396" s="1" t="s">
        <v>40</v>
      </c>
      <c r="C396" s="1" t="s">
        <v>750</v>
      </c>
      <c r="D396" s="2" t="s">
        <v>196</v>
      </c>
      <c r="E396" s="2" t="s">
        <v>477</v>
      </c>
      <c r="F396" s="2" t="s">
        <v>479</v>
      </c>
      <c r="G396" s="2" t="s">
        <v>1491</v>
      </c>
      <c r="H396" s="2">
        <v>8</v>
      </c>
      <c r="I396" s="3" t="s">
        <v>1492</v>
      </c>
      <c r="J396" s="2" t="s">
        <v>750</v>
      </c>
      <c r="K396" s="2" t="s">
        <v>440</v>
      </c>
      <c r="S396" s="6" t="b">
        <f>C396='Plano de Contas'!C396</f>
        <v>1</v>
      </c>
    </row>
    <row r="397" spans="1:19" x14ac:dyDescent="0.2">
      <c r="A397" s="17" t="s">
        <v>2180</v>
      </c>
      <c r="B397" s="1" t="s">
        <v>40</v>
      </c>
      <c r="C397" s="1" t="s">
        <v>750</v>
      </c>
      <c r="D397" s="2" t="s">
        <v>196</v>
      </c>
      <c r="E397" s="2" t="s">
        <v>477</v>
      </c>
      <c r="F397" s="2" t="s">
        <v>479</v>
      </c>
      <c r="G397" s="2" t="s">
        <v>1491</v>
      </c>
      <c r="H397" s="2">
        <v>11</v>
      </c>
      <c r="I397" s="3" t="s">
        <v>752</v>
      </c>
      <c r="J397" s="2" t="s">
        <v>750</v>
      </c>
      <c r="K397" s="2" t="s">
        <v>440</v>
      </c>
      <c r="S397" s="6" t="b">
        <f>C397='Plano de Contas'!C397</f>
        <v>1</v>
      </c>
    </row>
    <row r="398" spans="1:19" x14ac:dyDescent="0.2">
      <c r="A398" s="18" t="s">
        <v>2181</v>
      </c>
      <c r="B398" s="2" t="s">
        <v>54</v>
      </c>
      <c r="C398" s="2" t="s">
        <v>754</v>
      </c>
      <c r="D398" s="2" t="s">
        <v>196</v>
      </c>
      <c r="E398" s="2" t="s">
        <v>477</v>
      </c>
      <c r="F398" s="2" t="s">
        <v>479</v>
      </c>
      <c r="G398" s="2" t="s">
        <v>1491</v>
      </c>
      <c r="H398" s="2">
        <v>16</v>
      </c>
      <c r="I398" s="3" t="s">
        <v>1492</v>
      </c>
      <c r="J398" s="2" t="s">
        <v>750</v>
      </c>
      <c r="K398" s="2" t="s">
        <v>440</v>
      </c>
      <c r="S398" s="6" t="b">
        <f>C398='Plano de Contas'!C398</f>
        <v>1</v>
      </c>
    </row>
    <row r="399" spans="1:19" x14ac:dyDescent="0.2">
      <c r="A399" s="18" t="s">
        <v>2182</v>
      </c>
      <c r="B399" s="2" t="s">
        <v>54</v>
      </c>
      <c r="C399" s="2" t="s">
        <v>756</v>
      </c>
      <c r="D399" s="2" t="s">
        <v>196</v>
      </c>
      <c r="E399" s="2" t="s">
        <v>477</v>
      </c>
      <c r="F399" s="2" t="s">
        <v>479</v>
      </c>
      <c r="G399" s="2" t="s">
        <v>1491</v>
      </c>
      <c r="H399" s="2">
        <v>16</v>
      </c>
      <c r="I399" s="3" t="s">
        <v>1492</v>
      </c>
      <c r="J399" s="2" t="s">
        <v>750</v>
      </c>
      <c r="K399" s="2" t="s">
        <v>440</v>
      </c>
      <c r="S399" s="6" t="b">
        <f>C399='Plano de Contas'!C399</f>
        <v>1</v>
      </c>
    </row>
    <row r="400" spans="1:19" x14ac:dyDescent="0.2">
      <c r="A400" s="41" t="s">
        <v>2859</v>
      </c>
      <c r="B400" s="12" t="s">
        <v>54</v>
      </c>
      <c r="C400" s="12" t="s">
        <v>2846</v>
      </c>
      <c r="D400" s="2" t="s">
        <v>196</v>
      </c>
      <c r="E400" s="2" t="s">
        <v>477</v>
      </c>
      <c r="F400" s="2" t="s">
        <v>479</v>
      </c>
      <c r="G400" s="2" t="s">
        <v>1491</v>
      </c>
      <c r="H400" s="2">
        <v>16</v>
      </c>
      <c r="I400" s="3" t="s">
        <v>1492</v>
      </c>
      <c r="J400" s="2" t="s">
        <v>750</v>
      </c>
      <c r="K400" s="2" t="s">
        <v>440</v>
      </c>
      <c r="S400" s="6" t="b">
        <f>C400='Plano de Contas'!C400</f>
        <v>1</v>
      </c>
    </row>
    <row r="401" spans="1:19" x14ac:dyDescent="0.2">
      <c r="A401" s="17" t="s">
        <v>2183</v>
      </c>
      <c r="B401" s="1" t="s">
        <v>40</v>
      </c>
      <c r="C401" s="1" t="s">
        <v>758</v>
      </c>
      <c r="D401" s="2" t="s">
        <v>196</v>
      </c>
      <c r="E401" s="2" t="s">
        <v>477</v>
      </c>
      <c r="F401" s="2" t="s">
        <v>479</v>
      </c>
      <c r="G401" s="2" t="s">
        <v>1491</v>
      </c>
      <c r="H401" s="2">
        <v>5</v>
      </c>
      <c r="I401" s="3" t="s">
        <v>1492</v>
      </c>
      <c r="J401" s="2" t="s">
        <v>758</v>
      </c>
      <c r="K401" s="2" t="s">
        <v>759</v>
      </c>
      <c r="S401" s="6" t="b">
        <f>C401='Plano de Contas'!C401</f>
        <v>1</v>
      </c>
    </row>
    <row r="402" spans="1:19" x14ac:dyDescent="0.2">
      <c r="A402" s="17" t="s">
        <v>2184</v>
      </c>
      <c r="B402" s="1" t="s">
        <v>40</v>
      </c>
      <c r="C402" s="1" t="s">
        <v>758</v>
      </c>
      <c r="D402" s="2" t="s">
        <v>196</v>
      </c>
      <c r="E402" s="2" t="s">
        <v>477</v>
      </c>
      <c r="F402" s="2" t="s">
        <v>479</v>
      </c>
      <c r="G402" s="2" t="s">
        <v>1491</v>
      </c>
      <c r="H402" s="2">
        <v>8</v>
      </c>
      <c r="I402" s="3" t="s">
        <v>1492</v>
      </c>
      <c r="J402" s="2" t="s">
        <v>758</v>
      </c>
      <c r="K402" s="2" t="s">
        <v>759</v>
      </c>
      <c r="S402" s="6" t="b">
        <f>C402='Plano de Contas'!C402</f>
        <v>1</v>
      </c>
    </row>
    <row r="403" spans="1:19" x14ac:dyDescent="0.2">
      <c r="A403" s="17" t="s">
        <v>2185</v>
      </c>
      <c r="B403" s="1" t="s">
        <v>40</v>
      </c>
      <c r="C403" s="1" t="s">
        <v>591</v>
      </c>
      <c r="D403" s="2" t="s">
        <v>196</v>
      </c>
      <c r="E403" s="2" t="s">
        <v>477</v>
      </c>
      <c r="F403" s="2" t="s">
        <v>479</v>
      </c>
      <c r="G403" s="2" t="s">
        <v>1491</v>
      </c>
      <c r="H403" s="2">
        <v>11</v>
      </c>
      <c r="I403" s="3" t="s">
        <v>761</v>
      </c>
      <c r="J403" s="2" t="s">
        <v>591</v>
      </c>
      <c r="K403" s="2" t="s">
        <v>759</v>
      </c>
      <c r="S403" s="6" t="b">
        <f>C403='Plano de Contas'!C403</f>
        <v>1</v>
      </c>
    </row>
    <row r="404" spans="1:19" x14ac:dyDescent="0.2">
      <c r="A404" s="18" t="s">
        <v>2186</v>
      </c>
      <c r="B404" s="2" t="s">
        <v>54</v>
      </c>
      <c r="C404" s="2" t="s">
        <v>591</v>
      </c>
      <c r="D404" s="2" t="s">
        <v>196</v>
      </c>
      <c r="E404" s="2" t="s">
        <v>477</v>
      </c>
      <c r="F404" s="2" t="s">
        <v>479</v>
      </c>
      <c r="G404" s="2" t="s">
        <v>1491</v>
      </c>
      <c r="H404" s="2">
        <v>16</v>
      </c>
      <c r="I404" s="3" t="s">
        <v>1492</v>
      </c>
      <c r="J404" s="2" t="s">
        <v>591</v>
      </c>
      <c r="K404" s="2" t="s">
        <v>759</v>
      </c>
      <c r="S404" s="6" t="b">
        <f>C404='Plano de Contas'!C404</f>
        <v>1</v>
      </c>
    </row>
    <row r="405" spans="1:19" x14ac:dyDescent="0.2">
      <c r="A405" s="17" t="s">
        <v>2187</v>
      </c>
      <c r="B405" s="1" t="s">
        <v>40</v>
      </c>
      <c r="C405" s="1" t="s">
        <v>597</v>
      </c>
      <c r="D405" s="2" t="s">
        <v>196</v>
      </c>
      <c r="E405" s="2" t="s">
        <v>477</v>
      </c>
      <c r="F405" s="2" t="s">
        <v>479</v>
      </c>
      <c r="G405" s="2" t="s">
        <v>1491</v>
      </c>
      <c r="H405" s="2">
        <v>11</v>
      </c>
      <c r="I405" s="3" t="s">
        <v>763</v>
      </c>
      <c r="J405" s="2" t="s">
        <v>597</v>
      </c>
      <c r="K405" s="2" t="s">
        <v>759</v>
      </c>
      <c r="S405" s="6" t="b">
        <f>C405='Plano de Contas'!C405</f>
        <v>1</v>
      </c>
    </row>
    <row r="406" spans="1:19" x14ac:dyDescent="0.2">
      <c r="A406" s="18" t="s">
        <v>2188</v>
      </c>
      <c r="B406" s="2" t="s">
        <v>54</v>
      </c>
      <c r="C406" s="2" t="s">
        <v>599</v>
      </c>
      <c r="D406" s="2" t="s">
        <v>196</v>
      </c>
      <c r="E406" s="2" t="s">
        <v>477</v>
      </c>
      <c r="F406" s="2" t="s">
        <v>479</v>
      </c>
      <c r="G406" s="2" t="s">
        <v>1491</v>
      </c>
      <c r="H406" s="2">
        <v>16</v>
      </c>
      <c r="I406" s="3" t="s">
        <v>1492</v>
      </c>
      <c r="J406" s="2" t="s">
        <v>597</v>
      </c>
      <c r="K406" s="2" t="s">
        <v>759</v>
      </c>
      <c r="S406" s="6" t="b">
        <f>C406='Plano de Contas'!C406</f>
        <v>1</v>
      </c>
    </row>
    <row r="407" spans="1:19" x14ac:dyDescent="0.2">
      <c r="A407" s="17" t="s">
        <v>2189</v>
      </c>
      <c r="B407" s="1" t="s">
        <v>40</v>
      </c>
      <c r="C407" s="1" t="s">
        <v>601</v>
      </c>
      <c r="D407" s="2" t="s">
        <v>42</v>
      </c>
      <c r="E407" s="2" t="s">
        <v>477</v>
      </c>
      <c r="F407" s="2" t="s">
        <v>479</v>
      </c>
      <c r="G407" s="2" t="s">
        <v>1491</v>
      </c>
      <c r="H407" s="2">
        <v>11</v>
      </c>
      <c r="I407" s="3" t="s">
        <v>765</v>
      </c>
      <c r="J407" s="2" t="s">
        <v>601</v>
      </c>
      <c r="K407" s="2" t="s">
        <v>759</v>
      </c>
      <c r="S407" s="6" t="b">
        <f>C407='Plano de Contas'!C407</f>
        <v>1</v>
      </c>
    </row>
    <row r="408" spans="1:19" x14ac:dyDescent="0.2">
      <c r="A408" s="18" t="s">
        <v>2190</v>
      </c>
      <c r="B408" s="2" t="s">
        <v>54</v>
      </c>
      <c r="C408" s="2" t="s">
        <v>601</v>
      </c>
      <c r="D408" s="2" t="s">
        <v>42</v>
      </c>
      <c r="E408" s="2" t="s">
        <v>477</v>
      </c>
      <c r="F408" s="2" t="s">
        <v>479</v>
      </c>
      <c r="G408" s="2" t="s">
        <v>1491</v>
      </c>
      <c r="H408" s="2">
        <v>16</v>
      </c>
      <c r="I408" s="3" t="s">
        <v>1492</v>
      </c>
      <c r="J408" s="2" t="s">
        <v>601</v>
      </c>
      <c r="K408" s="2" t="s">
        <v>759</v>
      </c>
      <c r="S408" s="6" t="b">
        <f>C408='Plano de Contas'!C408</f>
        <v>1</v>
      </c>
    </row>
    <row r="409" spans="1:19" x14ac:dyDescent="0.2">
      <c r="A409" s="17" t="s">
        <v>2191</v>
      </c>
      <c r="B409" s="1" t="s">
        <v>40</v>
      </c>
      <c r="C409" s="1" t="s">
        <v>768</v>
      </c>
      <c r="D409" s="2" t="s">
        <v>196</v>
      </c>
      <c r="E409" s="2" t="s">
        <v>477</v>
      </c>
      <c r="F409" s="2" t="s">
        <v>769</v>
      </c>
      <c r="G409" s="4" t="s">
        <v>1492</v>
      </c>
      <c r="H409" s="2">
        <v>3</v>
      </c>
      <c r="I409" s="3" t="s">
        <v>1492</v>
      </c>
      <c r="J409" s="2" t="s">
        <v>768</v>
      </c>
      <c r="K409" s="2" t="s">
        <v>769</v>
      </c>
      <c r="S409" s="6" t="b">
        <f>C409='Plano de Contas'!C409</f>
        <v>1</v>
      </c>
    </row>
    <row r="410" spans="1:19" x14ac:dyDescent="0.2">
      <c r="A410" s="17" t="s">
        <v>2192</v>
      </c>
      <c r="B410" s="1" t="s">
        <v>40</v>
      </c>
      <c r="C410" s="1" t="s">
        <v>768</v>
      </c>
      <c r="D410" s="2" t="s">
        <v>196</v>
      </c>
      <c r="E410" s="2" t="s">
        <v>477</v>
      </c>
      <c r="F410" s="2" t="s">
        <v>769</v>
      </c>
      <c r="G410" s="4" t="s">
        <v>1492</v>
      </c>
      <c r="H410" s="2">
        <v>5</v>
      </c>
      <c r="I410" s="3" t="s">
        <v>1492</v>
      </c>
      <c r="J410" s="2" t="s">
        <v>768</v>
      </c>
      <c r="K410" s="2" t="s">
        <v>769</v>
      </c>
      <c r="S410" s="6" t="b">
        <f>C410='Plano de Contas'!C410</f>
        <v>1</v>
      </c>
    </row>
    <row r="411" spans="1:19" x14ac:dyDescent="0.2">
      <c r="A411" s="17" t="s">
        <v>2193</v>
      </c>
      <c r="B411" s="1" t="s">
        <v>40</v>
      </c>
      <c r="C411" s="1" t="s">
        <v>768</v>
      </c>
      <c r="D411" s="2" t="s">
        <v>196</v>
      </c>
      <c r="E411" s="2" t="s">
        <v>477</v>
      </c>
      <c r="F411" s="2" t="s">
        <v>769</v>
      </c>
      <c r="G411" s="4" t="s">
        <v>1492</v>
      </c>
      <c r="H411" s="2">
        <v>8</v>
      </c>
      <c r="I411" s="3" t="s">
        <v>1492</v>
      </c>
      <c r="J411" s="2" t="s">
        <v>768</v>
      </c>
      <c r="K411" s="2" t="s">
        <v>769</v>
      </c>
      <c r="S411" s="6" t="b">
        <f>C411='Plano de Contas'!C411</f>
        <v>1</v>
      </c>
    </row>
    <row r="412" spans="1:19" x14ac:dyDescent="0.2">
      <c r="A412" s="17" t="s">
        <v>2194</v>
      </c>
      <c r="B412" s="1" t="s">
        <v>40</v>
      </c>
      <c r="C412" s="1" t="s">
        <v>768</v>
      </c>
      <c r="D412" s="2" t="s">
        <v>196</v>
      </c>
      <c r="E412" s="2" t="s">
        <v>477</v>
      </c>
      <c r="F412" s="2" t="s">
        <v>769</v>
      </c>
      <c r="G412" s="4" t="s">
        <v>1492</v>
      </c>
      <c r="H412" s="2">
        <v>11</v>
      </c>
      <c r="I412" s="3" t="s">
        <v>772</v>
      </c>
      <c r="J412" s="2" t="s">
        <v>768</v>
      </c>
      <c r="K412" s="2" t="s">
        <v>769</v>
      </c>
      <c r="S412" s="6" t="b">
        <f>C412='Plano de Contas'!C412</f>
        <v>1</v>
      </c>
    </row>
    <row r="413" spans="1:19" x14ac:dyDescent="0.2">
      <c r="A413" s="18" t="s">
        <v>2195</v>
      </c>
      <c r="B413" s="2" t="s">
        <v>54</v>
      </c>
      <c r="C413" s="2" t="s">
        <v>768</v>
      </c>
      <c r="D413" s="2" t="s">
        <v>196</v>
      </c>
      <c r="E413" s="2" t="s">
        <v>477</v>
      </c>
      <c r="F413" s="2" t="s">
        <v>769</v>
      </c>
      <c r="G413" s="4" t="s">
        <v>1492</v>
      </c>
      <c r="H413" s="2">
        <v>16</v>
      </c>
      <c r="I413" s="3" t="s">
        <v>1492</v>
      </c>
      <c r="J413" s="2" t="s">
        <v>768</v>
      </c>
      <c r="K413" s="2" t="s">
        <v>769</v>
      </c>
      <c r="S413" s="6" t="b">
        <f>C413='Plano de Contas'!C413</f>
        <v>1</v>
      </c>
    </row>
    <row r="414" spans="1:19" x14ac:dyDescent="0.2">
      <c r="A414" s="18" t="s">
        <v>2196</v>
      </c>
      <c r="B414" s="2" t="s">
        <v>54</v>
      </c>
      <c r="C414" s="2" t="s">
        <v>775</v>
      </c>
      <c r="D414" s="2" t="s">
        <v>196</v>
      </c>
      <c r="E414" s="2" t="s">
        <v>477</v>
      </c>
      <c r="F414" s="2" t="s">
        <v>769</v>
      </c>
      <c r="G414" s="4" t="s">
        <v>1492</v>
      </c>
      <c r="H414" s="2">
        <v>16</v>
      </c>
      <c r="I414" s="3" t="s">
        <v>1492</v>
      </c>
      <c r="J414" s="2" t="s">
        <v>768</v>
      </c>
      <c r="K414" s="2" t="s">
        <v>776</v>
      </c>
      <c r="S414" s="6" t="b">
        <f>C414='Plano de Contas'!C414</f>
        <v>1</v>
      </c>
    </row>
    <row r="415" spans="1:19" x14ac:dyDescent="0.2">
      <c r="A415" s="18" t="s">
        <v>2197</v>
      </c>
      <c r="B415" s="2" t="s">
        <v>54</v>
      </c>
      <c r="C415" s="2" t="s">
        <v>778</v>
      </c>
      <c r="D415" s="2" t="s">
        <v>196</v>
      </c>
      <c r="E415" s="2" t="s">
        <v>477</v>
      </c>
      <c r="F415" s="2" t="s">
        <v>769</v>
      </c>
      <c r="G415" s="4" t="s">
        <v>1492</v>
      </c>
      <c r="H415" s="2">
        <v>16</v>
      </c>
      <c r="I415" s="3" t="s">
        <v>1492</v>
      </c>
      <c r="J415" s="2" t="s">
        <v>768</v>
      </c>
      <c r="K415" s="2" t="s">
        <v>779</v>
      </c>
      <c r="S415" s="6" t="b">
        <f>C415='Plano de Contas'!C415</f>
        <v>1</v>
      </c>
    </row>
    <row r="416" spans="1:19" x14ac:dyDescent="0.2">
      <c r="A416" s="17" t="s">
        <v>2198</v>
      </c>
      <c r="B416" s="1" t="s">
        <v>40</v>
      </c>
      <c r="C416" s="1" t="s">
        <v>781</v>
      </c>
      <c r="D416" s="2" t="s">
        <v>196</v>
      </c>
      <c r="E416" s="2" t="s">
        <v>477</v>
      </c>
      <c r="F416" s="2" t="s">
        <v>769</v>
      </c>
      <c r="G416" s="4" t="s">
        <v>1492</v>
      </c>
      <c r="H416" s="2">
        <v>8</v>
      </c>
      <c r="I416" s="3" t="s">
        <v>1492</v>
      </c>
      <c r="J416" s="2" t="s">
        <v>781</v>
      </c>
      <c r="K416" s="2" t="s">
        <v>782</v>
      </c>
      <c r="S416" s="6" t="b">
        <f>C416='Plano de Contas'!C416</f>
        <v>1</v>
      </c>
    </row>
    <row r="417" spans="1:19" x14ac:dyDescent="0.2">
      <c r="A417" s="17" t="s">
        <v>2199</v>
      </c>
      <c r="B417" s="1" t="s">
        <v>40</v>
      </c>
      <c r="C417" s="1" t="s">
        <v>784</v>
      </c>
      <c r="D417" s="2" t="s">
        <v>196</v>
      </c>
      <c r="E417" s="2" t="s">
        <v>477</v>
      </c>
      <c r="F417" s="2" t="s">
        <v>769</v>
      </c>
      <c r="G417" s="4" t="s">
        <v>1492</v>
      </c>
      <c r="H417" s="2">
        <v>11</v>
      </c>
      <c r="I417" s="3" t="s">
        <v>783</v>
      </c>
      <c r="J417" s="2" t="s">
        <v>784</v>
      </c>
      <c r="K417" s="2" t="s">
        <v>782</v>
      </c>
      <c r="S417" s="6" t="b">
        <f>C417='Plano de Contas'!C417</f>
        <v>1</v>
      </c>
    </row>
    <row r="418" spans="1:19" x14ac:dyDescent="0.2">
      <c r="A418" s="18" t="s">
        <v>2200</v>
      </c>
      <c r="B418" s="2" t="s">
        <v>54</v>
      </c>
      <c r="C418" s="6" t="s">
        <v>786</v>
      </c>
      <c r="D418" s="2" t="s">
        <v>196</v>
      </c>
      <c r="E418" s="2" t="s">
        <v>477</v>
      </c>
      <c r="F418" s="2" t="s">
        <v>769</v>
      </c>
      <c r="G418" s="4" t="s">
        <v>1492</v>
      </c>
      <c r="H418" s="2">
        <v>16</v>
      </c>
      <c r="I418" s="3" t="s">
        <v>1492</v>
      </c>
      <c r="J418" s="2" t="s">
        <v>784</v>
      </c>
      <c r="K418" s="2" t="s">
        <v>787</v>
      </c>
      <c r="S418" s="6" t="b">
        <f>C418='Plano de Contas'!C418</f>
        <v>1</v>
      </c>
    </row>
    <row r="419" spans="1:19" x14ac:dyDescent="0.2">
      <c r="A419" s="18" t="s">
        <v>2201</v>
      </c>
      <c r="B419" s="2" t="s">
        <v>54</v>
      </c>
      <c r="C419" s="2" t="s">
        <v>789</v>
      </c>
      <c r="D419" s="2" t="s">
        <v>196</v>
      </c>
      <c r="E419" s="2" t="s">
        <v>477</v>
      </c>
      <c r="F419" s="2" t="s">
        <v>769</v>
      </c>
      <c r="G419" s="4" t="s">
        <v>1492</v>
      </c>
      <c r="H419" s="2">
        <v>16</v>
      </c>
      <c r="I419" s="3" t="s">
        <v>1492</v>
      </c>
      <c r="J419" s="2" t="s">
        <v>784</v>
      </c>
      <c r="K419" s="2" t="s">
        <v>790</v>
      </c>
      <c r="S419" s="6" t="b">
        <f>C419='Plano de Contas'!C419</f>
        <v>1</v>
      </c>
    </row>
    <row r="420" spans="1:19" x14ac:dyDescent="0.2">
      <c r="A420" s="17" t="s">
        <v>2202</v>
      </c>
      <c r="B420" s="1" t="s">
        <v>40</v>
      </c>
      <c r="C420" s="1" t="s">
        <v>792</v>
      </c>
      <c r="D420" s="2" t="s">
        <v>793</v>
      </c>
      <c r="E420" s="2" t="s">
        <v>477</v>
      </c>
      <c r="F420" s="2" t="s">
        <v>769</v>
      </c>
      <c r="G420" s="4" t="s">
        <v>1492</v>
      </c>
      <c r="H420" s="2">
        <v>8</v>
      </c>
      <c r="I420" s="3" t="s">
        <v>1492</v>
      </c>
      <c r="J420" s="2" t="s">
        <v>792</v>
      </c>
      <c r="K420" s="2" t="s">
        <v>794</v>
      </c>
      <c r="S420" s="6" t="b">
        <f>C420='Plano de Contas'!C420</f>
        <v>1</v>
      </c>
    </row>
    <row r="421" spans="1:19" x14ac:dyDescent="0.2">
      <c r="A421" s="17" t="s">
        <v>2203</v>
      </c>
      <c r="B421" s="1" t="s">
        <v>40</v>
      </c>
      <c r="C421" s="1" t="s">
        <v>792</v>
      </c>
      <c r="D421" s="2" t="s">
        <v>793</v>
      </c>
      <c r="E421" s="2" t="s">
        <v>477</v>
      </c>
      <c r="F421" s="2" t="s">
        <v>769</v>
      </c>
      <c r="G421" s="4" t="s">
        <v>1492</v>
      </c>
      <c r="H421" s="2">
        <v>11</v>
      </c>
      <c r="I421" s="3" t="s">
        <v>795</v>
      </c>
      <c r="J421" s="2" t="s">
        <v>792</v>
      </c>
      <c r="K421" s="2" t="s">
        <v>794</v>
      </c>
      <c r="S421" s="6" t="b">
        <f>C421='Plano de Contas'!C421</f>
        <v>1</v>
      </c>
    </row>
    <row r="422" spans="1:19" x14ac:dyDescent="0.2">
      <c r="A422" s="18" t="s">
        <v>2204</v>
      </c>
      <c r="B422" s="2" t="s">
        <v>54</v>
      </c>
      <c r="C422" s="2" t="s">
        <v>797</v>
      </c>
      <c r="D422" s="2" t="s">
        <v>793</v>
      </c>
      <c r="E422" s="2" t="s">
        <v>477</v>
      </c>
      <c r="F422" s="2" t="s">
        <v>769</v>
      </c>
      <c r="G422" s="4" t="s">
        <v>1492</v>
      </c>
      <c r="H422" s="2">
        <v>16</v>
      </c>
      <c r="I422" s="3" t="s">
        <v>1492</v>
      </c>
      <c r="J422" s="2" t="s">
        <v>792</v>
      </c>
      <c r="K422" s="2" t="s">
        <v>794</v>
      </c>
      <c r="S422" s="6" t="b">
        <f>C422='Plano de Contas'!C422</f>
        <v>1</v>
      </c>
    </row>
    <row r="423" spans="1:19" x14ac:dyDescent="0.2">
      <c r="A423" s="18" t="s">
        <v>2205</v>
      </c>
      <c r="B423" s="2" t="s">
        <v>54</v>
      </c>
      <c r="C423" s="2" t="s">
        <v>799</v>
      </c>
      <c r="D423" s="2" t="s">
        <v>793</v>
      </c>
      <c r="E423" s="2" t="s">
        <v>477</v>
      </c>
      <c r="F423" s="2" t="s">
        <v>769</v>
      </c>
      <c r="G423" s="4" t="s">
        <v>1492</v>
      </c>
      <c r="H423" s="2">
        <v>16</v>
      </c>
      <c r="I423" s="3" t="s">
        <v>1492</v>
      </c>
      <c r="J423" s="2" t="s">
        <v>792</v>
      </c>
      <c r="K423" s="2" t="s">
        <v>800</v>
      </c>
      <c r="S423" s="6" t="b">
        <f>C423='Plano de Contas'!C423</f>
        <v>1</v>
      </c>
    </row>
    <row r="424" spans="1:19" x14ac:dyDescent="0.2">
      <c r="A424" s="17" t="s">
        <v>2206</v>
      </c>
      <c r="B424" s="1" t="s">
        <v>40</v>
      </c>
      <c r="C424" s="1" t="s">
        <v>802</v>
      </c>
      <c r="D424" s="2" t="s">
        <v>196</v>
      </c>
      <c r="E424" s="2" t="s">
        <v>477</v>
      </c>
      <c r="F424" s="2" t="s">
        <v>1493</v>
      </c>
      <c r="G424" s="4" t="s">
        <v>1492</v>
      </c>
      <c r="H424" s="2">
        <v>3</v>
      </c>
      <c r="I424" s="3" t="s">
        <v>1492</v>
      </c>
      <c r="J424" s="2" t="s">
        <v>802</v>
      </c>
      <c r="K424" s="2" t="s">
        <v>440</v>
      </c>
      <c r="S424" s="6" t="b">
        <f>C424='Plano de Contas'!C424</f>
        <v>1</v>
      </c>
    </row>
    <row r="425" spans="1:19" x14ac:dyDescent="0.2">
      <c r="A425" s="17" t="s">
        <v>2207</v>
      </c>
      <c r="B425" s="1" t="s">
        <v>40</v>
      </c>
      <c r="C425" s="1" t="s">
        <v>804</v>
      </c>
      <c r="D425" s="2" t="s">
        <v>196</v>
      </c>
      <c r="E425" s="2" t="s">
        <v>477</v>
      </c>
      <c r="F425" s="2" t="s">
        <v>1493</v>
      </c>
      <c r="G425" s="4" t="s">
        <v>1492</v>
      </c>
      <c r="H425" s="2">
        <v>5</v>
      </c>
      <c r="I425" s="3" t="s">
        <v>1492</v>
      </c>
      <c r="J425" s="2" t="s">
        <v>804</v>
      </c>
      <c r="K425" s="2" t="s">
        <v>440</v>
      </c>
      <c r="S425" s="6" t="b">
        <f>C425='Plano de Contas'!C425</f>
        <v>1</v>
      </c>
    </row>
    <row r="426" spans="1:19" x14ac:dyDescent="0.2">
      <c r="A426" s="17" t="s">
        <v>2208</v>
      </c>
      <c r="B426" s="1" t="s">
        <v>40</v>
      </c>
      <c r="C426" s="1" t="s">
        <v>806</v>
      </c>
      <c r="D426" s="2" t="s">
        <v>196</v>
      </c>
      <c r="E426" s="2" t="s">
        <v>477</v>
      </c>
      <c r="F426" s="2" t="s">
        <v>1493</v>
      </c>
      <c r="G426" s="4" t="s">
        <v>1492</v>
      </c>
      <c r="H426" s="2">
        <v>8</v>
      </c>
      <c r="I426" s="3" t="s">
        <v>1492</v>
      </c>
      <c r="J426" s="2" t="s">
        <v>806</v>
      </c>
      <c r="K426" s="2" t="s">
        <v>440</v>
      </c>
      <c r="S426" s="6" t="b">
        <f>C426='Plano de Contas'!C426</f>
        <v>1</v>
      </c>
    </row>
    <row r="427" spans="1:19" x14ac:dyDescent="0.2">
      <c r="A427" s="17" t="s">
        <v>2209</v>
      </c>
      <c r="B427" s="1" t="s">
        <v>40</v>
      </c>
      <c r="C427" s="1" t="s">
        <v>806</v>
      </c>
      <c r="D427" s="2" t="s">
        <v>196</v>
      </c>
      <c r="E427" s="2" t="s">
        <v>477</v>
      </c>
      <c r="F427" s="2" t="s">
        <v>1493</v>
      </c>
      <c r="G427" s="4" t="s">
        <v>1492</v>
      </c>
      <c r="H427" s="2">
        <v>11</v>
      </c>
      <c r="I427" s="3" t="s">
        <v>807</v>
      </c>
      <c r="J427" s="2" t="s">
        <v>806</v>
      </c>
      <c r="K427" s="2" t="s">
        <v>440</v>
      </c>
      <c r="S427" s="6" t="b">
        <f>C427='Plano de Contas'!C427</f>
        <v>1</v>
      </c>
    </row>
    <row r="428" spans="1:19" x14ac:dyDescent="0.2">
      <c r="A428" s="18" t="s">
        <v>2210</v>
      </c>
      <c r="B428" s="2" t="s">
        <v>54</v>
      </c>
      <c r="C428" s="2" t="s">
        <v>809</v>
      </c>
      <c r="D428" s="2" t="s">
        <v>196</v>
      </c>
      <c r="E428" s="2" t="s">
        <v>477</v>
      </c>
      <c r="F428" s="2" t="s">
        <v>1493</v>
      </c>
      <c r="G428" s="4" t="s">
        <v>1492</v>
      </c>
      <c r="H428" s="2">
        <v>16</v>
      </c>
      <c r="I428" s="3" t="s">
        <v>1492</v>
      </c>
      <c r="J428" s="2" t="s">
        <v>806</v>
      </c>
      <c r="K428" s="2" t="s">
        <v>440</v>
      </c>
      <c r="S428" s="6" t="b">
        <f>C428='Plano de Contas'!C428</f>
        <v>1</v>
      </c>
    </row>
    <row r="429" spans="1:19" x14ac:dyDescent="0.2">
      <c r="A429" s="17" t="s">
        <v>2211</v>
      </c>
      <c r="B429" s="1" t="s">
        <v>40</v>
      </c>
      <c r="C429" s="1" t="s">
        <v>811</v>
      </c>
      <c r="D429" s="2" t="s">
        <v>196</v>
      </c>
      <c r="E429" s="2" t="s">
        <v>477</v>
      </c>
      <c r="F429" s="2" t="s">
        <v>1493</v>
      </c>
      <c r="G429" s="4" t="s">
        <v>1492</v>
      </c>
      <c r="H429" s="2">
        <v>8</v>
      </c>
      <c r="I429" s="3" t="s">
        <v>1492</v>
      </c>
      <c r="J429" s="2" t="s">
        <v>811</v>
      </c>
      <c r="K429" s="2" t="s">
        <v>440</v>
      </c>
      <c r="S429" s="6" t="b">
        <f>C429='Plano de Contas'!C429</f>
        <v>1</v>
      </c>
    </row>
    <row r="430" spans="1:19" x14ac:dyDescent="0.2">
      <c r="A430" s="17" t="s">
        <v>2212</v>
      </c>
      <c r="B430" s="1" t="s">
        <v>40</v>
      </c>
      <c r="C430" s="1" t="s">
        <v>811</v>
      </c>
      <c r="D430" s="2" t="s">
        <v>196</v>
      </c>
      <c r="E430" s="2" t="s">
        <v>477</v>
      </c>
      <c r="F430" s="2" t="s">
        <v>1493</v>
      </c>
      <c r="G430" s="4" t="s">
        <v>1492</v>
      </c>
      <c r="H430" s="2">
        <v>11</v>
      </c>
      <c r="I430" s="3" t="s">
        <v>812</v>
      </c>
      <c r="J430" s="2" t="s">
        <v>811</v>
      </c>
      <c r="K430" s="2" t="s">
        <v>440</v>
      </c>
      <c r="S430" s="6" t="b">
        <f>C430='Plano de Contas'!C430</f>
        <v>1</v>
      </c>
    </row>
    <row r="431" spans="1:19" x14ac:dyDescent="0.2">
      <c r="A431" s="18" t="s">
        <v>2213</v>
      </c>
      <c r="B431" s="2" t="s">
        <v>54</v>
      </c>
      <c r="C431" s="2" t="s">
        <v>811</v>
      </c>
      <c r="D431" s="2" t="s">
        <v>196</v>
      </c>
      <c r="E431" s="2" t="s">
        <v>477</v>
      </c>
      <c r="F431" s="2" t="s">
        <v>1493</v>
      </c>
      <c r="G431" s="4" t="s">
        <v>1492</v>
      </c>
      <c r="H431" s="2">
        <v>16</v>
      </c>
      <c r="I431" s="3" t="s">
        <v>1492</v>
      </c>
      <c r="J431" s="2" t="s">
        <v>811</v>
      </c>
      <c r="K431" s="2" t="s">
        <v>440</v>
      </c>
      <c r="S431" s="6" t="b">
        <f>C431='Plano de Contas'!C431</f>
        <v>1</v>
      </c>
    </row>
    <row r="432" spans="1:19" x14ac:dyDescent="0.2">
      <c r="A432" s="18" t="s">
        <v>2214</v>
      </c>
      <c r="B432" s="2" t="s">
        <v>54</v>
      </c>
      <c r="C432" s="2" t="s">
        <v>815</v>
      </c>
      <c r="D432" s="2" t="s">
        <v>196</v>
      </c>
      <c r="E432" s="2" t="s">
        <v>477</v>
      </c>
      <c r="F432" s="2" t="s">
        <v>1493</v>
      </c>
      <c r="G432" s="4" t="s">
        <v>1492</v>
      </c>
      <c r="H432" s="2">
        <v>16</v>
      </c>
      <c r="I432" s="3" t="s">
        <v>1492</v>
      </c>
      <c r="J432" s="2" t="s">
        <v>811</v>
      </c>
      <c r="K432" s="2" t="s">
        <v>440</v>
      </c>
      <c r="S432" s="6" t="b">
        <f>C432='Plano de Contas'!C432</f>
        <v>1</v>
      </c>
    </row>
    <row r="433" spans="1:19" x14ac:dyDescent="0.2">
      <c r="A433" s="17" t="s">
        <v>2215</v>
      </c>
      <c r="B433" s="1" t="s">
        <v>40</v>
      </c>
      <c r="C433" s="1" t="s">
        <v>781</v>
      </c>
      <c r="D433" s="2" t="s">
        <v>196</v>
      </c>
      <c r="E433" s="2" t="s">
        <v>477</v>
      </c>
      <c r="F433" s="2" t="s">
        <v>1493</v>
      </c>
      <c r="G433" s="4" t="s">
        <v>1492</v>
      </c>
      <c r="H433" s="2">
        <v>5</v>
      </c>
      <c r="I433" s="3" t="s">
        <v>1492</v>
      </c>
      <c r="J433" s="2" t="s">
        <v>781</v>
      </c>
      <c r="K433" s="2" t="s">
        <v>440</v>
      </c>
      <c r="S433" s="6" t="b">
        <f>C433='Plano de Contas'!C433</f>
        <v>1</v>
      </c>
    </row>
    <row r="434" spans="1:19" x14ac:dyDescent="0.2">
      <c r="A434" s="17" t="s">
        <v>2216</v>
      </c>
      <c r="B434" s="1" t="s">
        <v>40</v>
      </c>
      <c r="C434" s="1" t="s">
        <v>784</v>
      </c>
      <c r="D434" s="2" t="s">
        <v>196</v>
      </c>
      <c r="E434" s="2" t="s">
        <v>477</v>
      </c>
      <c r="F434" s="2" t="s">
        <v>1493</v>
      </c>
      <c r="G434" s="4" t="s">
        <v>1492</v>
      </c>
      <c r="H434" s="2">
        <v>8</v>
      </c>
      <c r="I434" s="3" t="s">
        <v>1492</v>
      </c>
      <c r="J434" s="2" t="s">
        <v>784</v>
      </c>
      <c r="K434" s="2" t="s">
        <v>440</v>
      </c>
      <c r="S434" s="6" t="b">
        <f>C434='Plano de Contas'!C434</f>
        <v>1</v>
      </c>
    </row>
    <row r="435" spans="1:19" x14ac:dyDescent="0.2">
      <c r="A435" s="17" t="s">
        <v>2217</v>
      </c>
      <c r="B435" s="1" t="s">
        <v>40</v>
      </c>
      <c r="C435" s="1" t="s">
        <v>784</v>
      </c>
      <c r="D435" s="2" t="s">
        <v>196</v>
      </c>
      <c r="E435" s="2" t="s">
        <v>477</v>
      </c>
      <c r="F435" s="2" t="s">
        <v>1493</v>
      </c>
      <c r="G435" s="4" t="s">
        <v>1492</v>
      </c>
      <c r="H435" s="2">
        <v>11</v>
      </c>
      <c r="I435" s="3" t="s">
        <v>818</v>
      </c>
      <c r="J435" s="2" t="s">
        <v>784</v>
      </c>
      <c r="K435" s="2" t="s">
        <v>440</v>
      </c>
      <c r="S435" s="6" t="b">
        <f>C435='Plano de Contas'!C435</f>
        <v>1</v>
      </c>
    </row>
    <row r="436" spans="1:19" x14ac:dyDescent="0.2">
      <c r="A436" s="18" t="s">
        <v>2218</v>
      </c>
      <c r="B436" s="2" t="s">
        <v>54</v>
      </c>
      <c r="C436" s="2" t="s">
        <v>784</v>
      </c>
      <c r="D436" s="2" t="s">
        <v>196</v>
      </c>
      <c r="E436" s="2" t="s">
        <v>477</v>
      </c>
      <c r="F436" s="2" t="s">
        <v>1493</v>
      </c>
      <c r="G436" s="4" t="s">
        <v>1492</v>
      </c>
      <c r="H436" s="2">
        <v>16</v>
      </c>
      <c r="I436" s="3" t="s">
        <v>1492</v>
      </c>
      <c r="J436" s="2" t="s">
        <v>784</v>
      </c>
      <c r="K436" s="2" t="s">
        <v>440</v>
      </c>
      <c r="S436" s="6" t="b">
        <f>C436='Plano de Contas'!C436</f>
        <v>1</v>
      </c>
    </row>
    <row r="437" spans="1:19" x14ac:dyDescent="0.2">
      <c r="A437" s="17" t="s">
        <v>2219</v>
      </c>
      <c r="B437" s="1" t="s">
        <v>40</v>
      </c>
      <c r="C437" s="1" t="s">
        <v>821</v>
      </c>
      <c r="D437" s="2" t="s">
        <v>196</v>
      </c>
      <c r="E437" s="2" t="s">
        <v>477</v>
      </c>
      <c r="F437" s="2" t="s">
        <v>1493</v>
      </c>
      <c r="G437" s="4" t="s">
        <v>1492</v>
      </c>
      <c r="H437" s="2">
        <v>8</v>
      </c>
      <c r="I437" s="3" t="s">
        <v>1492</v>
      </c>
      <c r="J437" s="2" t="s">
        <v>821</v>
      </c>
      <c r="K437" s="2" t="s">
        <v>440</v>
      </c>
      <c r="S437" s="6" t="b">
        <f>C437='Plano de Contas'!C437</f>
        <v>1</v>
      </c>
    </row>
    <row r="438" spans="1:19" x14ac:dyDescent="0.2">
      <c r="A438" s="17" t="s">
        <v>2220</v>
      </c>
      <c r="B438" s="1" t="s">
        <v>40</v>
      </c>
      <c r="C438" s="1" t="s">
        <v>821</v>
      </c>
      <c r="D438" s="2" t="s">
        <v>196</v>
      </c>
      <c r="E438" s="2" t="s">
        <v>477</v>
      </c>
      <c r="F438" s="2" t="s">
        <v>1493</v>
      </c>
      <c r="G438" s="4" t="s">
        <v>1492</v>
      </c>
      <c r="H438" s="2">
        <v>11</v>
      </c>
      <c r="I438" s="3" t="s">
        <v>822</v>
      </c>
      <c r="J438" s="2" t="s">
        <v>821</v>
      </c>
      <c r="K438" s="2" t="s">
        <v>440</v>
      </c>
      <c r="S438" s="6" t="b">
        <f>C438='Plano de Contas'!C438</f>
        <v>1</v>
      </c>
    </row>
    <row r="439" spans="1:19" x14ac:dyDescent="0.2">
      <c r="A439" s="18" t="s">
        <v>2221</v>
      </c>
      <c r="B439" s="2" t="s">
        <v>54</v>
      </c>
      <c r="C439" s="2" t="s">
        <v>824</v>
      </c>
      <c r="D439" s="2" t="s">
        <v>196</v>
      </c>
      <c r="E439" s="2" t="s">
        <v>477</v>
      </c>
      <c r="F439" s="2" t="s">
        <v>1493</v>
      </c>
      <c r="G439" s="4" t="s">
        <v>1492</v>
      </c>
      <c r="H439" s="2">
        <v>16</v>
      </c>
      <c r="I439" s="3" t="s">
        <v>1492</v>
      </c>
      <c r="J439" s="2" t="s">
        <v>821</v>
      </c>
      <c r="K439" s="2" t="s">
        <v>440</v>
      </c>
      <c r="S439" s="6" t="b">
        <f>C439='Plano de Contas'!C439</f>
        <v>1</v>
      </c>
    </row>
    <row r="440" spans="1:19" x14ac:dyDescent="0.2">
      <c r="A440" s="18" t="s">
        <v>2222</v>
      </c>
      <c r="B440" s="2" t="s">
        <v>54</v>
      </c>
      <c r="C440" s="2" t="s">
        <v>826</v>
      </c>
      <c r="D440" s="2" t="s">
        <v>196</v>
      </c>
      <c r="E440" s="2" t="s">
        <v>477</v>
      </c>
      <c r="F440" s="2" t="s">
        <v>1493</v>
      </c>
      <c r="G440" s="4" t="s">
        <v>1492</v>
      </c>
      <c r="H440" s="2">
        <v>16</v>
      </c>
      <c r="I440" s="3" t="s">
        <v>1492</v>
      </c>
      <c r="J440" s="2" t="s">
        <v>821</v>
      </c>
      <c r="K440" s="2" t="s">
        <v>440</v>
      </c>
      <c r="S440" s="6" t="b">
        <f>C440='Plano de Contas'!C440</f>
        <v>1</v>
      </c>
    </row>
    <row r="441" spans="1:19" x14ac:dyDescent="0.2">
      <c r="A441" s="18" t="s">
        <v>2223</v>
      </c>
      <c r="B441" s="2" t="s">
        <v>54</v>
      </c>
      <c r="C441" s="2" t="s">
        <v>828</v>
      </c>
      <c r="D441" s="2" t="s">
        <v>196</v>
      </c>
      <c r="E441" s="2" t="s">
        <v>477</v>
      </c>
      <c r="F441" s="2" t="s">
        <v>1493</v>
      </c>
      <c r="G441" s="4" t="s">
        <v>1492</v>
      </c>
      <c r="H441" s="2">
        <v>16</v>
      </c>
      <c r="I441" s="3" t="s">
        <v>1492</v>
      </c>
      <c r="J441" s="2" t="s">
        <v>821</v>
      </c>
      <c r="K441" s="2" t="s">
        <v>440</v>
      </c>
      <c r="S441" s="6" t="b">
        <f>C441='Plano de Contas'!C441</f>
        <v>1</v>
      </c>
    </row>
    <row r="442" spans="1:19" x14ac:dyDescent="0.2">
      <c r="A442" s="18" t="s">
        <v>2224</v>
      </c>
      <c r="B442" s="2" t="s">
        <v>54</v>
      </c>
      <c r="C442" s="2" t="s">
        <v>830</v>
      </c>
      <c r="D442" s="2" t="s">
        <v>196</v>
      </c>
      <c r="E442" s="2" t="s">
        <v>477</v>
      </c>
      <c r="F442" s="2" t="s">
        <v>1493</v>
      </c>
      <c r="G442" s="4" t="s">
        <v>1492</v>
      </c>
      <c r="H442" s="2">
        <v>16</v>
      </c>
      <c r="I442" s="3" t="s">
        <v>1492</v>
      </c>
      <c r="J442" s="2" t="s">
        <v>821</v>
      </c>
      <c r="K442" s="2" t="s">
        <v>440</v>
      </c>
      <c r="S442" s="6" t="b">
        <f>C442='Plano de Contas'!C442</f>
        <v>1</v>
      </c>
    </row>
    <row r="443" spans="1:19" x14ac:dyDescent="0.2">
      <c r="A443" s="18" t="s">
        <v>2225</v>
      </c>
      <c r="B443" s="2" t="s">
        <v>54</v>
      </c>
      <c r="C443" s="2" t="s">
        <v>832</v>
      </c>
      <c r="D443" s="2" t="s">
        <v>196</v>
      </c>
      <c r="E443" s="2" t="s">
        <v>477</v>
      </c>
      <c r="F443" s="2" t="s">
        <v>1493</v>
      </c>
      <c r="G443" s="4" t="s">
        <v>1492</v>
      </c>
      <c r="H443" s="2">
        <v>16</v>
      </c>
      <c r="I443" s="3" t="s">
        <v>1492</v>
      </c>
      <c r="J443" s="2" t="s">
        <v>821</v>
      </c>
      <c r="K443" s="2" t="s">
        <v>440</v>
      </c>
      <c r="S443" s="6" t="b">
        <f>C443='Plano de Contas'!C443</f>
        <v>1</v>
      </c>
    </row>
    <row r="444" spans="1:19" x14ac:dyDescent="0.2">
      <c r="A444" s="18" t="s">
        <v>2226</v>
      </c>
      <c r="B444" s="2" t="s">
        <v>54</v>
      </c>
      <c r="C444" s="2" t="s">
        <v>834</v>
      </c>
      <c r="D444" s="2" t="s">
        <v>196</v>
      </c>
      <c r="E444" s="2" t="s">
        <v>477</v>
      </c>
      <c r="F444" s="2" t="s">
        <v>1493</v>
      </c>
      <c r="G444" s="4" t="s">
        <v>1492</v>
      </c>
      <c r="H444" s="2">
        <v>16</v>
      </c>
      <c r="I444" s="3" t="s">
        <v>1492</v>
      </c>
      <c r="J444" s="2" t="s">
        <v>821</v>
      </c>
      <c r="K444" s="2" t="s">
        <v>440</v>
      </c>
      <c r="S444" s="6" t="b">
        <f>C444='Plano de Contas'!C444</f>
        <v>1</v>
      </c>
    </row>
    <row r="445" spans="1:19" x14ac:dyDescent="0.2">
      <c r="A445" s="17" t="s">
        <v>2227</v>
      </c>
      <c r="B445" s="1" t="s">
        <v>40</v>
      </c>
      <c r="C445" s="1" t="s">
        <v>836</v>
      </c>
      <c r="D445" s="2" t="s">
        <v>196</v>
      </c>
      <c r="E445" s="2" t="s">
        <v>477</v>
      </c>
      <c r="F445" s="2" t="s">
        <v>1493</v>
      </c>
      <c r="G445" s="4" t="s">
        <v>1492</v>
      </c>
      <c r="H445" s="2">
        <v>5</v>
      </c>
      <c r="I445" s="3" t="s">
        <v>1492</v>
      </c>
      <c r="J445" s="2" t="s">
        <v>836</v>
      </c>
      <c r="K445" s="2" t="s">
        <v>440</v>
      </c>
      <c r="S445" s="6" t="b">
        <f>C445='Plano de Contas'!C445</f>
        <v>1</v>
      </c>
    </row>
    <row r="446" spans="1:19" x14ac:dyDescent="0.2">
      <c r="A446" s="17" t="s">
        <v>2228</v>
      </c>
      <c r="B446" s="1" t="s">
        <v>40</v>
      </c>
      <c r="C446" s="1" t="s">
        <v>836</v>
      </c>
      <c r="D446" s="2" t="s">
        <v>196</v>
      </c>
      <c r="E446" s="2" t="s">
        <v>477</v>
      </c>
      <c r="F446" s="2" t="s">
        <v>1493</v>
      </c>
      <c r="G446" s="4" t="s">
        <v>1492</v>
      </c>
      <c r="H446" s="2">
        <v>8</v>
      </c>
      <c r="I446" s="3" t="s">
        <v>1492</v>
      </c>
      <c r="J446" s="2" t="s">
        <v>836</v>
      </c>
      <c r="K446" s="2" t="s">
        <v>440</v>
      </c>
      <c r="S446" s="6" t="b">
        <f>C446='Plano de Contas'!C446</f>
        <v>1</v>
      </c>
    </row>
    <row r="447" spans="1:19" x14ac:dyDescent="0.2">
      <c r="A447" s="17" t="s">
        <v>2229</v>
      </c>
      <c r="B447" s="1" t="s">
        <v>40</v>
      </c>
      <c r="C447" s="1" t="s">
        <v>836</v>
      </c>
      <c r="D447" s="2" t="s">
        <v>196</v>
      </c>
      <c r="E447" s="2" t="s">
        <v>477</v>
      </c>
      <c r="F447" s="2" t="s">
        <v>1493</v>
      </c>
      <c r="G447" s="4" t="s">
        <v>1492</v>
      </c>
      <c r="H447" s="2">
        <v>11</v>
      </c>
      <c r="I447" s="3" t="s">
        <v>838</v>
      </c>
      <c r="J447" s="2" t="s">
        <v>836</v>
      </c>
      <c r="K447" s="2" t="s">
        <v>440</v>
      </c>
      <c r="S447" s="6" t="b">
        <f>C447='Plano de Contas'!C447</f>
        <v>1</v>
      </c>
    </row>
    <row r="448" spans="1:19" x14ac:dyDescent="0.2">
      <c r="A448" s="18" t="s">
        <v>2230</v>
      </c>
      <c r="B448" s="2" t="s">
        <v>54</v>
      </c>
      <c r="C448" s="2" t="s">
        <v>840</v>
      </c>
      <c r="D448" s="2" t="s">
        <v>196</v>
      </c>
      <c r="E448" s="2" t="s">
        <v>477</v>
      </c>
      <c r="F448" s="2" t="s">
        <v>1493</v>
      </c>
      <c r="G448" s="4" t="s">
        <v>1492</v>
      </c>
      <c r="H448" s="2">
        <v>16</v>
      </c>
      <c r="I448" s="3" t="s">
        <v>1492</v>
      </c>
      <c r="J448" s="2" t="s">
        <v>836</v>
      </c>
      <c r="K448" s="2" t="s">
        <v>440</v>
      </c>
      <c r="S448" s="6" t="b">
        <f>C448='Plano de Contas'!C448</f>
        <v>1</v>
      </c>
    </row>
    <row r="449" spans="1:19" x14ac:dyDescent="0.2">
      <c r="A449" s="18" t="s">
        <v>2231</v>
      </c>
      <c r="B449" s="2" t="s">
        <v>54</v>
      </c>
      <c r="C449" s="2" t="s">
        <v>842</v>
      </c>
      <c r="D449" s="2" t="s">
        <v>42</v>
      </c>
      <c r="E449" s="2" t="s">
        <v>477</v>
      </c>
      <c r="F449" s="2" t="s">
        <v>1493</v>
      </c>
      <c r="G449" s="4" t="s">
        <v>1492</v>
      </c>
      <c r="H449" s="2">
        <v>16</v>
      </c>
      <c r="I449" s="3" t="s">
        <v>1492</v>
      </c>
      <c r="J449" s="2" t="s">
        <v>836</v>
      </c>
      <c r="K449" s="2" t="s">
        <v>440</v>
      </c>
      <c r="S449" s="6" t="b">
        <f>C449='Plano de Contas'!C449</f>
        <v>1</v>
      </c>
    </row>
    <row r="450" spans="1:19" x14ac:dyDescent="0.2">
      <c r="A450" s="17" t="s">
        <v>2232</v>
      </c>
      <c r="B450" s="1" t="s">
        <v>40</v>
      </c>
      <c r="C450" s="1" t="s">
        <v>844</v>
      </c>
      <c r="D450" s="2" t="s">
        <v>196</v>
      </c>
      <c r="E450" s="2" t="s">
        <v>477</v>
      </c>
      <c r="F450" s="2" t="s">
        <v>1493</v>
      </c>
      <c r="G450" s="4" t="s">
        <v>1492</v>
      </c>
      <c r="H450" s="2">
        <v>5</v>
      </c>
      <c r="I450" s="3" t="s">
        <v>1492</v>
      </c>
      <c r="J450" s="2" t="s">
        <v>844</v>
      </c>
      <c r="K450" s="2" t="s">
        <v>440</v>
      </c>
      <c r="S450" s="6" t="b">
        <f>C450='Plano de Contas'!C450</f>
        <v>1</v>
      </c>
    </row>
    <row r="451" spans="1:19" x14ac:dyDescent="0.2">
      <c r="A451" s="17" t="s">
        <v>2233</v>
      </c>
      <c r="B451" s="1" t="s">
        <v>40</v>
      </c>
      <c r="C451" s="1" t="s">
        <v>844</v>
      </c>
      <c r="D451" s="2" t="s">
        <v>196</v>
      </c>
      <c r="E451" s="2" t="s">
        <v>477</v>
      </c>
      <c r="F451" s="2" t="s">
        <v>1493</v>
      </c>
      <c r="G451" s="4" t="s">
        <v>1492</v>
      </c>
      <c r="H451" s="2">
        <v>8</v>
      </c>
      <c r="I451" s="3" t="s">
        <v>1492</v>
      </c>
      <c r="J451" s="2" t="s">
        <v>844</v>
      </c>
      <c r="K451" s="2" t="s">
        <v>440</v>
      </c>
      <c r="S451" s="6" t="b">
        <f>C451='Plano de Contas'!C451</f>
        <v>1</v>
      </c>
    </row>
    <row r="452" spans="1:19" x14ac:dyDescent="0.2">
      <c r="A452" s="17" t="s">
        <v>2234</v>
      </c>
      <c r="B452" s="1" t="s">
        <v>40</v>
      </c>
      <c r="C452" s="1" t="s">
        <v>844</v>
      </c>
      <c r="D452" s="2" t="s">
        <v>196</v>
      </c>
      <c r="E452" s="2" t="s">
        <v>477</v>
      </c>
      <c r="F452" s="2" t="s">
        <v>1493</v>
      </c>
      <c r="G452" s="4" t="s">
        <v>1492</v>
      </c>
      <c r="H452" s="2">
        <v>11</v>
      </c>
      <c r="I452" s="3" t="s">
        <v>846</v>
      </c>
      <c r="J452" s="2" t="s">
        <v>844</v>
      </c>
      <c r="K452" s="2" t="s">
        <v>440</v>
      </c>
      <c r="S452" s="6" t="b">
        <f>C452='Plano de Contas'!C452</f>
        <v>1</v>
      </c>
    </row>
    <row r="453" spans="1:19" x14ac:dyDescent="0.2">
      <c r="A453" s="18" t="s">
        <v>2235</v>
      </c>
      <c r="B453" s="2" t="s">
        <v>54</v>
      </c>
      <c r="C453" s="2" t="s">
        <v>844</v>
      </c>
      <c r="D453" s="2" t="s">
        <v>196</v>
      </c>
      <c r="E453" s="2" t="s">
        <v>477</v>
      </c>
      <c r="F453" s="2" t="s">
        <v>1493</v>
      </c>
      <c r="G453" s="4" t="s">
        <v>1492</v>
      </c>
      <c r="H453" s="2">
        <v>16</v>
      </c>
      <c r="I453" s="3" t="s">
        <v>1492</v>
      </c>
      <c r="J453" s="2" t="s">
        <v>844</v>
      </c>
      <c r="K453" s="2" t="s">
        <v>440</v>
      </c>
      <c r="S453" s="6" t="b">
        <f>C453='Plano de Contas'!C453</f>
        <v>1</v>
      </c>
    </row>
    <row r="454" spans="1:19" x14ac:dyDescent="0.2">
      <c r="A454" s="17" t="s">
        <v>2236</v>
      </c>
      <c r="B454" s="1" t="s">
        <v>40</v>
      </c>
      <c r="C454" s="1" t="s">
        <v>849</v>
      </c>
      <c r="D454" s="2" t="s">
        <v>196</v>
      </c>
      <c r="E454" s="2" t="s">
        <v>477</v>
      </c>
      <c r="F454" s="2" t="s">
        <v>479</v>
      </c>
      <c r="G454" s="4" t="s">
        <v>1492</v>
      </c>
      <c r="H454" s="2">
        <v>3</v>
      </c>
      <c r="I454" s="3" t="s">
        <v>1492</v>
      </c>
      <c r="J454" s="2" t="s">
        <v>849</v>
      </c>
      <c r="K454" s="2" t="s">
        <v>440</v>
      </c>
      <c r="S454" s="6" t="b">
        <f>C454='Plano de Contas'!C454</f>
        <v>1</v>
      </c>
    </row>
    <row r="455" spans="1:19" x14ac:dyDescent="0.2">
      <c r="A455" s="17" t="s">
        <v>2237</v>
      </c>
      <c r="B455" s="1" t="s">
        <v>40</v>
      </c>
      <c r="C455" s="1" t="s">
        <v>442</v>
      </c>
      <c r="D455" s="2" t="s">
        <v>196</v>
      </c>
      <c r="E455" s="2" t="s">
        <v>477</v>
      </c>
      <c r="F455" s="2" t="s">
        <v>479</v>
      </c>
      <c r="G455" s="4" t="s">
        <v>1492</v>
      </c>
      <c r="H455" s="2">
        <v>5</v>
      </c>
      <c r="I455" s="3" t="s">
        <v>1492</v>
      </c>
      <c r="J455" s="2" t="s">
        <v>442</v>
      </c>
      <c r="K455" s="2" t="s">
        <v>440</v>
      </c>
      <c r="S455" s="6" t="b">
        <f>C455='Plano de Contas'!C455</f>
        <v>1</v>
      </c>
    </row>
    <row r="456" spans="1:19" x14ac:dyDescent="0.2">
      <c r="A456" s="17" t="s">
        <v>2238</v>
      </c>
      <c r="B456" s="1" t="s">
        <v>40</v>
      </c>
      <c r="C456" s="1" t="s">
        <v>852</v>
      </c>
      <c r="D456" s="2" t="s">
        <v>196</v>
      </c>
      <c r="E456" s="2" t="s">
        <v>477</v>
      </c>
      <c r="F456" s="2" t="s">
        <v>479</v>
      </c>
      <c r="G456" s="4" t="s">
        <v>1492</v>
      </c>
      <c r="H456" s="2">
        <v>8</v>
      </c>
      <c r="I456" s="3" t="s">
        <v>1492</v>
      </c>
      <c r="J456" s="2" t="s">
        <v>852</v>
      </c>
      <c r="K456" s="2" t="s">
        <v>440</v>
      </c>
      <c r="S456" s="6" t="b">
        <f>C456='Plano de Contas'!C456</f>
        <v>1</v>
      </c>
    </row>
    <row r="457" spans="1:19" x14ac:dyDescent="0.2">
      <c r="A457" s="17" t="s">
        <v>2239</v>
      </c>
      <c r="B457" s="1" t="s">
        <v>40</v>
      </c>
      <c r="C457" s="1" t="s">
        <v>852</v>
      </c>
      <c r="D457" s="2" t="s">
        <v>196</v>
      </c>
      <c r="E457" s="2" t="s">
        <v>477</v>
      </c>
      <c r="F457" s="2" t="s">
        <v>479</v>
      </c>
      <c r="G457" s="4" t="s">
        <v>1492</v>
      </c>
      <c r="H457" s="2">
        <v>11</v>
      </c>
      <c r="I457" s="3" t="s">
        <v>853</v>
      </c>
      <c r="J457" s="2" t="s">
        <v>852</v>
      </c>
      <c r="K457" s="2" t="s">
        <v>440</v>
      </c>
      <c r="S457" s="6" t="b">
        <f>C457='Plano de Contas'!C457</f>
        <v>1</v>
      </c>
    </row>
    <row r="458" spans="1:19" x14ac:dyDescent="0.2">
      <c r="A458" s="18" t="s">
        <v>2240</v>
      </c>
      <c r="B458" s="2" t="s">
        <v>54</v>
      </c>
      <c r="C458" s="2" t="s">
        <v>447</v>
      </c>
      <c r="D458" s="2" t="s">
        <v>196</v>
      </c>
      <c r="E458" s="2" t="s">
        <v>477</v>
      </c>
      <c r="F458" s="2" t="s">
        <v>479</v>
      </c>
      <c r="G458" s="4" t="s">
        <v>1492</v>
      </c>
      <c r="H458" s="2">
        <v>16</v>
      </c>
      <c r="I458" s="3" t="s">
        <v>1492</v>
      </c>
      <c r="J458" s="2" t="s">
        <v>852</v>
      </c>
      <c r="K458" s="2" t="s">
        <v>440</v>
      </c>
      <c r="S458" s="6" t="b">
        <f>C458='Plano de Contas'!C458</f>
        <v>1</v>
      </c>
    </row>
    <row r="459" spans="1:19" x14ac:dyDescent="0.2">
      <c r="A459" s="17" t="s">
        <v>2241</v>
      </c>
      <c r="B459" s="1" t="s">
        <v>40</v>
      </c>
      <c r="C459" s="1" t="s">
        <v>449</v>
      </c>
      <c r="D459" s="2" t="s">
        <v>196</v>
      </c>
      <c r="E459" s="2" t="s">
        <v>477</v>
      </c>
      <c r="F459" s="2" t="s">
        <v>479</v>
      </c>
      <c r="G459" s="4" t="s">
        <v>1492</v>
      </c>
      <c r="H459" s="2">
        <v>5</v>
      </c>
      <c r="I459" s="3" t="s">
        <v>1492</v>
      </c>
      <c r="J459" s="2" t="s">
        <v>449</v>
      </c>
      <c r="K459" s="2" t="s">
        <v>440</v>
      </c>
      <c r="S459" s="6" t="b">
        <f>C459='Plano de Contas'!C459</f>
        <v>1</v>
      </c>
    </row>
    <row r="460" spans="1:19" x14ac:dyDescent="0.2">
      <c r="A460" s="17" t="s">
        <v>2242</v>
      </c>
      <c r="B460" s="1" t="s">
        <v>40</v>
      </c>
      <c r="C460" s="1" t="s">
        <v>451</v>
      </c>
      <c r="D460" s="2" t="s">
        <v>196</v>
      </c>
      <c r="E460" s="2" t="s">
        <v>477</v>
      </c>
      <c r="F460" s="2" t="s">
        <v>479</v>
      </c>
      <c r="G460" s="4" t="s">
        <v>1492</v>
      </c>
      <c r="H460" s="2">
        <v>8</v>
      </c>
      <c r="I460" s="3" t="s">
        <v>1492</v>
      </c>
      <c r="J460" s="2" t="s">
        <v>451</v>
      </c>
      <c r="K460" s="2" t="s">
        <v>440</v>
      </c>
      <c r="S460" s="6" t="b">
        <f>C460='Plano de Contas'!C460</f>
        <v>1</v>
      </c>
    </row>
    <row r="461" spans="1:19" x14ac:dyDescent="0.2">
      <c r="A461" s="17" t="s">
        <v>2243</v>
      </c>
      <c r="B461" s="1" t="s">
        <v>40</v>
      </c>
      <c r="C461" s="1" t="s">
        <v>451</v>
      </c>
      <c r="D461" s="2" t="s">
        <v>196</v>
      </c>
      <c r="E461" s="2" t="s">
        <v>477</v>
      </c>
      <c r="F461" s="2" t="s">
        <v>479</v>
      </c>
      <c r="G461" s="4" t="s">
        <v>1492</v>
      </c>
      <c r="H461" s="2">
        <v>11</v>
      </c>
      <c r="I461" s="3" t="s">
        <v>857</v>
      </c>
      <c r="J461" s="2" t="s">
        <v>451</v>
      </c>
      <c r="K461" s="2" t="s">
        <v>440</v>
      </c>
      <c r="S461" s="6" t="b">
        <f>C461='Plano de Contas'!C461</f>
        <v>1</v>
      </c>
    </row>
    <row r="462" spans="1:19" x14ac:dyDescent="0.2">
      <c r="A462" s="18" t="s">
        <v>2244</v>
      </c>
      <c r="B462" s="2" t="s">
        <v>54</v>
      </c>
      <c r="C462" s="2" t="s">
        <v>454</v>
      </c>
      <c r="D462" s="2" t="s">
        <v>196</v>
      </c>
      <c r="E462" s="2" t="s">
        <v>477</v>
      </c>
      <c r="F462" s="2" t="s">
        <v>479</v>
      </c>
      <c r="G462" s="4" t="s">
        <v>1492</v>
      </c>
      <c r="H462" s="2">
        <v>16</v>
      </c>
      <c r="I462" s="3" t="s">
        <v>1492</v>
      </c>
      <c r="J462" s="2" t="s">
        <v>451</v>
      </c>
      <c r="K462" s="2" t="s">
        <v>440</v>
      </c>
      <c r="S462" s="6" t="b">
        <f>C462='Plano de Contas'!C462</f>
        <v>1</v>
      </c>
    </row>
    <row r="463" spans="1:19" x14ac:dyDescent="0.2">
      <c r="A463" s="18" t="s">
        <v>2245</v>
      </c>
      <c r="B463" s="2" t="s">
        <v>54</v>
      </c>
      <c r="C463" s="2" t="s">
        <v>456</v>
      </c>
      <c r="D463" s="2" t="s">
        <v>196</v>
      </c>
      <c r="E463" s="2" t="s">
        <v>477</v>
      </c>
      <c r="F463" s="2" t="s">
        <v>479</v>
      </c>
      <c r="G463" s="4" t="s">
        <v>1492</v>
      </c>
      <c r="H463" s="2">
        <v>16</v>
      </c>
      <c r="I463" s="3" t="s">
        <v>1492</v>
      </c>
      <c r="J463" s="2" t="s">
        <v>451</v>
      </c>
      <c r="K463" s="2" t="s">
        <v>440</v>
      </c>
      <c r="S463" s="6" t="b">
        <f>C463='Plano de Contas'!C463</f>
        <v>1</v>
      </c>
    </row>
    <row r="464" spans="1:19" x14ac:dyDescent="0.2">
      <c r="A464" s="18" t="s">
        <v>2246</v>
      </c>
      <c r="B464" s="2" t="s">
        <v>54</v>
      </c>
      <c r="C464" s="2" t="s">
        <v>458</v>
      </c>
      <c r="D464" s="2" t="s">
        <v>196</v>
      </c>
      <c r="E464" s="2" t="s">
        <v>477</v>
      </c>
      <c r="F464" s="2" t="s">
        <v>479</v>
      </c>
      <c r="G464" s="4" t="s">
        <v>1492</v>
      </c>
      <c r="H464" s="2">
        <v>16</v>
      </c>
      <c r="I464" s="3" t="s">
        <v>1492</v>
      </c>
      <c r="J464" s="2" t="s">
        <v>451</v>
      </c>
      <c r="K464" s="2" t="s">
        <v>440</v>
      </c>
      <c r="S464" s="6" t="b">
        <f>C464='Plano de Contas'!C464</f>
        <v>1</v>
      </c>
    </row>
    <row r="465" spans="1:19" x14ac:dyDescent="0.2">
      <c r="A465" s="18" t="s">
        <v>2247</v>
      </c>
      <c r="B465" s="2" t="s">
        <v>54</v>
      </c>
      <c r="C465" s="2" t="s">
        <v>460</v>
      </c>
      <c r="D465" s="2" t="s">
        <v>196</v>
      </c>
      <c r="E465" s="2" t="s">
        <v>477</v>
      </c>
      <c r="F465" s="2" t="s">
        <v>479</v>
      </c>
      <c r="G465" s="4" t="s">
        <v>1492</v>
      </c>
      <c r="H465" s="2">
        <v>16</v>
      </c>
      <c r="I465" s="3" t="s">
        <v>1492</v>
      </c>
      <c r="J465" s="2" t="s">
        <v>451</v>
      </c>
      <c r="K465" s="2" t="s">
        <v>440</v>
      </c>
      <c r="S465" s="6" t="b">
        <f>C465='Plano de Contas'!C465</f>
        <v>1</v>
      </c>
    </row>
    <row r="466" spans="1:19" x14ac:dyDescent="0.2">
      <c r="A466" s="18" t="s">
        <v>2248</v>
      </c>
      <c r="B466" s="2" t="s">
        <v>54</v>
      </c>
      <c r="C466" s="2" t="s">
        <v>462</v>
      </c>
      <c r="D466" s="2" t="s">
        <v>196</v>
      </c>
      <c r="E466" s="2" t="s">
        <v>477</v>
      </c>
      <c r="F466" s="2" t="s">
        <v>479</v>
      </c>
      <c r="G466" s="4" t="s">
        <v>1492</v>
      </c>
      <c r="H466" s="2">
        <v>16</v>
      </c>
      <c r="I466" s="3" t="s">
        <v>1492</v>
      </c>
      <c r="J466" s="2" t="s">
        <v>451</v>
      </c>
      <c r="K466" s="2" t="s">
        <v>440</v>
      </c>
      <c r="S466" s="6" t="b">
        <f>C466='Plano de Contas'!C466</f>
        <v>1</v>
      </c>
    </row>
    <row r="467" spans="1:19" x14ac:dyDescent="0.2">
      <c r="A467" s="18" t="s">
        <v>2249</v>
      </c>
      <c r="B467" s="2" t="s">
        <v>54</v>
      </c>
      <c r="C467" s="2" t="s">
        <v>464</v>
      </c>
      <c r="D467" s="2" t="s">
        <v>196</v>
      </c>
      <c r="E467" s="2" t="s">
        <v>477</v>
      </c>
      <c r="F467" s="2" t="s">
        <v>479</v>
      </c>
      <c r="G467" s="4" t="s">
        <v>1492</v>
      </c>
      <c r="H467" s="2">
        <v>16</v>
      </c>
      <c r="I467" s="3" t="s">
        <v>1492</v>
      </c>
      <c r="J467" s="2" t="s">
        <v>451</v>
      </c>
      <c r="K467" s="2" t="s">
        <v>440</v>
      </c>
      <c r="S467" s="6" t="b">
        <f>C467='Plano de Contas'!C467</f>
        <v>1</v>
      </c>
    </row>
    <row r="468" spans="1:19" x14ac:dyDescent="0.2">
      <c r="A468" s="18" t="s">
        <v>2250</v>
      </c>
      <c r="B468" s="2" t="s">
        <v>54</v>
      </c>
      <c r="C468" s="2" t="s">
        <v>466</v>
      </c>
      <c r="D468" s="2" t="s">
        <v>196</v>
      </c>
      <c r="E468" s="2" t="s">
        <v>477</v>
      </c>
      <c r="F468" s="2" t="s">
        <v>479</v>
      </c>
      <c r="G468" s="4" t="s">
        <v>1492</v>
      </c>
      <c r="H468" s="2">
        <v>16</v>
      </c>
      <c r="I468" s="3" t="s">
        <v>1492</v>
      </c>
      <c r="J468" s="2" t="s">
        <v>451</v>
      </c>
      <c r="K468" s="2" t="s">
        <v>440</v>
      </c>
      <c r="S468" s="6" t="b">
        <f>C468='Plano de Contas'!C468</f>
        <v>1</v>
      </c>
    </row>
    <row r="469" spans="1:19" x14ac:dyDescent="0.2">
      <c r="A469" s="18" t="s">
        <v>2251</v>
      </c>
      <c r="B469" s="2" t="s">
        <v>54</v>
      </c>
      <c r="C469" s="2" t="s">
        <v>866</v>
      </c>
      <c r="D469" s="2" t="s">
        <v>196</v>
      </c>
      <c r="E469" s="2" t="s">
        <v>477</v>
      </c>
      <c r="F469" s="2" t="s">
        <v>479</v>
      </c>
      <c r="G469" s="4" t="s">
        <v>1492</v>
      </c>
      <c r="H469" s="2">
        <v>16</v>
      </c>
      <c r="I469" s="3" t="s">
        <v>1492</v>
      </c>
      <c r="J469" s="2" t="s">
        <v>451</v>
      </c>
      <c r="K469" s="2" t="s">
        <v>440</v>
      </c>
      <c r="S469" s="6" t="b">
        <f>C469='Plano de Contas'!C469</f>
        <v>1</v>
      </c>
    </row>
    <row r="470" spans="1:19" x14ac:dyDescent="0.2">
      <c r="A470" s="18" t="s">
        <v>2252</v>
      </c>
      <c r="B470" s="2" t="s">
        <v>54</v>
      </c>
      <c r="C470" s="2" t="s">
        <v>470</v>
      </c>
      <c r="D470" s="2" t="s">
        <v>196</v>
      </c>
      <c r="E470" s="2" t="s">
        <v>477</v>
      </c>
      <c r="F470" s="2" t="s">
        <v>479</v>
      </c>
      <c r="G470" s="4" t="s">
        <v>1492</v>
      </c>
      <c r="H470" s="2">
        <v>16</v>
      </c>
      <c r="I470" s="3" t="s">
        <v>1492</v>
      </c>
      <c r="J470" s="2" t="s">
        <v>451</v>
      </c>
      <c r="K470" s="2" t="s">
        <v>440</v>
      </c>
      <c r="S470" s="6" t="b">
        <f>C470='Plano de Contas'!C470</f>
        <v>1</v>
      </c>
    </row>
    <row r="471" spans="1:19" x14ac:dyDescent="0.2">
      <c r="A471" s="18" t="s">
        <v>2253</v>
      </c>
      <c r="B471" s="2" t="s">
        <v>54</v>
      </c>
      <c r="C471" s="2" t="s">
        <v>472</v>
      </c>
      <c r="D471" s="2" t="s">
        <v>196</v>
      </c>
      <c r="E471" s="2" t="s">
        <v>477</v>
      </c>
      <c r="F471" s="2" t="s">
        <v>479</v>
      </c>
      <c r="G471" s="4" t="s">
        <v>1492</v>
      </c>
      <c r="H471" s="2">
        <v>16</v>
      </c>
      <c r="I471" s="3" t="s">
        <v>1492</v>
      </c>
      <c r="J471" s="2" t="s">
        <v>451</v>
      </c>
      <c r="K471" s="2" t="s">
        <v>440</v>
      </c>
      <c r="S471" s="6" t="b">
        <f>C471='Plano de Contas'!C471</f>
        <v>1</v>
      </c>
    </row>
    <row r="472" spans="1:19" x14ac:dyDescent="0.2">
      <c r="A472" s="18" t="s">
        <v>2254</v>
      </c>
      <c r="B472" s="2" t="s">
        <v>54</v>
      </c>
      <c r="C472" s="2" t="s">
        <v>474</v>
      </c>
      <c r="D472" s="2" t="s">
        <v>196</v>
      </c>
      <c r="E472" s="2" t="s">
        <v>477</v>
      </c>
      <c r="F472" s="2" t="s">
        <v>479</v>
      </c>
      <c r="G472" s="4" t="s">
        <v>1492</v>
      </c>
      <c r="H472" s="2">
        <v>16</v>
      </c>
      <c r="I472" s="3" t="s">
        <v>1492</v>
      </c>
      <c r="J472" s="2" t="s">
        <v>451</v>
      </c>
      <c r="K472" s="2" t="s">
        <v>440</v>
      </c>
      <c r="S472" s="6" t="b">
        <f>C472='Plano de Contas'!C472</f>
        <v>1</v>
      </c>
    </row>
    <row r="473" spans="1:19" x14ac:dyDescent="0.2">
      <c r="A473" s="18" t="s">
        <v>2255</v>
      </c>
      <c r="B473" s="2" t="s">
        <v>54</v>
      </c>
      <c r="C473" s="2" t="s">
        <v>476</v>
      </c>
      <c r="D473" s="2" t="s">
        <v>196</v>
      </c>
      <c r="E473" s="2" t="s">
        <v>477</v>
      </c>
      <c r="F473" s="2" t="s">
        <v>479</v>
      </c>
      <c r="G473" s="4" t="s">
        <v>1492</v>
      </c>
      <c r="H473" s="2">
        <v>16</v>
      </c>
      <c r="I473" s="3" t="s">
        <v>1492</v>
      </c>
      <c r="J473" s="2" t="s">
        <v>451</v>
      </c>
      <c r="K473" s="2" t="s">
        <v>440</v>
      </c>
      <c r="S473" s="6" t="b">
        <f>C473='Plano de Contas'!C473</f>
        <v>1</v>
      </c>
    </row>
    <row r="474" spans="1:19" x14ac:dyDescent="0.2">
      <c r="A474" s="17" t="s">
        <v>871</v>
      </c>
      <c r="B474" s="1" t="s">
        <v>40</v>
      </c>
      <c r="C474" s="1" t="s">
        <v>872</v>
      </c>
      <c r="D474" s="2" t="s">
        <v>196</v>
      </c>
      <c r="E474" s="2" t="s">
        <v>871</v>
      </c>
      <c r="F474" s="2" t="s">
        <v>873</v>
      </c>
      <c r="G474" s="4" t="s">
        <v>1492</v>
      </c>
      <c r="H474" s="2">
        <v>1</v>
      </c>
      <c r="I474" s="3" t="s">
        <v>1492</v>
      </c>
      <c r="J474" s="2" t="s">
        <v>872</v>
      </c>
      <c r="S474" s="6" t="b">
        <f>C474='Plano de Contas'!C474</f>
        <v>1</v>
      </c>
    </row>
    <row r="475" spans="1:19" x14ac:dyDescent="0.2">
      <c r="A475" s="17" t="s">
        <v>2256</v>
      </c>
      <c r="B475" s="1" t="s">
        <v>40</v>
      </c>
      <c r="C475" s="1" t="s">
        <v>875</v>
      </c>
      <c r="D475" s="2" t="s">
        <v>196</v>
      </c>
      <c r="E475" s="2" t="s">
        <v>871</v>
      </c>
      <c r="F475" s="2" t="s">
        <v>873</v>
      </c>
      <c r="G475" s="4" t="s">
        <v>1492</v>
      </c>
      <c r="H475" s="2">
        <v>3</v>
      </c>
      <c r="I475" s="3" t="s">
        <v>1492</v>
      </c>
      <c r="J475" s="2" t="s">
        <v>875</v>
      </c>
      <c r="K475" s="2" t="s">
        <v>876</v>
      </c>
      <c r="S475" s="6" t="b">
        <f>C475='Plano de Contas'!C475</f>
        <v>1</v>
      </c>
    </row>
    <row r="476" spans="1:19" x14ac:dyDescent="0.2">
      <c r="A476" s="17" t="s">
        <v>2257</v>
      </c>
      <c r="B476" s="1" t="s">
        <v>40</v>
      </c>
      <c r="C476" s="1" t="s">
        <v>878</v>
      </c>
      <c r="D476" s="2" t="s">
        <v>196</v>
      </c>
      <c r="E476" s="2" t="s">
        <v>871</v>
      </c>
      <c r="F476" s="2" t="s">
        <v>873</v>
      </c>
      <c r="G476" s="4" t="s">
        <v>1492</v>
      </c>
      <c r="H476" s="2">
        <v>5</v>
      </c>
      <c r="I476" s="3" t="s">
        <v>1492</v>
      </c>
      <c r="J476" s="2" t="s">
        <v>878</v>
      </c>
      <c r="K476" s="2" t="s">
        <v>876</v>
      </c>
      <c r="S476" s="6" t="b">
        <f>C476='Plano de Contas'!C476</f>
        <v>1</v>
      </c>
    </row>
    <row r="477" spans="1:19" x14ac:dyDescent="0.2">
      <c r="A477" s="17" t="s">
        <v>2258</v>
      </c>
      <c r="B477" s="1" t="s">
        <v>40</v>
      </c>
      <c r="C477" s="1" t="s">
        <v>880</v>
      </c>
      <c r="D477" s="2" t="s">
        <v>196</v>
      </c>
      <c r="E477" s="2" t="s">
        <v>871</v>
      </c>
      <c r="F477" s="2" t="s">
        <v>873</v>
      </c>
      <c r="G477" s="4" t="s">
        <v>1492</v>
      </c>
      <c r="H477" s="2">
        <v>8</v>
      </c>
      <c r="I477" s="3" t="s">
        <v>1492</v>
      </c>
      <c r="J477" s="2" t="s">
        <v>880</v>
      </c>
      <c r="K477" s="2" t="s">
        <v>876</v>
      </c>
      <c r="L477" s="6" t="s">
        <v>1574</v>
      </c>
      <c r="M477" s="6" t="s">
        <v>1577</v>
      </c>
      <c r="S477" s="6" t="b">
        <f>C477='Plano de Contas'!C477</f>
        <v>1</v>
      </c>
    </row>
    <row r="478" spans="1:19" x14ac:dyDescent="0.2">
      <c r="A478" s="17" t="s">
        <v>2259</v>
      </c>
      <c r="B478" s="1" t="s">
        <v>40</v>
      </c>
      <c r="C478" s="1" t="s">
        <v>880</v>
      </c>
      <c r="D478" s="2" t="s">
        <v>196</v>
      </c>
      <c r="E478" s="2" t="s">
        <v>871</v>
      </c>
      <c r="F478" s="2" t="s">
        <v>873</v>
      </c>
      <c r="G478" s="4" t="s">
        <v>1492</v>
      </c>
      <c r="H478" s="2">
        <v>11</v>
      </c>
      <c r="I478" s="3" t="s">
        <v>881</v>
      </c>
      <c r="J478" s="2" t="s">
        <v>880</v>
      </c>
      <c r="K478" s="2" t="s">
        <v>876</v>
      </c>
      <c r="L478" s="6" t="s">
        <v>1574</v>
      </c>
      <c r="M478" s="6" t="s">
        <v>1577</v>
      </c>
      <c r="S478" s="6" t="b">
        <f>C478='Plano de Contas'!C478</f>
        <v>1</v>
      </c>
    </row>
    <row r="479" spans="1:19" x14ac:dyDescent="0.2">
      <c r="A479" s="18" t="s">
        <v>2260</v>
      </c>
      <c r="B479" s="2" t="s">
        <v>54</v>
      </c>
      <c r="C479" s="2" t="s">
        <v>880</v>
      </c>
      <c r="D479" s="2" t="s">
        <v>196</v>
      </c>
      <c r="E479" s="2" t="s">
        <v>871</v>
      </c>
      <c r="F479" s="2" t="s">
        <v>873</v>
      </c>
      <c r="G479" s="4" t="s">
        <v>1492</v>
      </c>
      <c r="H479" s="2">
        <v>16</v>
      </c>
      <c r="I479" s="3" t="s">
        <v>1492</v>
      </c>
      <c r="J479" s="2" t="s">
        <v>880</v>
      </c>
      <c r="K479" s="2" t="s">
        <v>876</v>
      </c>
      <c r="L479" s="6" t="s">
        <v>1574</v>
      </c>
      <c r="M479" s="6" t="s">
        <v>1577</v>
      </c>
      <c r="S479" s="6" t="b">
        <f>C479='Plano de Contas'!C479</f>
        <v>1</v>
      </c>
    </row>
    <row r="480" spans="1:19" x14ac:dyDescent="0.2">
      <c r="A480" s="18" t="s">
        <v>2261</v>
      </c>
      <c r="B480" s="2" t="s">
        <v>54</v>
      </c>
      <c r="C480" s="2" t="s">
        <v>884</v>
      </c>
      <c r="D480" s="2" t="s">
        <v>196</v>
      </c>
      <c r="E480" s="2" t="s">
        <v>871</v>
      </c>
      <c r="F480" s="2" t="s">
        <v>873</v>
      </c>
      <c r="G480" s="4" t="s">
        <v>1492</v>
      </c>
      <c r="H480" s="2">
        <v>16</v>
      </c>
      <c r="I480" s="3" t="s">
        <v>1492</v>
      </c>
      <c r="J480" s="2" t="s">
        <v>880</v>
      </c>
      <c r="K480" s="2" t="s">
        <v>876</v>
      </c>
      <c r="L480" s="6" t="s">
        <v>1574</v>
      </c>
      <c r="M480" s="6" t="s">
        <v>1577</v>
      </c>
      <c r="S480" s="6" t="b">
        <f>C480='Plano de Contas'!C480</f>
        <v>1</v>
      </c>
    </row>
    <row r="481" spans="1:19" x14ac:dyDescent="0.2">
      <c r="A481" s="17" t="s">
        <v>2262</v>
      </c>
      <c r="B481" s="1" t="s">
        <v>40</v>
      </c>
      <c r="C481" s="1" t="s">
        <v>886</v>
      </c>
      <c r="D481" s="2" t="s">
        <v>196</v>
      </c>
      <c r="E481" s="2" t="s">
        <v>871</v>
      </c>
      <c r="F481" s="2" t="s">
        <v>873</v>
      </c>
      <c r="G481" s="4" t="s">
        <v>1492</v>
      </c>
      <c r="H481" s="2">
        <v>8</v>
      </c>
      <c r="I481" s="3" t="s">
        <v>1492</v>
      </c>
      <c r="J481" s="2" t="s">
        <v>886</v>
      </c>
      <c r="K481" s="2" t="s">
        <v>876</v>
      </c>
      <c r="L481" s="6" t="s">
        <v>1574</v>
      </c>
      <c r="M481" s="6" t="s">
        <v>1577</v>
      </c>
      <c r="S481" s="6" t="b">
        <f>C481='Plano de Contas'!C481</f>
        <v>1</v>
      </c>
    </row>
    <row r="482" spans="1:19" x14ac:dyDescent="0.2">
      <c r="A482" s="17" t="s">
        <v>2263</v>
      </c>
      <c r="B482" s="1" t="s">
        <v>40</v>
      </c>
      <c r="C482" s="1" t="s">
        <v>525</v>
      </c>
      <c r="D482" s="2" t="s">
        <v>196</v>
      </c>
      <c r="E482" s="2" t="s">
        <v>871</v>
      </c>
      <c r="F482" s="2" t="s">
        <v>873</v>
      </c>
      <c r="G482" s="4" t="s">
        <v>1492</v>
      </c>
      <c r="H482" s="2">
        <v>11</v>
      </c>
      <c r="I482" s="3" t="s">
        <v>887</v>
      </c>
      <c r="J482" s="2" t="s">
        <v>525</v>
      </c>
      <c r="K482" s="2" t="s">
        <v>876</v>
      </c>
      <c r="L482" s="6" t="s">
        <v>1574</v>
      </c>
      <c r="M482" s="6" t="s">
        <v>1577</v>
      </c>
      <c r="S482" s="6" t="b">
        <f>C482='Plano de Contas'!C482</f>
        <v>1</v>
      </c>
    </row>
    <row r="483" spans="1:19" x14ac:dyDescent="0.2">
      <c r="A483" s="18" t="s">
        <v>2264</v>
      </c>
      <c r="B483" s="2" t="s">
        <v>54</v>
      </c>
      <c r="C483" s="2" t="s">
        <v>889</v>
      </c>
      <c r="D483" s="2" t="s">
        <v>196</v>
      </c>
      <c r="E483" s="2" t="s">
        <v>871</v>
      </c>
      <c r="F483" s="2" t="s">
        <v>873</v>
      </c>
      <c r="G483" s="4" t="s">
        <v>1492</v>
      </c>
      <c r="H483" s="2">
        <v>16</v>
      </c>
      <c r="I483" s="3" t="s">
        <v>1492</v>
      </c>
      <c r="J483" s="2" t="s">
        <v>525</v>
      </c>
      <c r="K483" s="2" t="s">
        <v>876</v>
      </c>
      <c r="L483" s="6" t="s">
        <v>1574</v>
      </c>
      <c r="M483" s="6" t="s">
        <v>1577</v>
      </c>
      <c r="S483" s="6" t="b">
        <f>C483='Plano de Contas'!C483</f>
        <v>1</v>
      </c>
    </row>
    <row r="484" spans="1:19" x14ac:dyDescent="0.2">
      <c r="A484" s="18" t="s">
        <v>2265</v>
      </c>
      <c r="B484" s="2" t="s">
        <v>54</v>
      </c>
      <c r="C484" s="2" t="s">
        <v>891</v>
      </c>
      <c r="D484" s="2" t="s">
        <v>196</v>
      </c>
      <c r="E484" s="2" t="s">
        <v>871</v>
      </c>
      <c r="F484" s="2" t="s">
        <v>873</v>
      </c>
      <c r="G484" s="4" t="s">
        <v>1492</v>
      </c>
      <c r="H484" s="2">
        <v>16</v>
      </c>
      <c r="I484" s="3" t="s">
        <v>1492</v>
      </c>
      <c r="J484" s="2" t="s">
        <v>525</v>
      </c>
      <c r="K484" s="2" t="s">
        <v>876</v>
      </c>
      <c r="L484" s="6" t="s">
        <v>1574</v>
      </c>
      <c r="M484" s="6" t="s">
        <v>1577</v>
      </c>
      <c r="S484" s="6" t="b">
        <f>C484='Plano de Contas'!C484</f>
        <v>1</v>
      </c>
    </row>
    <row r="485" spans="1:19" x14ac:dyDescent="0.2">
      <c r="A485" s="17" t="s">
        <v>2266</v>
      </c>
      <c r="B485" s="1" t="s">
        <v>40</v>
      </c>
      <c r="C485" s="1" t="s">
        <v>893</v>
      </c>
      <c r="D485" s="2" t="s">
        <v>196</v>
      </c>
      <c r="E485" s="2" t="s">
        <v>871</v>
      </c>
      <c r="F485" s="2" t="s">
        <v>873</v>
      </c>
      <c r="G485" s="4" t="s">
        <v>1492</v>
      </c>
      <c r="H485" s="2">
        <v>8</v>
      </c>
      <c r="I485" s="3" t="s">
        <v>1492</v>
      </c>
      <c r="J485" s="2" t="s">
        <v>893</v>
      </c>
      <c r="K485" s="2" t="s">
        <v>876</v>
      </c>
      <c r="L485" s="10" t="s">
        <v>1579</v>
      </c>
      <c r="M485" s="10" t="s">
        <v>1579</v>
      </c>
      <c r="S485" s="6" t="b">
        <f>C485='Plano de Contas'!C485</f>
        <v>1</v>
      </c>
    </row>
    <row r="486" spans="1:19" x14ac:dyDescent="0.2">
      <c r="A486" s="17" t="s">
        <v>2267</v>
      </c>
      <c r="B486" s="1" t="s">
        <v>40</v>
      </c>
      <c r="C486" s="1" t="s">
        <v>893</v>
      </c>
      <c r="D486" s="2" t="s">
        <v>196</v>
      </c>
      <c r="E486" s="2" t="s">
        <v>871</v>
      </c>
      <c r="F486" s="2" t="s">
        <v>873</v>
      </c>
      <c r="G486" s="4" t="s">
        <v>1492</v>
      </c>
      <c r="H486" s="2">
        <v>11</v>
      </c>
      <c r="I486" s="3" t="s">
        <v>894</v>
      </c>
      <c r="J486" s="2" t="s">
        <v>893</v>
      </c>
      <c r="K486" s="2" t="s">
        <v>876</v>
      </c>
      <c r="L486" s="10" t="s">
        <v>1579</v>
      </c>
      <c r="M486" s="10" t="s">
        <v>1579</v>
      </c>
      <c r="S486" s="6" t="b">
        <f>C486='Plano de Contas'!C486</f>
        <v>1</v>
      </c>
    </row>
    <row r="487" spans="1:19" x14ac:dyDescent="0.2">
      <c r="A487" s="18" t="s">
        <v>2268</v>
      </c>
      <c r="B487" s="2" t="s">
        <v>54</v>
      </c>
      <c r="C487" s="2" t="s">
        <v>896</v>
      </c>
      <c r="D487" s="2" t="s">
        <v>196</v>
      </c>
      <c r="E487" s="2" t="s">
        <v>871</v>
      </c>
      <c r="F487" s="2" t="s">
        <v>873</v>
      </c>
      <c r="G487" s="4" t="s">
        <v>1492</v>
      </c>
      <c r="H487" s="2">
        <v>16</v>
      </c>
      <c r="I487" s="3" t="s">
        <v>1492</v>
      </c>
      <c r="J487" s="2" t="s">
        <v>893</v>
      </c>
      <c r="K487" s="2" t="s">
        <v>876</v>
      </c>
      <c r="L487" s="10" t="s">
        <v>1579</v>
      </c>
      <c r="M487" s="10" t="s">
        <v>1579</v>
      </c>
      <c r="S487" s="6" t="b">
        <f>C487='Plano de Contas'!C487</f>
        <v>1</v>
      </c>
    </row>
    <row r="488" spans="1:19" x14ac:dyDescent="0.2">
      <c r="A488" s="17" t="s">
        <v>2269</v>
      </c>
      <c r="B488" s="1" t="s">
        <v>40</v>
      </c>
      <c r="C488" s="1" t="s">
        <v>898</v>
      </c>
      <c r="D488" s="2" t="s">
        <v>196</v>
      </c>
      <c r="E488" s="2" t="s">
        <v>871</v>
      </c>
      <c r="F488" s="2" t="s">
        <v>873</v>
      </c>
      <c r="G488" s="4" t="s">
        <v>1492</v>
      </c>
      <c r="H488" s="2">
        <v>8</v>
      </c>
      <c r="I488" s="3" t="s">
        <v>1492</v>
      </c>
      <c r="J488" s="2" t="s">
        <v>898</v>
      </c>
      <c r="K488" s="2" t="s">
        <v>876</v>
      </c>
      <c r="L488" s="6" t="s">
        <v>1574</v>
      </c>
      <c r="M488" s="6" t="s">
        <v>1575</v>
      </c>
      <c r="S488" s="6" t="b">
        <f>C488='Plano de Contas'!C488</f>
        <v>1</v>
      </c>
    </row>
    <row r="489" spans="1:19" x14ac:dyDescent="0.2">
      <c r="A489" s="17" t="s">
        <v>2270</v>
      </c>
      <c r="B489" s="1" t="s">
        <v>40</v>
      </c>
      <c r="C489" s="1" t="s">
        <v>898</v>
      </c>
      <c r="D489" s="2" t="s">
        <v>196</v>
      </c>
      <c r="E489" s="2" t="s">
        <v>871</v>
      </c>
      <c r="F489" s="2" t="s">
        <v>873</v>
      </c>
      <c r="G489" s="4" t="s">
        <v>1492</v>
      </c>
      <c r="H489" s="2">
        <v>11</v>
      </c>
      <c r="I489" s="3" t="s">
        <v>899</v>
      </c>
      <c r="J489" s="2" t="s">
        <v>898</v>
      </c>
      <c r="K489" s="2" t="s">
        <v>876</v>
      </c>
      <c r="L489" s="6" t="s">
        <v>1574</v>
      </c>
      <c r="M489" s="6" t="s">
        <v>1575</v>
      </c>
      <c r="S489" s="6" t="b">
        <f>C489='Plano de Contas'!C489</f>
        <v>1</v>
      </c>
    </row>
    <row r="490" spans="1:19" x14ac:dyDescent="0.2">
      <c r="A490" s="18" t="s">
        <v>2271</v>
      </c>
      <c r="B490" s="2" t="s">
        <v>54</v>
      </c>
      <c r="C490" s="2" t="s">
        <v>901</v>
      </c>
      <c r="D490" s="2" t="s">
        <v>196</v>
      </c>
      <c r="E490" s="2" t="s">
        <v>871</v>
      </c>
      <c r="F490" s="2" t="s">
        <v>873</v>
      </c>
      <c r="G490" s="4" t="s">
        <v>1492</v>
      </c>
      <c r="H490" s="2">
        <v>16</v>
      </c>
      <c r="I490" s="3" t="s">
        <v>1492</v>
      </c>
      <c r="J490" s="2" t="s">
        <v>898</v>
      </c>
      <c r="K490" s="6" t="s">
        <v>1015</v>
      </c>
      <c r="L490" s="6" t="s">
        <v>1575</v>
      </c>
      <c r="M490" s="6" t="s">
        <v>1575</v>
      </c>
      <c r="S490" s="6" t="b">
        <f>C490='Plano de Contas'!C490</f>
        <v>1</v>
      </c>
    </row>
    <row r="491" spans="1:19" x14ac:dyDescent="0.2">
      <c r="A491" s="18" t="s">
        <v>2272</v>
      </c>
      <c r="B491" s="2" t="s">
        <v>54</v>
      </c>
      <c r="C491" s="2" t="s">
        <v>903</v>
      </c>
      <c r="D491" s="2" t="s">
        <v>196</v>
      </c>
      <c r="E491" s="2" t="s">
        <v>871</v>
      </c>
      <c r="F491" s="2" t="s">
        <v>873</v>
      </c>
      <c r="G491" s="4" t="s">
        <v>1492</v>
      </c>
      <c r="H491" s="2">
        <v>16</v>
      </c>
      <c r="I491" s="3" t="s">
        <v>1492</v>
      </c>
      <c r="J491" s="2" t="s">
        <v>898</v>
      </c>
      <c r="K491" s="13" t="s">
        <v>1015</v>
      </c>
      <c r="L491" s="6" t="s">
        <v>1575</v>
      </c>
      <c r="M491" s="14" t="s">
        <v>1611</v>
      </c>
      <c r="S491" s="6" t="b">
        <f>C491='Plano de Contas'!C491</f>
        <v>1</v>
      </c>
    </row>
    <row r="492" spans="1:19" x14ac:dyDescent="0.2">
      <c r="A492" s="18" t="s">
        <v>2273</v>
      </c>
      <c r="B492" s="2" t="s">
        <v>54</v>
      </c>
      <c r="C492" s="2" t="s">
        <v>905</v>
      </c>
      <c r="D492" s="2" t="s">
        <v>196</v>
      </c>
      <c r="E492" s="2" t="s">
        <v>871</v>
      </c>
      <c r="F492" s="2" t="s">
        <v>873</v>
      </c>
      <c r="G492" s="4" t="s">
        <v>1492</v>
      </c>
      <c r="H492" s="2">
        <v>16</v>
      </c>
      <c r="I492" s="3" t="s">
        <v>1492</v>
      </c>
      <c r="J492" s="2" t="s">
        <v>898</v>
      </c>
      <c r="K492" s="13" t="s">
        <v>1015</v>
      </c>
      <c r="L492" s="6" t="s">
        <v>1575</v>
      </c>
      <c r="M492" s="14" t="s">
        <v>1611</v>
      </c>
      <c r="S492" s="6" t="b">
        <f>C492='Plano de Contas'!C492</f>
        <v>1</v>
      </c>
    </row>
    <row r="493" spans="1:19" s="45" customFormat="1" x14ac:dyDescent="0.2">
      <c r="A493" s="46" t="s">
        <v>2898</v>
      </c>
      <c r="B493" s="42" t="s">
        <v>54</v>
      </c>
      <c r="C493" s="42" t="s">
        <v>2897</v>
      </c>
      <c r="D493" s="42" t="s">
        <v>196</v>
      </c>
      <c r="E493" s="42" t="s">
        <v>871</v>
      </c>
      <c r="F493" s="42" t="s">
        <v>873</v>
      </c>
      <c r="G493" s="43" t="s">
        <v>1492</v>
      </c>
      <c r="H493" s="42">
        <v>16</v>
      </c>
      <c r="I493" s="44" t="s">
        <v>1492</v>
      </c>
      <c r="J493" s="42" t="s">
        <v>898</v>
      </c>
      <c r="K493" s="42" t="s">
        <v>1015</v>
      </c>
      <c r="L493" s="45" t="s">
        <v>1575</v>
      </c>
      <c r="M493" s="45" t="s">
        <v>1611</v>
      </c>
      <c r="S493" s="6" t="b">
        <f>C493='Plano de Contas'!C493</f>
        <v>1</v>
      </c>
    </row>
    <row r="494" spans="1:19" x14ac:dyDescent="0.2">
      <c r="A494" s="17" t="s">
        <v>2274</v>
      </c>
      <c r="B494" s="1" t="s">
        <v>40</v>
      </c>
      <c r="C494" s="1" t="s">
        <v>907</v>
      </c>
      <c r="D494" s="2" t="s">
        <v>196</v>
      </c>
      <c r="E494" s="2" t="s">
        <v>871</v>
      </c>
      <c r="F494" s="2" t="s">
        <v>873</v>
      </c>
      <c r="G494" s="4" t="s">
        <v>1492</v>
      </c>
      <c r="H494" s="2">
        <v>8</v>
      </c>
      <c r="I494" s="3" t="s">
        <v>1492</v>
      </c>
      <c r="J494" s="2" t="s">
        <v>907</v>
      </c>
      <c r="K494" s="2" t="s">
        <v>876</v>
      </c>
      <c r="L494" s="6" t="s">
        <v>1574</v>
      </c>
      <c r="M494" s="6" t="s">
        <v>1728</v>
      </c>
      <c r="S494" s="6" t="b">
        <f>C494='Plano de Contas'!C494</f>
        <v>1</v>
      </c>
    </row>
    <row r="495" spans="1:19" x14ac:dyDescent="0.2">
      <c r="A495" s="17" t="s">
        <v>2275</v>
      </c>
      <c r="B495" s="1" t="s">
        <v>40</v>
      </c>
      <c r="C495" s="1" t="s">
        <v>909</v>
      </c>
      <c r="D495" s="2" t="s">
        <v>196</v>
      </c>
      <c r="E495" s="2" t="s">
        <v>871</v>
      </c>
      <c r="F495" s="2" t="s">
        <v>873</v>
      </c>
      <c r="G495" s="4" t="s">
        <v>1492</v>
      </c>
      <c r="H495" s="2">
        <v>11</v>
      </c>
      <c r="I495" s="3" t="s">
        <v>908</v>
      </c>
      <c r="J495" s="2" t="s">
        <v>909</v>
      </c>
      <c r="K495" s="2" t="s">
        <v>876</v>
      </c>
      <c r="L495" s="6" t="s">
        <v>1574</v>
      </c>
      <c r="M495" s="6" t="s">
        <v>1728</v>
      </c>
      <c r="S495" s="6" t="b">
        <f>C495='Plano de Contas'!C495</f>
        <v>1</v>
      </c>
    </row>
    <row r="496" spans="1:19" x14ac:dyDescent="0.2">
      <c r="A496" s="18" t="s">
        <v>2276</v>
      </c>
      <c r="B496" s="2" t="s">
        <v>54</v>
      </c>
      <c r="C496" s="2" t="s">
        <v>911</v>
      </c>
      <c r="D496" s="2" t="s">
        <v>196</v>
      </c>
      <c r="E496" s="2" t="s">
        <v>871</v>
      </c>
      <c r="F496" s="2" t="s">
        <v>873</v>
      </c>
      <c r="G496" s="4" t="s">
        <v>1492</v>
      </c>
      <c r="H496" s="2">
        <v>16</v>
      </c>
      <c r="I496" s="3" t="s">
        <v>1492</v>
      </c>
      <c r="J496" s="2" t="s">
        <v>909</v>
      </c>
      <c r="K496" s="2" t="s">
        <v>876</v>
      </c>
      <c r="L496" s="6" t="s">
        <v>1574</v>
      </c>
      <c r="M496" s="6" t="s">
        <v>1728</v>
      </c>
      <c r="S496" s="6" t="b">
        <f>C496='Plano de Contas'!C496</f>
        <v>1</v>
      </c>
    </row>
    <row r="497" spans="1:19" x14ac:dyDescent="0.2">
      <c r="A497" s="17" t="s">
        <v>2277</v>
      </c>
      <c r="B497" s="1" t="s">
        <v>40</v>
      </c>
      <c r="C497" s="1" t="s">
        <v>913</v>
      </c>
      <c r="D497" s="2" t="s">
        <v>196</v>
      </c>
      <c r="E497" s="2" t="s">
        <v>871</v>
      </c>
      <c r="F497" s="2" t="s">
        <v>873</v>
      </c>
      <c r="G497" s="4" t="s">
        <v>1492</v>
      </c>
      <c r="H497" s="2">
        <v>8</v>
      </c>
      <c r="I497" s="3" t="s">
        <v>1492</v>
      </c>
      <c r="J497" s="2" t="s">
        <v>913</v>
      </c>
      <c r="K497" s="2" t="s">
        <v>876</v>
      </c>
      <c r="L497" s="6" t="s">
        <v>1574</v>
      </c>
      <c r="S497" s="6" t="b">
        <f>C497='Plano de Contas'!C497</f>
        <v>1</v>
      </c>
    </row>
    <row r="498" spans="1:19" x14ac:dyDescent="0.2">
      <c r="A498" s="17" t="s">
        <v>2278</v>
      </c>
      <c r="B498" s="1" t="s">
        <v>40</v>
      </c>
      <c r="C498" s="1" t="s">
        <v>913</v>
      </c>
      <c r="D498" s="2" t="s">
        <v>196</v>
      </c>
      <c r="E498" s="2" t="s">
        <v>871</v>
      </c>
      <c r="F498" s="2" t="s">
        <v>873</v>
      </c>
      <c r="G498" s="4" t="s">
        <v>1492</v>
      </c>
      <c r="H498" s="2">
        <v>11</v>
      </c>
      <c r="I498" s="3" t="s">
        <v>914</v>
      </c>
      <c r="J498" s="2" t="s">
        <v>913</v>
      </c>
      <c r="K498" s="2" t="s">
        <v>876</v>
      </c>
      <c r="L498" s="6" t="s">
        <v>1574</v>
      </c>
      <c r="S498" s="6" t="b">
        <f>C498='Plano de Contas'!C498</f>
        <v>1</v>
      </c>
    </row>
    <row r="499" spans="1:19" x14ac:dyDescent="0.2">
      <c r="A499" s="18" t="s">
        <v>2279</v>
      </c>
      <c r="B499" s="2" t="s">
        <v>54</v>
      </c>
      <c r="C499" s="2" t="s">
        <v>916</v>
      </c>
      <c r="D499" s="2" t="s">
        <v>196</v>
      </c>
      <c r="E499" s="2" t="s">
        <v>871</v>
      </c>
      <c r="F499" s="2" t="s">
        <v>873</v>
      </c>
      <c r="G499" s="4" t="s">
        <v>1492</v>
      </c>
      <c r="H499" s="2">
        <v>16</v>
      </c>
      <c r="I499" s="3" t="s">
        <v>1492</v>
      </c>
      <c r="J499" s="2" t="s">
        <v>913</v>
      </c>
      <c r="K499" s="2" t="s">
        <v>876</v>
      </c>
      <c r="L499" s="6" t="s">
        <v>1574</v>
      </c>
      <c r="M499" s="10" t="s">
        <v>1574</v>
      </c>
      <c r="S499" s="6" t="b">
        <f>C499='Plano de Contas'!C499</f>
        <v>1</v>
      </c>
    </row>
    <row r="500" spans="1:19" x14ac:dyDescent="0.2">
      <c r="A500" s="18" t="s">
        <v>2280</v>
      </c>
      <c r="B500" s="2" t="s">
        <v>54</v>
      </c>
      <c r="C500" s="2" t="s">
        <v>918</v>
      </c>
      <c r="D500" s="2" t="s">
        <v>196</v>
      </c>
      <c r="E500" s="2" t="s">
        <v>871</v>
      </c>
      <c r="F500" s="2" t="s">
        <v>873</v>
      </c>
      <c r="G500" s="4" t="s">
        <v>1492</v>
      </c>
      <c r="H500" s="2">
        <v>16</v>
      </c>
      <c r="I500" s="3" t="s">
        <v>1492</v>
      </c>
      <c r="J500" s="2" t="s">
        <v>913</v>
      </c>
      <c r="K500" s="2" t="s">
        <v>876</v>
      </c>
      <c r="L500" s="6" t="s">
        <v>1574</v>
      </c>
      <c r="M500" s="10" t="s">
        <v>1578</v>
      </c>
      <c r="S500" s="6" t="b">
        <f>C500='Plano de Contas'!C500</f>
        <v>1</v>
      </c>
    </row>
    <row r="501" spans="1:19" x14ac:dyDescent="0.2">
      <c r="A501" s="18" t="s">
        <v>2281</v>
      </c>
      <c r="B501" s="2" t="s">
        <v>54</v>
      </c>
      <c r="C501" s="2" t="s">
        <v>920</v>
      </c>
      <c r="D501" s="2" t="s">
        <v>196</v>
      </c>
      <c r="E501" s="2" t="s">
        <v>871</v>
      </c>
      <c r="F501" s="2" t="s">
        <v>873</v>
      </c>
      <c r="G501" s="4" t="s">
        <v>1492</v>
      </c>
      <c r="H501" s="2">
        <v>16</v>
      </c>
      <c r="I501" s="3" t="s">
        <v>1492</v>
      </c>
      <c r="J501" s="2" t="s">
        <v>913</v>
      </c>
      <c r="K501" s="2" t="s">
        <v>876</v>
      </c>
      <c r="L501" s="6" t="s">
        <v>1574</v>
      </c>
      <c r="M501" s="10" t="s">
        <v>1574</v>
      </c>
      <c r="S501" s="6" t="b">
        <f>C501='Plano de Contas'!C501</f>
        <v>1</v>
      </c>
    </row>
    <row r="502" spans="1:19" x14ac:dyDescent="0.2">
      <c r="A502" s="18" t="s">
        <v>2282</v>
      </c>
      <c r="B502" s="2" t="s">
        <v>54</v>
      </c>
      <c r="C502" s="2" t="s">
        <v>922</v>
      </c>
      <c r="D502" s="2" t="s">
        <v>196</v>
      </c>
      <c r="E502" s="2" t="s">
        <v>871</v>
      </c>
      <c r="F502" s="2" t="s">
        <v>873</v>
      </c>
      <c r="G502" s="4" t="s">
        <v>1492</v>
      </c>
      <c r="H502" s="2">
        <v>16</v>
      </c>
      <c r="I502" s="3" t="s">
        <v>1492</v>
      </c>
      <c r="J502" s="2" t="s">
        <v>913</v>
      </c>
      <c r="K502" s="2" t="s">
        <v>876</v>
      </c>
      <c r="L502" s="6" t="s">
        <v>1574</v>
      </c>
      <c r="M502" s="10" t="s">
        <v>1574</v>
      </c>
      <c r="S502" s="6" t="b">
        <f>C502='Plano de Contas'!C502</f>
        <v>1</v>
      </c>
    </row>
    <row r="503" spans="1:19" x14ac:dyDescent="0.2">
      <c r="A503" s="18" t="s">
        <v>2283</v>
      </c>
      <c r="B503" s="2" t="s">
        <v>54</v>
      </c>
      <c r="C503" s="2" t="s">
        <v>913</v>
      </c>
      <c r="D503" s="2" t="s">
        <v>196</v>
      </c>
      <c r="E503" s="2" t="s">
        <v>871</v>
      </c>
      <c r="F503" s="2" t="s">
        <v>873</v>
      </c>
      <c r="G503" s="4" t="s">
        <v>1492</v>
      </c>
      <c r="H503" s="2">
        <v>16</v>
      </c>
      <c r="I503" s="3" t="s">
        <v>1492</v>
      </c>
      <c r="J503" s="2" t="s">
        <v>913</v>
      </c>
      <c r="K503" s="2" t="s">
        <v>876</v>
      </c>
      <c r="L503" s="6" t="s">
        <v>1574</v>
      </c>
      <c r="M503" s="10" t="s">
        <v>1574</v>
      </c>
      <c r="S503" s="6" t="b">
        <f>C503='Plano de Contas'!C503</f>
        <v>1</v>
      </c>
    </row>
    <row r="504" spans="1:19" x14ac:dyDescent="0.2">
      <c r="A504" s="17" t="s">
        <v>2284</v>
      </c>
      <c r="B504" s="1" t="s">
        <v>40</v>
      </c>
      <c r="C504" s="1" t="s">
        <v>925</v>
      </c>
      <c r="D504" s="2" t="s">
        <v>196</v>
      </c>
      <c r="E504" s="2" t="s">
        <v>871</v>
      </c>
      <c r="F504" s="2" t="s">
        <v>873</v>
      </c>
      <c r="G504" s="4" t="s">
        <v>1492</v>
      </c>
      <c r="H504" s="2">
        <v>8</v>
      </c>
      <c r="I504" s="3" t="s">
        <v>1492</v>
      </c>
      <c r="J504" s="2" t="s">
        <v>925</v>
      </c>
      <c r="K504" s="2" t="s">
        <v>926</v>
      </c>
      <c r="S504" s="6" t="b">
        <f>C504='Plano de Contas'!C504</f>
        <v>1</v>
      </c>
    </row>
    <row r="505" spans="1:19" x14ac:dyDescent="0.2">
      <c r="A505" s="17" t="s">
        <v>2285</v>
      </c>
      <c r="B505" s="1" t="s">
        <v>40</v>
      </c>
      <c r="C505" s="1" t="s">
        <v>925</v>
      </c>
      <c r="D505" s="2" t="s">
        <v>196</v>
      </c>
      <c r="E505" s="2" t="s">
        <v>871</v>
      </c>
      <c r="F505" s="2" t="s">
        <v>873</v>
      </c>
      <c r="G505" s="4" t="s">
        <v>1492</v>
      </c>
      <c r="H505" s="2">
        <v>11</v>
      </c>
      <c r="I505" s="3" t="s">
        <v>927</v>
      </c>
      <c r="J505" s="2" t="s">
        <v>925</v>
      </c>
      <c r="K505" s="2" t="s">
        <v>926</v>
      </c>
      <c r="S505" s="6" t="b">
        <f>C505='Plano de Contas'!C505</f>
        <v>1</v>
      </c>
    </row>
    <row r="506" spans="1:19" x14ac:dyDescent="0.2">
      <c r="A506" s="18" t="s">
        <v>2286</v>
      </c>
      <c r="B506" s="2" t="s">
        <v>54</v>
      </c>
      <c r="C506" s="2" t="s">
        <v>363</v>
      </c>
      <c r="D506" s="2" t="s">
        <v>196</v>
      </c>
      <c r="E506" s="2" t="s">
        <v>871</v>
      </c>
      <c r="F506" s="2" t="s">
        <v>873</v>
      </c>
      <c r="G506" s="4" t="s">
        <v>1492</v>
      </c>
      <c r="H506" s="2">
        <v>16</v>
      </c>
      <c r="I506" s="3" t="s">
        <v>1492</v>
      </c>
      <c r="J506" s="2" t="s">
        <v>925</v>
      </c>
      <c r="K506" s="2" t="s">
        <v>926</v>
      </c>
      <c r="S506" s="6" t="b">
        <f>C506='Plano de Contas'!C506</f>
        <v>1</v>
      </c>
    </row>
    <row r="507" spans="1:19" x14ac:dyDescent="0.2">
      <c r="A507" s="17" t="s">
        <v>2287</v>
      </c>
      <c r="B507" s="1" t="s">
        <v>40</v>
      </c>
      <c r="C507" s="1" t="s">
        <v>930</v>
      </c>
      <c r="D507" s="2" t="s">
        <v>196</v>
      </c>
      <c r="E507" s="2" t="s">
        <v>871</v>
      </c>
      <c r="F507" s="2" t="s">
        <v>873</v>
      </c>
      <c r="G507" s="4" t="s">
        <v>1492</v>
      </c>
      <c r="H507" s="2">
        <v>8</v>
      </c>
      <c r="I507" s="3" t="s">
        <v>1492</v>
      </c>
      <c r="J507" s="2" t="s">
        <v>930</v>
      </c>
      <c r="K507" s="2" t="s">
        <v>2767</v>
      </c>
      <c r="L507" s="2" t="s">
        <v>931</v>
      </c>
      <c r="S507" s="6" t="b">
        <f>C507='Plano de Contas'!C507</f>
        <v>1</v>
      </c>
    </row>
    <row r="508" spans="1:19" x14ac:dyDescent="0.2">
      <c r="A508" s="17" t="s">
        <v>2288</v>
      </c>
      <c r="B508" s="1" t="s">
        <v>40</v>
      </c>
      <c r="C508" s="1" t="s">
        <v>933</v>
      </c>
      <c r="D508" s="2" t="s">
        <v>196</v>
      </c>
      <c r="E508" s="2" t="s">
        <v>871</v>
      </c>
      <c r="F508" s="2" t="s">
        <v>873</v>
      </c>
      <c r="G508" s="4" t="s">
        <v>1492</v>
      </c>
      <c r="H508" s="2">
        <v>11</v>
      </c>
      <c r="I508" s="3" t="s">
        <v>932</v>
      </c>
      <c r="J508" s="2" t="s">
        <v>933</v>
      </c>
      <c r="K508" s="2" t="s">
        <v>2767</v>
      </c>
      <c r="L508" s="2" t="s">
        <v>931</v>
      </c>
      <c r="M508" s="6" t="s">
        <v>1564</v>
      </c>
      <c r="S508" s="6" t="b">
        <f>C508='Plano de Contas'!C508</f>
        <v>1</v>
      </c>
    </row>
    <row r="509" spans="1:19" x14ac:dyDescent="0.2">
      <c r="A509" s="18" t="s">
        <v>2289</v>
      </c>
      <c r="B509" s="2" t="s">
        <v>54</v>
      </c>
      <c r="C509" s="2" t="s">
        <v>935</v>
      </c>
      <c r="D509" s="2" t="s">
        <v>196</v>
      </c>
      <c r="E509" s="2" t="s">
        <v>871</v>
      </c>
      <c r="F509" s="2" t="s">
        <v>873</v>
      </c>
      <c r="G509" s="4" t="s">
        <v>1492</v>
      </c>
      <c r="H509" s="2">
        <v>16</v>
      </c>
      <c r="I509" s="3" t="s">
        <v>1492</v>
      </c>
      <c r="J509" s="2" t="s">
        <v>933</v>
      </c>
      <c r="K509" s="2" t="s">
        <v>2767</v>
      </c>
      <c r="L509" s="2" t="s">
        <v>931</v>
      </c>
      <c r="M509" s="6" t="s">
        <v>1564</v>
      </c>
      <c r="S509" s="6" t="b">
        <f>C509='Plano de Contas'!C509</f>
        <v>1</v>
      </c>
    </row>
    <row r="510" spans="1:19" x14ac:dyDescent="0.2">
      <c r="A510" s="18" t="s">
        <v>2290</v>
      </c>
      <c r="B510" s="2" t="s">
        <v>54</v>
      </c>
      <c r="C510" s="2" t="s">
        <v>937</v>
      </c>
      <c r="D510" s="2" t="s">
        <v>196</v>
      </c>
      <c r="E510" s="2" t="s">
        <v>871</v>
      </c>
      <c r="F510" s="2" t="s">
        <v>873</v>
      </c>
      <c r="G510" s="4" t="s">
        <v>1492</v>
      </c>
      <c r="H510" s="2">
        <v>16</v>
      </c>
      <c r="I510" s="3" t="s">
        <v>1492</v>
      </c>
      <c r="J510" s="2" t="s">
        <v>933</v>
      </c>
      <c r="K510" s="2" t="s">
        <v>2767</v>
      </c>
      <c r="L510" s="2" t="s">
        <v>931</v>
      </c>
      <c r="M510" s="6" t="s">
        <v>1564</v>
      </c>
      <c r="S510" s="6" t="b">
        <f>C510='Plano de Contas'!C510</f>
        <v>1</v>
      </c>
    </row>
    <row r="511" spans="1:19" x14ac:dyDescent="0.2">
      <c r="A511" s="18" t="s">
        <v>2291</v>
      </c>
      <c r="B511" s="2" t="s">
        <v>54</v>
      </c>
      <c r="C511" s="2" t="s">
        <v>939</v>
      </c>
      <c r="D511" s="2" t="s">
        <v>196</v>
      </c>
      <c r="E511" s="2" t="s">
        <v>871</v>
      </c>
      <c r="F511" s="2" t="s">
        <v>873</v>
      </c>
      <c r="G511" s="4" t="s">
        <v>1492</v>
      </c>
      <c r="H511" s="2">
        <v>16</v>
      </c>
      <c r="I511" s="3" t="s">
        <v>1492</v>
      </c>
      <c r="J511" s="2" t="s">
        <v>933</v>
      </c>
      <c r="K511" s="2" t="s">
        <v>2767</v>
      </c>
      <c r="L511" s="2" t="s">
        <v>931</v>
      </c>
      <c r="M511" s="6" t="s">
        <v>1564</v>
      </c>
      <c r="S511" s="6" t="b">
        <f>C511='Plano de Contas'!C511</f>
        <v>1</v>
      </c>
    </row>
    <row r="512" spans="1:19" x14ac:dyDescent="0.2">
      <c r="A512" s="18" t="s">
        <v>2292</v>
      </c>
      <c r="B512" s="2" t="s">
        <v>54</v>
      </c>
      <c r="C512" s="2" t="s">
        <v>182</v>
      </c>
      <c r="D512" s="2" t="s">
        <v>196</v>
      </c>
      <c r="E512" s="2" t="s">
        <v>871</v>
      </c>
      <c r="F512" s="2" t="s">
        <v>873</v>
      </c>
      <c r="G512" s="4" t="s">
        <v>1492</v>
      </c>
      <c r="H512" s="2">
        <v>16</v>
      </c>
      <c r="I512" s="3" t="s">
        <v>1492</v>
      </c>
      <c r="J512" s="2" t="s">
        <v>933</v>
      </c>
      <c r="K512" s="2" t="s">
        <v>2767</v>
      </c>
      <c r="L512" s="2" t="s">
        <v>931</v>
      </c>
      <c r="M512" s="6" t="s">
        <v>1564</v>
      </c>
      <c r="S512" s="6" t="b">
        <f>C512='Plano de Contas'!C512</f>
        <v>1</v>
      </c>
    </row>
    <row r="513" spans="1:19" x14ac:dyDescent="0.2">
      <c r="A513" s="17" t="s">
        <v>2293</v>
      </c>
      <c r="B513" s="1" t="s">
        <v>40</v>
      </c>
      <c r="C513" s="1" t="s">
        <v>942</v>
      </c>
      <c r="D513" s="2" t="s">
        <v>196</v>
      </c>
      <c r="E513" s="2" t="s">
        <v>871</v>
      </c>
      <c r="F513" s="2" t="s">
        <v>873</v>
      </c>
      <c r="G513" s="4" t="s">
        <v>1492</v>
      </c>
      <c r="H513" s="2">
        <v>11</v>
      </c>
      <c r="I513" s="3" t="s">
        <v>941</v>
      </c>
      <c r="J513" s="2" t="s">
        <v>942</v>
      </c>
      <c r="K513" s="2" t="s">
        <v>2767</v>
      </c>
      <c r="L513" s="2" t="s">
        <v>931</v>
      </c>
      <c r="M513" s="6" t="s">
        <v>1567</v>
      </c>
      <c r="S513" s="6" t="b">
        <f>C513='Plano de Contas'!C513</f>
        <v>1</v>
      </c>
    </row>
    <row r="514" spans="1:19" x14ac:dyDescent="0.2">
      <c r="A514" s="18" t="s">
        <v>2294</v>
      </c>
      <c r="B514" s="2" t="s">
        <v>54</v>
      </c>
      <c r="C514" s="2" t="s">
        <v>944</v>
      </c>
      <c r="D514" s="2" t="s">
        <v>196</v>
      </c>
      <c r="E514" s="2" t="s">
        <v>871</v>
      </c>
      <c r="F514" s="2" t="s">
        <v>873</v>
      </c>
      <c r="G514" s="4" t="s">
        <v>1492</v>
      </c>
      <c r="H514" s="2">
        <v>16</v>
      </c>
      <c r="I514" s="3" t="s">
        <v>1492</v>
      </c>
      <c r="J514" s="2" t="s">
        <v>942</v>
      </c>
      <c r="K514" s="2" t="s">
        <v>2767</v>
      </c>
      <c r="L514" s="2" t="s">
        <v>931</v>
      </c>
      <c r="M514" s="6" t="s">
        <v>1567</v>
      </c>
      <c r="S514" s="6" t="b">
        <f>C514='Plano de Contas'!C514</f>
        <v>1</v>
      </c>
    </row>
    <row r="515" spans="1:19" x14ac:dyDescent="0.2">
      <c r="A515" s="18" t="s">
        <v>2295</v>
      </c>
      <c r="B515" s="2" t="s">
        <v>54</v>
      </c>
      <c r="C515" s="2" t="s">
        <v>946</v>
      </c>
      <c r="D515" s="2" t="s">
        <v>196</v>
      </c>
      <c r="E515" s="2" t="s">
        <v>871</v>
      </c>
      <c r="F515" s="2" t="s">
        <v>873</v>
      </c>
      <c r="G515" s="4" t="s">
        <v>1492</v>
      </c>
      <c r="H515" s="2">
        <v>16</v>
      </c>
      <c r="I515" s="3" t="s">
        <v>1492</v>
      </c>
      <c r="J515" s="2" t="s">
        <v>942</v>
      </c>
      <c r="K515" s="2" t="s">
        <v>2767</v>
      </c>
      <c r="L515" s="2" t="s">
        <v>931</v>
      </c>
      <c r="M515" s="6" t="s">
        <v>1567</v>
      </c>
      <c r="S515" s="6" t="b">
        <f>C515='Plano de Contas'!C515</f>
        <v>1</v>
      </c>
    </row>
    <row r="516" spans="1:19" x14ac:dyDescent="0.2">
      <c r="A516" s="18" t="s">
        <v>2296</v>
      </c>
      <c r="B516" s="2" t="s">
        <v>54</v>
      </c>
      <c r="C516" s="2" t="s">
        <v>948</v>
      </c>
      <c r="D516" s="2" t="s">
        <v>196</v>
      </c>
      <c r="E516" s="2" t="s">
        <v>871</v>
      </c>
      <c r="F516" s="2" t="s">
        <v>873</v>
      </c>
      <c r="G516" s="4" t="s">
        <v>1492</v>
      </c>
      <c r="H516" s="2">
        <v>16</v>
      </c>
      <c r="I516" s="3" t="s">
        <v>1492</v>
      </c>
      <c r="J516" s="2" t="s">
        <v>942</v>
      </c>
      <c r="K516" s="2" t="s">
        <v>2767</v>
      </c>
      <c r="L516" s="2" t="s">
        <v>931</v>
      </c>
      <c r="M516" s="6" t="s">
        <v>1567</v>
      </c>
      <c r="S516" s="6" t="b">
        <f>C516='Plano de Contas'!C516</f>
        <v>1</v>
      </c>
    </row>
    <row r="517" spans="1:19" x14ac:dyDescent="0.2">
      <c r="A517" s="18" t="s">
        <v>2297</v>
      </c>
      <c r="B517" s="2" t="s">
        <v>54</v>
      </c>
      <c r="C517" s="2" t="s">
        <v>950</v>
      </c>
      <c r="D517" s="2" t="s">
        <v>196</v>
      </c>
      <c r="E517" s="2" t="s">
        <v>871</v>
      </c>
      <c r="F517" s="2" t="s">
        <v>873</v>
      </c>
      <c r="G517" s="4" t="s">
        <v>1492</v>
      </c>
      <c r="H517" s="2">
        <v>16</v>
      </c>
      <c r="I517" s="3" t="s">
        <v>1492</v>
      </c>
      <c r="J517" s="2" t="s">
        <v>942</v>
      </c>
      <c r="K517" s="2" t="s">
        <v>2767</v>
      </c>
      <c r="L517" s="2" t="s">
        <v>931</v>
      </c>
      <c r="M517" s="6" t="s">
        <v>1567</v>
      </c>
      <c r="S517" s="6" t="b">
        <f>C517='Plano de Contas'!C517</f>
        <v>1</v>
      </c>
    </row>
    <row r="518" spans="1:19" x14ac:dyDescent="0.2">
      <c r="A518" s="18" t="s">
        <v>2298</v>
      </c>
      <c r="B518" s="2" t="s">
        <v>54</v>
      </c>
      <c r="C518" s="2" t="s">
        <v>942</v>
      </c>
      <c r="D518" s="2" t="s">
        <v>196</v>
      </c>
      <c r="E518" s="2" t="s">
        <v>871</v>
      </c>
      <c r="F518" s="2" t="s">
        <v>873</v>
      </c>
      <c r="G518" s="4" t="s">
        <v>1492</v>
      </c>
      <c r="H518" s="2">
        <v>16</v>
      </c>
      <c r="I518" s="3" t="s">
        <v>1492</v>
      </c>
      <c r="J518" s="2" t="s">
        <v>942</v>
      </c>
      <c r="K518" s="2" t="s">
        <v>2767</v>
      </c>
      <c r="L518" s="2" t="s">
        <v>931</v>
      </c>
      <c r="M518" s="6" t="s">
        <v>1567</v>
      </c>
      <c r="S518" s="6" t="b">
        <f>C518='Plano de Contas'!C518</f>
        <v>1</v>
      </c>
    </row>
    <row r="519" spans="1:19" x14ac:dyDescent="0.2">
      <c r="A519" s="18" t="s">
        <v>2299</v>
      </c>
      <c r="B519" s="2" t="s">
        <v>54</v>
      </c>
      <c r="C519" s="2" t="s">
        <v>953</v>
      </c>
      <c r="D519" s="2" t="s">
        <v>196</v>
      </c>
      <c r="E519" s="2" t="s">
        <v>871</v>
      </c>
      <c r="F519" s="2" t="s">
        <v>873</v>
      </c>
      <c r="G519" s="4" t="s">
        <v>1492</v>
      </c>
      <c r="H519" s="2">
        <v>16</v>
      </c>
      <c r="I519" s="3" t="s">
        <v>1492</v>
      </c>
      <c r="J519" s="2" t="s">
        <v>942</v>
      </c>
      <c r="K519" s="2" t="s">
        <v>2767</v>
      </c>
      <c r="L519" s="2" t="s">
        <v>931</v>
      </c>
      <c r="M519" s="6" t="s">
        <v>1565</v>
      </c>
      <c r="S519" s="6" t="b">
        <f>C519='Plano de Contas'!C519</f>
        <v>1</v>
      </c>
    </row>
    <row r="520" spans="1:19" x14ac:dyDescent="0.2">
      <c r="A520" s="18" t="s">
        <v>2300</v>
      </c>
      <c r="B520" s="2" t="s">
        <v>54</v>
      </c>
      <c r="C520" s="2" t="s">
        <v>955</v>
      </c>
      <c r="D520" s="2" t="s">
        <v>196</v>
      </c>
      <c r="E520" s="2" t="s">
        <v>871</v>
      </c>
      <c r="F520" s="2" t="s">
        <v>873</v>
      </c>
      <c r="G520" s="4" t="s">
        <v>1492</v>
      </c>
      <c r="H520" s="2">
        <v>16</v>
      </c>
      <c r="I520" s="3" t="s">
        <v>1492</v>
      </c>
      <c r="J520" s="2" t="s">
        <v>942</v>
      </c>
      <c r="K520" s="2" t="s">
        <v>2767</v>
      </c>
      <c r="L520" s="2" t="s">
        <v>931</v>
      </c>
      <c r="M520" s="6" t="s">
        <v>1566</v>
      </c>
      <c r="S520" s="6" t="b">
        <f>C520='Plano de Contas'!C520</f>
        <v>1</v>
      </c>
    </row>
    <row r="521" spans="1:19" x14ac:dyDescent="0.2">
      <c r="A521" s="17" t="s">
        <v>2301</v>
      </c>
      <c r="B521" s="1" t="s">
        <v>40</v>
      </c>
      <c r="C521" s="1" t="s">
        <v>957</v>
      </c>
      <c r="D521" s="2" t="s">
        <v>196</v>
      </c>
      <c r="E521" s="2" t="s">
        <v>871</v>
      </c>
      <c r="F521" s="2" t="s">
        <v>873</v>
      </c>
      <c r="G521" s="4" t="s">
        <v>1492</v>
      </c>
      <c r="H521" s="2">
        <v>8</v>
      </c>
      <c r="I521" s="3" t="s">
        <v>1492</v>
      </c>
      <c r="J521" s="2" t="s">
        <v>957</v>
      </c>
      <c r="K521" s="2" t="s">
        <v>876</v>
      </c>
      <c r="L521" s="6" t="s">
        <v>1574</v>
      </c>
      <c r="M521" s="10" t="s">
        <v>1574</v>
      </c>
      <c r="S521" s="6" t="b">
        <f>C521='Plano de Contas'!C521</f>
        <v>1</v>
      </c>
    </row>
    <row r="522" spans="1:19" x14ac:dyDescent="0.2">
      <c r="A522" s="17" t="s">
        <v>2302</v>
      </c>
      <c r="B522" s="1" t="s">
        <v>40</v>
      </c>
      <c r="C522" s="1" t="s">
        <v>957</v>
      </c>
      <c r="D522" s="2" t="s">
        <v>196</v>
      </c>
      <c r="E522" s="2" t="s">
        <v>871</v>
      </c>
      <c r="F522" s="2" t="s">
        <v>873</v>
      </c>
      <c r="G522" s="4" t="s">
        <v>1492</v>
      </c>
      <c r="H522" s="2">
        <v>11</v>
      </c>
      <c r="I522" s="3" t="s">
        <v>958</v>
      </c>
      <c r="J522" s="2" t="s">
        <v>957</v>
      </c>
      <c r="K522" s="2" t="s">
        <v>876</v>
      </c>
      <c r="L522" s="6" t="s">
        <v>1574</v>
      </c>
      <c r="M522" s="10" t="s">
        <v>1574</v>
      </c>
      <c r="S522" s="6" t="b">
        <f>C522='Plano de Contas'!C522</f>
        <v>1</v>
      </c>
    </row>
    <row r="523" spans="1:19" x14ac:dyDescent="0.2">
      <c r="A523" s="18" t="s">
        <v>2303</v>
      </c>
      <c r="B523" s="2" t="s">
        <v>54</v>
      </c>
      <c r="C523" s="2" t="s">
        <v>960</v>
      </c>
      <c r="D523" s="2" t="s">
        <v>196</v>
      </c>
      <c r="E523" s="2" t="s">
        <v>871</v>
      </c>
      <c r="F523" s="2" t="s">
        <v>873</v>
      </c>
      <c r="G523" s="4" t="s">
        <v>1492</v>
      </c>
      <c r="H523" s="2">
        <v>16</v>
      </c>
      <c r="I523" s="3" t="s">
        <v>1492</v>
      </c>
      <c r="J523" s="2" t="s">
        <v>957</v>
      </c>
      <c r="K523" s="2" t="s">
        <v>876</v>
      </c>
      <c r="L523" s="6" t="s">
        <v>1574</v>
      </c>
      <c r="M523" s="10" t="s">
        <v>1574</v>
      </c>
      <c r="S523" s="6" t="b">
        <f>C523='Plano de Contas'!C523</f>
        <v>1</v>
      </c>
    </row>
    <row r="524" spans="1:19" x14ac:dyDescent="0.2">
      <c r="A524" s="17" t="s">
        <v>2304</v>
      </c>
      <c r="B524" s="1" t="s">
        <v>40</v>
      </c>
      <c r="C524" s="1" t="s">
        <v>962</v>
      </c>
      <c r="D524" s="2" t="s">
        <v>196</v>
      </c>
      <c r="E524" s="2" t="s">
        <v>871</v>
      </c>
      <c r="F524" s="2" t="s">
        <v>873</v>
      </c>
      <c r="G524" s="4" t="s">
        <v>1492</v>
      </c>
      <c r="H524" s="2">
        <v>5</v>
      </c>
      <c r="I524" s="3" t="s">
        <v>1492</v>
      </c>
      <c r="J524" s="2" t="s">
        <v>962</v>
      </c>
      <c r="K524" s="2" t="s">
        <v>963</v>
      </c>
      <c r="S524" s="6" t="b">
        <f>C524='Plano de Contas'!C524</f>
        <v>1</v>
      </c>
    </row>
    <row r="525" spans="1:19" x14ac:dyDescent="0.2">
      <c r="A525" s="17" t="s">
        <v>2305</v>
      </c>
      <c r="B525" s="1" t="s">
        <v>40</v>
      </c>
      <c r="C525" s="1" t="s">
        <v>962</v>
      </c>
      <c r="D525" s="2" t="s">
        <v>196</v>
      </c>
      <c r="E525" s="2" t="s">
        <v>871</v>
      </c>
      <c r="F525" s="2" t="s">
        <v>873</v>
      </c>
      <c r="G525" s="4" t="s">
        <v>1492</v>
      </c>
      <c r="H525" s="2">
        <v>8</v>
      </c>
      <c r="I525" s="3" t="s">
        <v>1492</v>
      </c>
      <c r="J525" s="2" t="s">
        <v>962</v>
      </c>
      <c r="K525" s="2" t="s">
        <v>963</v>
      </c>
      <c r="S525" s="6" t="b">
        <f>C525='Plano de Contas'!C525</f>
        <v>1</v>
      </c>
    </row>
    <row r="526" spans="1:19" x14ac:dyDescent="0.2">
      <c r="A526" s="17" t="s">
        <v>2306</v>
      </c>
      <c r="B526" s="1" t="s">
        <v>40</v>
      </c>
      <c r="C526" s="1" t="s">
        <v>962</v>
      </c>
      <c r="D526" s="2" t="s">
        <v>196</v>
      </c>
      <c r="E526" s="2" t="s">
        <v>871</v>
      </c>
      <c r="F526" s="2" t="s">
        <v>873</v>
      </c>
      <c r="G526" s="4" t="s">
        <v>1492</v>
      </c>
      <c r="H526" s="2">
        <v>11</v>
      </c>
      <c r="I526" s="3" t="s">
        <v>965</v>
      </c>
      <c r="J526" s="2" t="s">
        <v>962</v>
      </c>
      <c r="K526" s="2" t="s">
        <v>963</v>
      </c>
      <c r="S526" s="6" t="b">
        <f>C526='Plano de Contas'!C526</f>
        <v>1</v>
      </c>
    </row>
    <row r="527" spans="1:19" x14ac:dyDescent="0.2">
      <c r="A527" s="18" t="s">
        <v>2307</v>
      </c>
      <c r="B527" s="2" t="s">
        <v>54</v>
      </c>
      <c r="C527" s="2" t="s">
        <v>967</v>
      </c>
      <c r="D527" s="2" t="s">
        <v>196</v>
      </c>
      <c r="E527" s="2" t="s">
        <v>871</v>
      </c>
      <c r="F527" s="2" t="s">
        <v>873</v>
      </c>
      <c r="G527" s="4" t="s">
        <v>1492</v>
      </c>
      <c r="H527" s="2">
        <v>16</v>
      </c>
      <c r="I527" s="3" t="s">
        <v>1492</v>
      </c>
      <c r="J527" s="2" t="s">
        <v>962</v>
      </c>
      <c r="K527" s="2" t="s">
        <v>963</v>
      </c>
      <c r="S527" s="6" t="b">
        <f>C527='Plano de Contas'!C527</f>
        <v>1</v>
      </c>
    </row>
    <row r="528" spans="1:19" x14ac:dyDescent="0.2">
      <c r="A528" s="18" t="s">
        <v>2308</v>
      </c>
      <c r="B528" s="2" t="s">
        <v>54</v>
      </c>
      <c r="C528" s="2" t="s">
        <v>969</v>
      </c>
      <c r="D528" s="2" t="s">
        <v>196</v>
      </c>
      <c r="E528" s="2" t="s">
        <v>871</v>
      </c>
      <c r="F528" s="2" t="s">
        <v>873</v>
      </c>
      <c r="G528" s="4" t="s">
        <v>1492</v>
      </c>
      <c r="H528" s="2">
        <v>16</v>
      </c>
      <c r="I528" s="3" t="s">
        <v>1492</v>
      </c>
      <c r="J528" s="2" t="s">
        <v>962</v>
      </c>
      <c r="K528" s="2" t="s">
        <v>963</v>
      </c>
      <c r="S528" s="6" t="b">
        <f>C528='Plano de Contas'!C528</f>
        <v>1</v>
      </c>
    </row>
    <row r="529" spans="1:19" x14ac:dyDescent="0.2">
      <c r="A529" s="18" t="s">
        <v>2309</v>
      </c>
      <c r="B529" s="2" t="s">
        <v>54</v>
      </c>
      <c r="C529" s="2" t="s">
        <v>971</v>
      </c>
      <c r="D529" s="2" t="s">
        <v>196</v>
      </c>
      <c r="E529" s="2" t="s">
        <v>871</v>
      </c>
      <c r="F529" s="2" t="s">
        <v>873</v>
      </c>
      <c r="G529" s="4" t="s">
        <v>1492</v>
      </c>
      <c r="H529" s="2">
        <v>16</v>
      </c>
      <c r="I529" s="3" t="s">
        <v>1492</v>
      </c>
      <c r="J529" s="2" t="s">
        <v>962</v>
      </c>
      <c r="K529" s="2" t="s">
        <v>963</v>
      </c>
      <c r="S529" s="6" t="b">
        <f>C529='Plano de Contas'!C529</f>
        <v>1</v>
      </c>
    </row>
    <row r="530" spans="1:19" x14ac:dyDescent="0.2">
      <c r="A530" s="17" t="s">
        <v>2310</v>
      </c>
      <c r="B530" s="1" t="s">
        <v>40</v>
      </c>
      <c r="C530" s="15" t="s">
        <v>1704</v>
      </c>
      <c r="D530" s="2" t="s">
        <v>196</v>
      </c>
      <c r="E530" s="2" t="s">
        <v>871</v>
      </c>
      <c r="F530" s="2" t="s">
        <v>873</v>
      </c>
      <c r="G530" s="4" t="s">
        <v>1492</v>
      </c>
      <c r="H530" s="2">
        <v>11</v>
      </c>
      <c r="I530" s="3" t="s">
        <v>1700</v>
      </c>
      <c r="J530" s="2" t="s">
        <v>1704</v>
      </c>
      <c r="K530" s="2" t="s">
        <v>963</v>
      </c>
      <c r="S530" s="6" t="b">
        <f>C530='Plano de Contas'!C530</f>
        <v>1</v>
      </c>
    </row>
    <row r="531" spans="1:19" x14ac:dyDescent="0.2">
      <c r="A531" s="18" t="s">
        <v>2311</v>
      </c>
      <c r="B531" s="2" t="s">
        <v>54</v>
      </c>
      <c r="C531" s="12" t="s">
        <v>1705</v>
      </c>
      <c r="D531" s="2" t="s">
        <v>196</v>
      </c>
      <c r="E531" s="2" t="s">
        <v>871</v>
      </c>
      <c r="F531" s="2" t="s">
        <v>873</v>
      </c>
      <c r="G531" s="4" t="s">
        <v>1492</v>
      </c>
      <c r="H531" s="2">
        <v>16</v>
      </c>
      <c r="I531" s="3" t="s">
        <v>1492</v>
      </c>
      <c r="J531" s="2" t="s">
        <v>1704</v>
      </c>
      <c r="K531" s="2" t="s">
        <v>963</v>
      </c>
      <c r="S531" s="6" t="b">
        <f>C531='Plano de Contas'!C531</f>
        <v>1</v>
      </c>
    </row>
    <row r="532" spans="1:19" x14ac:dyDescent="0.2">
      <c r="A532" s="18" t="s">
        <v>2312</v>
      </c>
      <c r="B532" s="2" t="s">
        <v>54</v>
      </c>
      <c r="C532" s="12" t="s">
        <v>1703</v>
      </c>
      <c r="D532" s="2" t="s">
        <v>196</v>
      </c>
      <c r="E532" s="2" t="s">
        <v>871</v>
      </c>
      <c r="F532" s="2" t="s">
        <v>873</v>
      </c>
      <c r="G532" s="4" t="s">
        <v>1492</v>
      </c>
      <c r="H532" s="2">
        <v>16</v>
      </c>
      <c r="I532" s="3" t="s">
        <v>1492</v>
      </c>
      <c r="J532" s="2" t="s">
        <v>962</v>
      </c>
      <c r="K532" s="2" t="s">
        <v>963</v>
      </c>
      <c r="S532" s="6" t="b">
        <f>C532='Plano de Contas'!C532</f>
        <v>1</v>
      </c>
    </row>
    <row r="533" spans="1:19" x14ac:dyDescent="0.2">
      <c r="A533" s="18" t="s">
        <v>2313</v>
      </c>
      <c r="B533" s="2" t="s">
        <v>54</v>
      </c>
      <c r="C533" s="2" t="s">
        <v>1706</v>
      </c>
      <c r="D533" s="2" t="s">
        <v>196</v>
      </c>
      <c r="E533" s="2" t="s">
        <v>871</v>
      </c>
      <c r="F533" s="2" t="s">
        <v>873</v>
      </c>
      <c r="G533" s="4" t="s">
        <v>1492</v>
      </c>
      <c r="H533" s="2">
        <v>16</v>
      </c>
      <c r="I533" s="3" t="s">
        <v>1492</v>
      </c>
      <c r="J533" s="2" t="s">
        <v>962</v>
      </c>
      <c r="K533" s="2" t="s">
        <v>963</v>
      </c>
      <c r="S533" s="6" t="b">
        <f>C533='Plano de Contas'!C533</f>
        <v>1</v>
      </c>
    </row>
    <row r="534" spans="1:19" x14ac:dyDescent="0.2">
      <c r="A534" s="17" t="s">
        <v>2314</v>
      </c>
      <c r="B534" s="1" t="s">
        <v>40</v>
      </c>
      <c r="C534" s="1" t="s">
        <v>505</v>
      </c>
      <c r="D534" s="2" t="s">
        <v>42</v>
      </c>
      <c r="E534" s="2" t="s">
        <v>871</v>
      </c>
      <c r="F534" s="2" t="s">
        <v>873</v>
      </c>
      <c r="G534" s="4" t="s">
        <v>1492</v>
      </c>
      <c r="H534" s="2">
        <v>3</v>
      </c>
      <c r="I534" s="3" t="s">
        <v>1492</v>
      </c>
      <c r="J534" s="2" t="s">
        <v>505</v>
      </c>
      <c r="K534" s="2" t="s">
        <v>876</v>
      </c>
      <c r="L534" s="6" t="s">
        <v>1576</v>
      </c>
      <c r="S534" s="6" t="b">
        <f>C534='Plano de Contas'!C534</f>
        <v>1</v>
      </c>
    </row>
    <row r="535" spans="1:19" x14ac:dyDescent="0.2">
      <c r="A535" s="17" t="s">
        <v>2315</v>
      </c>
      <c r="B535" s="1" t="s">
        <v>40</v>
      </c>
      <c r="C535" s="1" t="s">
        <v>974</v>
      </c>
      <c r="D535" s="2" t="s">
        <v>42</v>
      </c>
      <c r="E535" s="2" t="s">
        <v>871</v>
      </c>
      <c r="F535" s="2" t="s">
        <v>873</v>
      </c>
      <c r="G535" s="4" t="s">
        <v>1492</v>
      </c>
      <c r="H535" s="2">
        <v>5</v>
      </c>
      <c r="I535" s="3" t="s">
        <v>1492</v>
      </c>
      <c r="J535" s="2" t="s">
        <v>974</v>
      </c>
      <c r="K535" s="2" t="s">
        <v>876</v>
      </c>
      <c r="L535" s="6" t="s">
        <v>1576</v>
      </c>
      <c r="S535" s="6" t="b">
        <f>C535='Plano de Contas'!C535</f>
        <v>1</v>
      </c>
    </row>
    <row r="536" spans="1:19" x14ac:dyDescent="0.2">
      <c r="A536" s="17" t="s">
        <v>2316</v>
      </c>
      <c r="B536" s="1" t="s">
        <v>40</v>
      </c>
      <c r="C536" s="1" t="s">
        <v>527</v>
      </c>
      <c r="D536" s="2" t="s">
        <v>42</v>
      </c>
      <c r="E536" s="2" t="s">
        <v>871</v>
      </c>
      <c r="F536" s="2" t="s">
        <v>873</v>
      </c>
      <c r="G536" s="4" t="s">
        <v>1492</v>
      </c>
      <c r="H536" s="2">
        <v>8</v>
      </c>
      <c r="I536" s="3" t="s">
        <v>1492</v>
      </c>
      <c r="J536" s="2" t="s">
        <v>527</v>
      </c>
      <c r="K536" s="2" t="s">
        <v>876</v>
      </c>
      <c r="L536" s="6" t="s">
        <v>1576</v>
      </c>
      <c r="M536" s="6" t="s">
        <v>527</v>
      </c>
      <c r="S536" s="6" t="b">
        <f>C536='Plano de Contas'!C536</f>
        <v>1</v>
      </c>
    </row>
    <row r="537" spans="1:19" x14ac:dyDescent="0.2">
      <c r="A537" s="17" t="s">
        <v>2317</v>
      </c>
      <c r="B537" s="1" t="s">
        <v>40</v>
      </c>
      <c r="C537" s="1" t="s">
        <v>527</v>
      </c>
      <c r="D537" s="2" t="s">
        <v>42</v>
      </c>
      <c r="E537" s="2" t="s">
        <v>871</v>
      </c>
      <c r="F537" s="2" t="s">
        <v>873</v>
      </c>
      <c r="G537" s="4" t="s">
        <v>1492</v>
      </c>
      <c r="H537" s="2">
        <v>11</v>
      </c>
      <c r="I537" s="3" t="s">
        <v>976</v>
      </c>
      <c r="J537" s="2" t="s">
        <v>527</v>
      </c>
      <c r="K537" s="2" t="s">
        <v>876</v>
      </c>
      <c r="L537" s="6" t="s">
        <v>1576</v>
      </c>
      <c r="M537" s="6" t="s">
        <v>527</v>
      </c>
      <c r="S537" s="6" t="b">
        <f>C537='Plano de Contas'!C537</f>
        <v>1</v>
      </c>
    </row>
    <row r="538" spans="1:19" x14ac:dyDescent="0.2">
      <c r="A538" s="18" t="s">
        <v>2318</v>
      </c>
      <c r="B538" s="2" t="s">
        <v>54</v>
      </c>
      <c r="C538" s="2" t="s">
        <v>978</v>
      </c>
      <c r="D538" s="2" t="s">
        <v>42</v>
      </c>
      <c r="E538" s="2" t="s">
        <v>871</v>
      </c>
      <c r="F538" s="2" t="s">
        <v>873</v>
      </c>
      <c r="G538" s="4" t="s">
        <v>1492</v>
      </c>
      <c r="H538" s="2">
        <v>16</v>
      </c>
      <c r="I538" s="3" t="s">
        <v>1492</v>
      </c>
      <c r="J538" s="2" t="s">
        <v>527</v>
      </c>
      <c r="K538" s="2" t="s">
        <v>876</v>
      </c>
      <c r="L538" s="6" t="s">
        <v>1576</v>
      </c>
      <c r="M538" s="6" t="s">
        <v>527</v>
      </c>
      <c r="S538" s="6" t="b">
        <f>C538='Plano de Contas'!C538</f>
        <v>1</v>
      </c>
    </row>
    <row r="539" spans="1:19" x14ac:dyDescent="0.2">
      <c r="A539" s="18" t="s">
        <v>2319</v>
      </c>
      <c r="B539" s="2" t="s">
        <v>54</v>
      </c>
      <c r="C539" s="2" t="s">
        <v>533</v>
      </c>
      <c r="D539" s="2" t="s">
        <v>42</v>
      </c>
      <c r="E539" s="2" t="s">
        <v>871</v>
      </c>
      <c r="F539" s="2" t="s">
        <v>873</v>
      </c>
      <c r="G539" s="4" t="s">
        <v>1492</v>
      </c>
      <c r="H539" s="2">
        <v>16</v>
      </c>
      <c r="I539" s="3" t="s">
        <v>1492</v>
      </c>
      <c r="J539" s="2" t="s">
        <v>527</v>
      </c>
      <c r="K539" s="2" t="s">
        <v>876</v>
      </c>
      <c r="L539" s="6" t="s">
        <v>1576</v>
      </c>
      <c r="M539" s="6" t="s">
        <v>527</v>
      </c>
      <c r="S539" s="6" t="b">
        <f>C539='Plano de Contas'!C539</f>
        <v>1</v>
      </c>
    </row>
    <row r="540" spans="1:19" x14ac:dyDescent="0.2">
      <c r="A540" s="17" t="s">
        <v>2320</v>
      </c>
      <c r="B540" s="1" t="s">
        <v>40</v>
      </c>
      <c r="C540" s="1" t="s">
        <v>981</v>
      </c>
      <c r="D540" s="2" t="s">
        <v>42</v>
      </c>
      <c r="E540" s="2" t="s">
        <v>871</v>
      </c>
      <c r="F540" s="2" t="s">
        <v>873</v>
      </c>
      <c r="G540" s="4" t="s">
        <v>1492</v>
      </c>
      <c r="H540" s="2">
        <v>11</v>
      </c>
      <c r="I540" s="3" t="s">
        <v>980</v>
      </c>
      <c r="J540" s="2" t="s">
        <v>981</v>
      </c>
      <c r="K540" s="2" t="s">
        <v>876</v>
      </c>
      <c r="L540" s="6" t="s">
        <v>1576</v>
      </c>
      <c r="M540" s="6" t="s">
        <v>527</v>
      </c>
      <c r="S540" s="6" t="b">
        <f>C540='Plano de Contas'!C540</f>
        <v>1</v>
      </c>
    </row>
    <row r="541" spans="1:19" x14ac:dyDescent="0.2">
      <c r="A541" s="18" t="s">
        <v>2321</v>
      </c>
      <c r="B541" s="2" t="s">
        <v>54</v>
      </c>
      <c r="C541" s="2" t="s">
        <v>983</v>
      </c>
      <c r="D541" s="2" t="s">
        <v>42</v>
      </c>
      <c r="E541" s="2" t="s">
        <v>871</v>
      </c>
      <c r="F541" s="2" t="s">
        <v>873</v>
      </c>
      <c r="G541" s="4" t="s">
        <v>1492</v>
      </c>
      <c r="H541" s="2">
        <v>16</v>
      </c>
      <c r="I541" s="3" t="s">
        <v>1492</v>
      </c>
      <c r="J541" s="2" t="s">
        <v>981</v>
      </c>
      <c r="K541" s="2" t="s">
        <v>876</v>
      </c>
      <c r="L541" s="6" t="s">
        <v>1576</v>
      </c>
      <c r="M541" s="6" t="s">
        <v>527</v>
      </c>
      <c r="S541" s="6" t="b">
        <f>C541='Plano de Contas'!C541</f>
        <v>1</v>
      </c>
    </row>
    <row r="542" spans="1:19" x14ac:dyDescent="0.2">
      <c r="A542" s="17" t="s">
        <v>2322</v>
      </c>
      <c r="B542" s="1" t="s">
        <v>40</v>
      </c>
      <c r="C542" s="1" t="s">
        <v>519</v>
      </c>
      <c r="D542" s="2" t="s">
        <v>42</v>
      </c>
      <c r="E542" s="2" t="s">
        <v>871</v>
      </c>
      <c r="F542" s="2" t="s">
        <v>873</v>
      </c>
      <c r="G542" s="4" t="s">
        <v>1492</v>
      </c>
      <c r="H542" s="2">
        <v>8</v>
      </c>
      <c r="I542" s="3" t="s">
        <v>1492</v>
      </c>
      <c r="J542" s="2" t="s">
        <v>519</v>
      </c>
      <c r="K542" s="2" t="s">
        <v>876</v>
      </c>
      <c r="L542" s="6" t="s">
        <v>1576</v>
      </c>
      <c r="M542" s="6" t="s">
        <v>519</v>
      </c>
      <c r="S542" s="6" t="b">
        <f>C542='Plano de Contas'!C542</f>
        <v>1</v>
      </c>
    </row>
    <row r="543" spans="1:19" x14ac:dyDescent="0.2">
      <c r="A543" s="17" t="s">
        <v>2323</v>
      </c>
      <c r="B543" s="1" t="s">
        <v>40</v>
      </c>
      <c r="C543" s="1" t="s">
        <v>519</v>
      </c>
      <c r="D543" s="2" t="s">
        <v>42</v>
      </c>
      <c r="E543" s="2" t="s">
        <v>871</v>
      </c>
      <c r="F543" s="2" t="s">
        <v>873</v>
      </c>
      <c r="G543" s="4" t="s">
        <v>1492</v>
      </c>
      <c r="H543" s="2">
        <v>11</v>
      </c>
      <c r="I543" s="3" t="s">
        <v>985</v>
      </c>
      <c r="J543" s="2" t="s">
        <v>519</v>
      </c>
      <c r="K543" s="2" t="s">
        <v>876</v>
      </c>
      <c r="L543" s="6" t="s">
        <v>1576</v>
      </c>
      <c r="M543" s="6" t="s">
        <v>519</v>
      </c>
      <c r="S543" s="6" t="b">
        <f>C543='Plano de Contas'!C543</f>
        <v>1</v>
      </c>
    </row>
    <row r="544" spans="1:19" x14ac:dyDescent="0.2">
      <c r="A544" s="18" t="s">
        <v>2324</v>
      </c>
      <c r="B544" s="2" t="s">
        <v>54</v>
      </c>
      <c r="C544" s="2" t="s">
        <v>987</v>
      </c>
      <c r="D544" s="2" t="s">
        <v>42</v>
      </c>
      <c r="E544" s="2" t="s">
        <v>871</v>
      </c>
      <c r="F544" s="2" t="s">
        <v>873</v>
      </c>
      <c r="G544" s="4" t="s">
        <v>1492</v>
      </c>
      <c r="H544" s="2">
        <v>16</v>
      </c>
      <c r="I544" s="3" t="s">
        <v>1492</v>
      </c>
      <c r="J544" s="2" t="s">
        <v>519</v>
      </c>
      <c r="K544" s="2" t="s">
        <v>876</v>
      </c>
      <c r="L544" s="6" t="s">
        <v>1576</v>
      </c>
      <c r="M544" s="6" t="s">
        <v>519</v>
      </c>
      <c r="S544" s="6" t="b">
        <f>C544='Plano de Contas'!C544</f>
        <v>1</v>
      </c>
    </row>
    <row r="545" spans="1:19" x14ac:dyDescent="0.2">
      <c r="A545" s="18" t="s">
        <v>2325</v>
      </c>
      <c r="B545" s="2" t="s">
        <v>54</v>
      </c>
      <c r="C545" s="2" t="s">
        <v>989</v>
      </c>
      <c r="D545" s="2" t="s">
        <v>42</v>
      </c>
      <c r="E545" s="2" t="s">
        <v>871</v>
      </c>
      <c r="F545" s="2" t="s">
        <v>873</v>
      </c>
      <c r="G545" s="4" t="s">
        <v>1492</v>
      </c>
      <c r="H545" s="2">
        <v>16</v>
      </c>
      <c r="I545" s="3" t="s">
        <v>1492</v>
      </c>
      <c r="J545" s="2" t="s">
        <v>519</v>
      </c>
      <c r="K545" s="2" t="s">
        <v>876</v>
      </c>
      <c r="L545" s="6" t="s">
        <v>1576</v>
      </c>
      <c r="M545" s="6" t="s">
        <v>519</v>
      </c>
      <c r="S545" s="6" t="b">
        <f>C545='Plano de Contas'!C545</f>
        <v>1</v>
      </c>
    </row>
    <row r="546" spans="1:19" x14ac:dyDescent="0.2">
      <c r="A546" s="17" t="s">
        <v>2326</v>
      </c>
      <c r="B546" s="1" t="s">
        <v>40</v>
      </c>
      <c r="C546" s="1" t="s">
        <v>991</v>
      </c>
      <c r="D546" s="2" t="s">
        <v>42</v>
      </c>
      <c r="E546" s="2" t="s">
        <v>871</v>
      </c>
      <c r="F546" s="2" t="s">
        <v>873</v>
      </c>
      <c r="G546" s="4" t="s">
        <v>1492</v>
      </c>
      <c r="H546" s="2">
        <v>11</v>
      </c>
      <c r="I546" s="3" t="s">
        <v>990</v>
      </c>
      <c r="J546" s="2" t="s">
        <v>991</v>
      </c>
      <c r="K546" s="2" t="s">
        <v>876</v>
      </c>
      <c r="L546" s="6" t="s">
        <v>1576</v>
      </c>
      <c r="M546" s="6" t="s">
        <v>519</v>
      </c>
      <c r="S546" s="6" t="b">
        <f>C546='Plano de Contas'!C546</f>
        <v>1</v>
      </c>
    </row>
    <row r="547" spans="1:19" x14ac:dyDescent="0.2">
      <c r="A547" s="18" t="s">
        <v>2327</v>
      </c>
      <c r="B547" s="2" t="s">
        <v>54</v>
      </c>
      <c r="C547" s="2" t="s">
        <v>993</v>
      </c>
      <c r="D547" s="2" t="s">
        <v>42</v>
      </c>
      <c r="E547" s="2" t="s">
        <v>871</v>
      </c>
      <c r="F547" s="2" t="s">
        <v>873</v>
      </c>
      <c r="G547" s="4" t="s">
        <v>1492</v>
      </c>
      <c r="H547" s="2">
        <v>16</v>
      </c>
      <c r="I547" s="3" t="s">
        <v>1492</v>
      </c>
      <c r="J547" s="2" t="s">
        <v>991</v>
      </c>
      <c r="K547" s="2" t="s">
        <v>876</v>
      </c>
      <c r="L547" s="6" t="s">
        <v>1576</v>
      </c>
      <c r="M547" s="6" t="s">
        <v>519</v>
      </c>
      <c r="S547" s="6" t="b">
        <f>C547='Plano de Contas'!C547</f>
        <v>1</v>
      </c>
    </row>
    <row r="548" spans="1:19" x14ac:dyDescent="0.2">
      <c r="A548" s="17" t="s">
        <v>2328</v>
      </c>
      <c r="B548" s="1" t="s">
        <v>40</v>
      </c>
      <c r="C548" s="1" t="s">
        <v>995</v>
      </c>
      <c r="D548" s="2" t="s">
        <v>42</v>
      </c>
      <c r="E548" s="2" t="s">
        <v>871</v>
      </c>
      <c r="F548" s="2" t="s">
        <v>873</v>
      </c>
      <c r="G548" s="4" t="s">
        <v>1492</v>
      </c>
      <c r="H548" s="2">
        <v>3</v>
      </c>
      <c r="I548" s="3" t="s">
        <v>1492</v>
      </c>
      <c r="J548" s="2" t="s">
        <v>995</v>
      </c>
      <c r="K548" s="2" t="s">
        <v>996</v>
      </c>
      <c r="S548" s="6" t="b">
        <f>C548='Plano de Contas'!C548</f>
        <v>1</v>
      </c>
    </row>
    <row r="549" spans="1:19" x14ac:dyDescent="0.2">
      <c r="A549" s="17" t="s">
        <v>2329</v>
      </c>
      <c r="B549" s="1" t="s">
        <v>40</v>
      </c>
      <c r="C549" s="1" t="s">
        <v>995</v>
      </c>
      <c r="D549" s="2" t="s">
        <v>42</v>
      </c>
      <c r="E549" s="2" t="s">
        <v>871</v>
      </c>
      <c r="F549" s="2" t="s">
        <v>873</v>
      </c>
      <c r="G549" s="4" t="s">
        <v>1492</v>
      </c>
      <c r="H549" s="2">
        <v>5</v>
      </c>
      <c r="I549" s="3" t="s">
        <v>1492</v>
      </c>
      <c r="J549" s="2" t="s">
        <v>995</v>
      </c>
      <c r="K549" s="2" t="s">
        <v>996</v>
      </c>
      <c r="S549" s="6" t="b">
        <f>C549='Plano de Contas'!C549</f>
        <v>1</v>
      </c>
    </row>
    <row r="550" spans="1:19" x14ac:dyDescent="0.2">
      <c r="A550" s="17" t="s">
        <v>2330</v>
      </c>
      <c r="B550" s="1" t="s">
        <v>40</v>
      </c>
      <c r="C550" s="1" t="s">
        <v>995</v>
      </c>
      <c r="D550" s="2" t="s">
        <v>42</v>
      </c>
      <c r="E550" s="2" t="s">
        <v>871</v>
      </c>
      <c r="F550" s="2" t="s">
        <v>873</v>
      </c>
      <c r="G550" s="4" t="s">
        <v>1492</v>
      </c>
      <c r="H550" s="2">
        <v>8</v>
      </c>
      <c r="I550" s="3" t="s">
        <v>1492</v>
      </c>
      <c r="J550" s="2" t="s">
        <v>995</v>
      </c>
      <c r="K550" s="2" t="s">
        <v>996</v>
      </c>
      <c r="S550" s="6" t="b">
        <f>C550='Plano de Contas'!C550</f>
        <v>1</v>
      </c>
    </row>
    <row r="551" spans="1:19" x14ac:dyDescent="0.2">
      <c r="A551" s="17" t="s">
        <v>2331</v>
      </c>
      <c r="B551" s="1" t="s">
        <v>40</v>
      </c>
      <c r="C551" s="1" t="s">
        <v>1000</v>
      </c>
      <c r="D551" s="2" t="s">
        <v>42</v>
      </c>
      <c r="E551" s="2" t="s">
        <v>871</v>
      </c>
      <c r="F551" s="2" t="s">
        <v>873</v>
      </c>
      <c r="G551" s="4" t="s">
        <v>1492</v>
      </c>
      <c r="H551" s="2">
        <v>11</v>
      </c>
      <c r="I551" s="3" t="s">
        <v>999</v>
      </c>
      <c r="J551" s="2" t="s">
        <v>1000</v>
      </c>
      <c r="K551" s="2" t="s">
        <v>996</v>
      </c>
      <c r="S551" s="6" t="b">
        <f>C551='Plano de Contas'!C551</f>
        <v>1</v>
      </c>
    </row>
    <row r="552" spans="1:19" x14ac:dyDescent="0.2">
      <c r="A552" s="18" t="s">
        <v>2332</v>
      </c>
      <c r="B552" s="2" t="s">
        <v>54</v>
      </c>
      <c r="C552" s="2" t="s">
        <v>1002</v>
      </c>
      <c r="D552" s="2" t="s">
        <v>42</v>
      </c>
      <c r="E552" s="2" t="s">
        <v>871</v>
      </c>
      <c r="F552" s="2" t="s">
        <v>873</v>
      </c>
      <c r="G552" s="4" t="s">
        <v>1492</v>
      </c>
      <c r="H552" s="2">
        <v>16</v>
      </c>
      <c r="I552" s="3" t="s">
        <v>1492</v>
      </c>
      <c r="J552" s="2" t="s">
        <v>1000</v>
      </c>
      <c r="K552" s="2" t="s">
        <v>996</v>
      </c>
      <c r="L552" s="10" t="s">
        <v>1580</v>
      </c>
      <c r="M552" s="10" t="s">
        <v>1580</v>
      </c>
      <c r="S552" s="6" t="b">
        <f>C552='Plano de Contas'!C552</f>
        <v>1</v>
      </c>
    </row>
    <row r="553" spans="1:19" x14ac:dyDescent="0.2">
      <c r="A553" s="18" t="s">
        <v>2333</v>
      </c>
      <c r="B553" s="2" t="s">
        <v>54</v>
      </c>
      <c r="C553" s="2" t="s">
        <v>1004</v>
      </c>
      <c r="D553" s="2" t="s">
        <v>42</v>
      </c>
      <c r="E553" s="2" t="s">
        <v>871</v>
      </c>
      <c r="F553" s="2" t="s">
        <v>873</v>
      </c>
      <c r="G553" s="4" t="s">
        <v>1492</v>
      </c>
      <c r="H553" s="2">
        <v>16</v>
      </c>
      <c r="I553" s="3" t="s">
        <v>1492</v>
      </c>
      <c r="J553" s="2" t="s">
        <v>1000</v>
      </c>
      <c r="K553" s="2" t="s">
        <v>996</v>
      </c>
      <c r="L553" s="6" t="s">
        <v>1581</v>
      </c>
      <c r="M553" s="6" t="s">
        <v>1581</v>
      </c>
      <c r="S553" s="6" t="b">
        <f>C553='Plano de Contas'!C553</f>
        <v>1</v>
      </c>
    </row>
    <row r="554" spans="1:19" x14ac:dyDescent="0.2">
      <c r="A554" s="17" t="s">
        <v>2334</v>
      </c>
      <c r="B554" s="1" t="s">
        <v>40</v>
      </c>
      <c r="C554" s="1" t="s">
        <v>1006</v>
      </c>
      <c r="D554" s="2" t="s">
        <v>42</v>
      </c>
      <c r="E554" s="2" t="s">
        <v>871</v>
      </c>
      <c r="F554" s="2" t="s">
        <v>873</v>
      </c>
      <c r="G554" s="4" t="s">
        <v>1492</v>
      </c>
      <c r="H554" s="2">
        <v>11</v>
      </c>
      <c r="I554" s="3" t="s">
        <v>1005</v>
      </c>
      <c r="J554" s="2" t="s">
        <v>1006</v>
      </c>
      <c r="K554" s="2" t="s">
        <v>996</v>
      </c>
      <c r="L554" s="6" t="s">
        <v>1581</v>
      </c>
      <c r="M554" s="6" t="s">
        <v>1581</v>
      </c>
      <c r="S554" s="6" t="b">
        <f>C554='Plano de Contas'!C554</f>
        <v>1</v>
      </c>
    </row>
    <row r="555" spans="1:19" x14ac:dyDescent="0.2">
      <c r="A555" s="18" t="s">
        <v>2335</v>
      </c>
      <c r="B555" s="2" t="s">
        <v>54</v>
      </c>
      <c r="C555" s="2" t="s">
        <v>1008</v>
      </c>
      <c r="D555" s="2" t="s">
        <v>42</v>
      </c>
      <c r="E555" s="2" t="s">
        <v>871</v>
      </c>
      <c r="F555" s="2" t="s">
        <v>873</v>
      </c>
      <c r="G555" s="4" t="s">
        <v>1492</v>
      </c>
      <c r="H555" s="2">
        <v>16</v>
      </c>
      <c r="I555" s="3" t="s">
        <v>1492</v>
      </c>
      <c r="J555" s="2" t="s">
        <v>1006</v>
      </c>
      <c r="K555" s="2" t="s">
        <v>876</v>
      </c>
      <c r="L555" s="6" t="s">
        <v>1574</v>
      </c>
      <c r="M555" s="6" t="s">
        <v>1727</v>
      </c>
      <c r="S555" s="6" t="b">
        <f>C555='Plano de Contas'!C555</f>
        <v>1</v>
      </c>
    </row>
    <row r="556" spans="1:19" x14ac:dyDescent="0.2">
      <c r="A556" s="17" t="s">
        <v>2336</v>
      </c>
      <c r="B556" s="1" t="s">
        <v>40</v>
      </c>
      <c r="C556" s="1" t="s">
        <v>1010</v>
      </c>
      <c r="D556" s="2" t="s">
        <v>42</v>
      </c>
      <c r="E556" s="2" t="s">
        <v>871</v>
      </c>
      <c r="F556" s="2" t="s">
        <v>873</v>
      </c>
      <c r="G556" s="4" t="s">
        <v>1492</v>
      </c>
      <c r="H556" s="2">
        <v>11</v>
      </c>
      <c r="I556" s="3" t="s">
        <v>1009</v>
      </c>
      <c r="J556" s="2" t="s">
        <v>1010</v>
      </c>
      <c r="K556" s="2" t="s">
        <v>996</v>
      </c>
      <c r="L556" s="6" t="s">
        <v>1581</v>
      </c>
      <c r="M556" s="6" t="s">
        <v>1581</v>
      </c>
      <c r="S556" s="6" t="b">
        <f>C556='Plano de Contas'!C556</f>
        <v>1</v>
      </c>
    </row>
    <row r="557" spans="1:19" x14ac:dyDescent="0.2">
      <c r="A557" s="18" t="s">
        <v>2337</v>
      </c>
      <c r="B557" s="2" t="s">
        <v>54</v>
      </c>
      <c r="C557" s="2" t="s">
        <v>1012</v>
      </c>
      <c r="D557" s="2" t="s">
        <v>42</v>
      </c>
      <c r="E557" s="2" t="s">
        <v>871</v>
      </c>
      <c r="F557" s="2" t="s">
        <v>873</v>
      </c>
      <c r="G557" s="4" t="s">
        <v>1492</v>
      </c>
      <c r="H557" s="2">
        <v>16</v>
      </c>
      <c r="I557" s="3" t="s">
        <v>1492</v>
      </c>
      <c r="J557" s="2" t="s">
        <v>1010</v>
      </c>
      <c r="K557" s="2" t="s">
        <v>996</v>
      </c>
      <c r="L557" s="6" t="s">
        <v>1581</v>
      </c>
      <c r="M557" s="6" t="s">
        <v>1581</v>
      </c>
      <c r="S557" s="6" t="b">
        <f>C557='Plano de Contas'!C557</f>
        <v>1</v>
      </c>
    </row>
    <row r="558" spans="1:19" x14ac:dyDescent="0.2">
      <c r="A558" s="17" t="s">
        <v>2338</v>
      </c>
      <c r="B558" s="1" t="s">
        <v>40</v>
      </c>
      <c r="C558" s="1" t="s">
        <v>1014</v>
      </c>
      <c r="D558" s="2" t="s">
        <v>42</v>
      </c>
      <c r="E558" s="2" t="s">
        <v>871</v>
      </c>
      <c r="F558" s="2" t="s">
        <v>873</v>
      </c>
      <c r="G558" s="4" t="s">
        <v>1492</v>
      </c>
      <c r="H558" s="2">
        <v>3</v>
      </c>
      <c r="I558" s="3" t="s">
        <v>1492</v>
      </c>
      <c r="J558" s="2" t="s">
        <v>1014</v>
      </c>
      <c r="K558" s="2" t="s">
        <v>1015</v>
      </c>
      <c r="S558" s="6" t="b">
        <f>C558='Plano de Contas'!C558</f>
        <v>1</v>
      </c>
    </row>
    <row r="559" spans="1:19" x14ac:dyDescent="0.2">
      <c r="A559" s="17" t="s">
        <v>2339</v>
      </c>
      <c r="B559" s="1" t="s">
        <v>40</v>
      </c>
      <c r="C559" s="1" t="s">
        <v>1014</v>
      </c>
      <c r="D559" s="2" t="s">
        <v>42</v>
      </c>
      <c r="E559" s="2" t="s">
        <v>871</v>
      </c>
      <c r="F559" s="2" t="s">
        <v>873</v>
      </c>
      <c r="G559" s="4" t="s">
        <v>1492</v>
      </c>
      <c r="H559" s="2">
        <v>5</v>
      </c>
      <c r="I559" s="3" t="s">
        <v>1492</v>
      </c>
      <c r="J559" s="2" t="s">
        <v>1014</v>
      </c>
      <c r="K559" s="2" t="s">
        <v>1015</v>
      </c>
      <c r="S559" s="6" t="b">
        <f>C559='Plano de Contas'!C559</f>
        <v>1</v>
      </c>
    </row>
    <row r="560" spans="1:19" x14ac:dyDescent="0.2">
      <c r="A560" s="17" t="s">
        <v>2340</v>
      </c>
      <c r="B560" s="1" t="s">
        <v>40</v>
      </c>
      <c r="C560" s="1" t="s">
        <v>1018</v>
      </c>
      <c r="D560" s="2" t="s">
        <v>196</v>
      </c>
      <c r="E560" s="2" t="s">
        <v>871</v>
      </c>
      <c r="F560" s="2" t="s">
        <v>873</v>
      </c>
      <c r="G560" s="4" t="s">
        <v>1492</v>
      </c>
      <c r="H560" s="2">
        <v>8</v>
      </c>
      <c r="I560" s="3" t="s">
        <v>1492</v>
      </c>
      <c r="J560" s="2" t="s">
        <v>1018</v>
      </c>
      <c r="K560" s="2" t="s">
        <v>1015</v>
      </c>
      <c r="S560" s="6" t="b">
        <f>C560='Plano de Contas'!C560</f>
        <v>1</v>
      </c>
    </row>
    <row r="561" spans="1:19" x14ac:dyDescent="0.2">
      <c r="A561" s="17" t="s">
        <v>2341</v>
      </c>
      <c r="B561" s="1" t="s">
        <v>40</v>
      </c>
      <c r="C561" s="1" t="s">
        <v>1018</v>
      </c>
      <c r="D561" s="2" t="s">
        <v>196</v>
      </c>
      <c r="E561" s="2" t="s">
        <v>871</v>
      </c>
      <c r="F561" s="2" t="s">
        <v>873</v>
      </c>
      <c r="G561" s="4" t="s">
        <v>1492</v>
      </c>
      <c r="H561" s="2">
        <v>11</v>
      </c>
      <c r="I561" s="3" t="s">
        <v>1019</v>
      </c>
      <c r="J561" s="2" t="s">
        <v>1018</v>
      </c>
      <c r="K561" s="2" t="s">
        <v>1015</v>
      </c>
      <c r="S561" s="6" t="b">
        <f>C561='Plano de Contas'!C561</f>
        <v>1</v>
      </c>
    </row>
    <row r="562" spans="1:19" x14ac:dyDescent="0.2">
      <c r="A562" s="18" t="s">
        <v>2342</v>
      </c>
      <c r="B562" s="2" t="s">
        <v>54</v>
      </c>
      <c r="C562" s="2" t="s">
        <v>1014</v>
      </c>
      <c r="D562" s="2" t="s">
        <v>196</v>
      </c>
      <c r="E562" s="2" t="s">
        <v>871</v>
      </c>
      <c r="F562" s="2" t="s">
        <v>873</v>
      </c>
      <c r="G562" s="4" t="s">
        <v>1492</v>
      </c>
      <c r="H562" s="2">
        <v>16</v>
      </c>
      <c r="I562" s="3" t="s">
        <v>1492</v>
      </c>
      <c r="J562" s="2" t="s">
        <v>1018</v>
      </c>
      <c r="K562" s="2" t="s">
        <v>1015</v>
      </c>
      <c r="S562" s="6" t="b">
        <f>C562='Plano de Contas'!C562</f>
        <v>1</v>
      </c>
    </row>
    <row r="563" spans="1:19" x14ac:dyDescent="0.2">
      <c r="A563" s="18" t="s">
        <v>2343</v>
      </c>
      <c r="B563" s="2" t="s">
        <v>54</v>
      </c>
      <c r="C563" s="2" t="s">
        <v>1022</v>
      </c>
      <c r="D563" s="2" t="s">
        <v>196</v>
      </c>
      <c r="E563" s="2" t="s">
        <v>871</v>
      </c>
      <c r="F563" s="2" t="s">
        <v>873</v>
      </c>
      <c r="G563" s="4" t="s">
        <v>1492</v>
      </c>
      <c r="H563" s="2">
        <v>16</v>
      </c>
      <c r="I563" s="3" t="s">
        <v>1492</v>
      </c>
      <c r="J563" s="2" t="s">
        <v>1018</v>
      </c>
      <c r="K563" s="6" t="s">
        <v>1015</v>
      </c>
      <c r="L563" s="6" t="s">
        <v>1575</v>
      </c>
      <c r="M563" s="6" t="s">
        <v>1575</v>
      </c>
      <c r="S563" s="6" t="b">
        <f>C563='Plano de Contas'!C563</f>
        <v>1</v>
      </c>
    </row>
    <row r="564" spans="1:19" x14ac:dyDescent="0.2">
      <c r="A564" s="17" t="s">
        <v>1023</v>
      </c>
      <c r="B564" s="1" t="s">
        <v>40</v>
      </c>
      <c r="C564" s="1" t="s">
        <v>1024</v>
      </c>
      <c r="D564" s="2" t="s">
        <v>42</v>
      </c>
      <c r="E564" s="2" t="s">
        <v>1023</v>
      </c>
      <c r="F564" s="2" t="s">
        <v>1025</v>
      </c>
      <c r="G564" s="4" t="s">
        <v>1492</v>
      </c>
      <c r="H564" s="2">
        <v>1</v>
      </c>
      <c r="I564" s="3" t="s">
        <v>1492</v>
      </c>
      <c r="J564" s="2" t="s">
        <v>1024</v>
      </c>
      <c r="K564" s="2" t="s">
        <v>1015</v>
      </c>
      <c r="S564" s="6" t="b">
        <f>C564='Plano de Contas'!C564</f>
        <v>1</v>
      </c>
    </row>
    <row r="565" spans="1:19" x14ac:dyDescent="0.2">
      <c r="A565" s="17" t="s">
        <v>2344</v>
      </c>
      <c r="B565" s="1" t="s">
        <v>40</v>
      </c>
      <c r="C565" s="1" t="s">
        <v>1027</v>
      </c>
      <c r="D565" s="2" t="s">
        <v>42</v>
      </c>
      <c r="E565" s="2" t="s">
        <v>1023</v>
      </c>
      <c r="F565" s="2" t="s">
        <v>1025</v>
      </c>
      <c r="G565" s="4" t="s">
        <v>1492</v>
      </c>
      <c r="H565" s="2">
        <v>3</v>
      </c>
      <c r="I565" s="3" t="s">
        <v>1492</v>
      </c>
      <c r="J565" s="2" t="s">
        <v>1027</v>
      </c>
      <c r="K565" s="2" t="s">
        <v>1015</v>
      </c>
      <c r="S565" s="6" t="b">
        <f>C565='Plano de Contas'!C565</f>
        <v>1</v>
      </c>
    </row>
    <row r="566" spans="1:19" x14ac:dyDescent="0.2">
      <c r="A566" s="17" t="s">
        <v>2345</v>
      </c>
      <c r="B566" s="1" t="s">
        <v>40</v>
      </c>
      <c r="C566" s="1" t="s">
        <v>1029</v>
      </c>
      <c r="D566" s="2" t="s">
        <v>42</v>
      </c>
      <c r="E566" s="2" t="s">
        <v>1023</v>
      </c>
      <c r="F566" s="2" t="s">
        <v>1025</v>
      </c>
      <c r="G566" s="4" t="s">
        <v>1492</v>
      </c>
      <c r="H566" s="2">
        <v>5</v>
      </c>
      <c r="I566" s="3" t="s">
        <v>1492</v>
      </c>
      <c r="J566" s="2" t="s">
        <v>1029</v>
      </c>
      <c r="K566" s="2" t="s">
        <v>1015</v>
      </c>
      <c r="S566" s="6" t="b">
        <f>C566='Plano de Contas'!C566</f>
        <v>1</v>
      </c>
    </row>
    <row r="567" spans="1:19" x14ac:dyDescent="0.2">
      <c r="A567" s="17" t="s">
        <v>2346</v>
      </c>
      <c r="B567" s="1" t="s">
        <v>40</v>
      </c>
      <c r="C567" s="1" t="s">
        <v>1029</v>
      </c>
      <c r="D567" s="2" t="s">
        <v>42</v>
      </c>
      <c r="E567" s="2" t="s">
        <v>1023</v>
      </c>
      <c r="F567" s="2" t="s">
        <v>1025</v>
      </c>
      <c r="G567" s="4" t="s">
        <v>1492</v>
      </c>
      <c r="H567" s="2">
        <v>8</v>
      </c>
      <c r="I567" s="3" t="s">
        <v>1492</v>
      </c>
      <c r="J567" s="2" t="s">
        <v>1029</v>
      </c>
      <c r="K567" s="2" t="s">
        <v>1015</v>
      </c>
      <c r="S567" s="6" t="b">
        <f>C567='Plano de Contas'!C567</f>
        <v>1</v>
      </c>
    </row>
    <row r="568" spans="1:19" x14ac:dyDescent="0.2">
      <c r="A568" s="17" t="s">
        <v>2347</v>
      </c>
      <c r="B568" s="1" t="s">
        <v>40</v>
      </c>
      <c r="C568" s="1" t="s">
        <v>1032</v>
      </c>
      <c r="D568" s="2" t="s">
        <v>42</v>
      </c>
      <c r="E568" s="2" t="s">
        <v>1023</v>
      </c>
      <c r="F568" s="2" t="s">
        <v>1025</v>
      </c>
      <c r="G568" s="4" t="s">
        <v>1492</v>
      </c>
      <c r="H568" s="2">
        <v>11</v>
      </c>
      <c r="I568" s="3" t="s">
        <v>1031</v>
      </c>
      <c r="J568" s="2" t="s">
        <v>1032</v>
      </c>
      <c r="K568" s="2" t="s">
        <v>1015</v>
      </c>
      <c r="S568" s="6" t="b">
        <f>C568='Plano de Contas'!C568</f>
        <v>1</v>
      </c>
    </row>
    <row r="569" spans="1:19" x14ac:dyDescent="0.2">
      <c r="A569" s="18" t="s">
        <v>2348</v>
      </c>
      <c r="B569" s="2" t="s">
        <v>54</v>
      </c>
      <c r="C569" s="2" t="s">
        <v>1034</v>
      </c>
      <c r="D569" s="2" t="s">
        <v>42</v>
      </c>
      <c r="E569" s="2" t="s">
        <v>1023</v>
      </c>
      <c r="F569" s="2" t="s">
        <v>1025</v>
      </c>
      <c r="G569" s="4" t="s">
        <v>1492</v>
      </c>
      <c r="H569" s="2">
        <v>16</v>
      </c>
      <c r="I569" s="3" t="s">
        <v>1492</v>
      </c>
      <c r="J569" s="2" t="s">
        <v>1032</v>
      </c>
      <c r="K569" s="2" t="s">
        <v>876</v>
      </c>
      <c r="L569" s="6" t="s">
        <v>1574</v>
      </c>
      <c r="M569" s="6" t="s">
        <v>1577</v>
      </c>
      <c r="S569" s="6" t="b">
        <f>C569='Plano de Contas'!C569</f>
        <v>1</v>
      </c>
    </row>
    <row r="570" spans="1:19" x14ac:dyDescent="0.2">
      <c r="A570" s="18" t="s">
        <v>2349</v>
      </c>
      <c r="B570" s="2" t="s">
        <v>54</v>
      </c>
      <c r="C570" s="2" t="s">
        <v>1036</v>
      </c>
      <c r="D570" s="2" t="s">
        <v>42</v>
      </c>
      <c r="E570" s="2" t="s">
        <v>1023</v>
      </c>
      <c r="F570" s="2" t="s">
        <v>1025</v>
      </c>
      <c r="G570" s="4" t="s">
        <v>1492</v>
      </c>
      <c r="H570" s="2">
        <v>16</v>
      </c>
      <c r="I570" s="3" t="s">
        <v>1492</v>
      </c>
      <c r="J570" s="2" t="s">
        <v>1032</v>
      </c>
      <c r="K570" s="2" t="s">
        <v>876</v>
      </c>
      <c r="L570" s="6" t="s">
        <v>1574</v>
      </c>
      <c r="M570" s="6" t="s">
        <v>1577</v>
      </c>
      <c r="S570" s="6" t="b">
        <f>C570='Plano de Contas'!C570</f>
        <v>1</v>
      </c>
    </row>
    <row r="571" spans="1:19" x14ac:dyDescent="0.2">
      <c r="A571" s="18" t="s">
        <v>2350</v>
      </c>
      <c r="B571" s="2" t="s">
        <v>54</v>
      </c>
      <c r="C571" s="2" t="s">
        <v>1038</v>
      </c>
      <c r="D571" s="2" t="s">
        <v>42</v>
      </c>
      <c r="E571" s="2" t="s">
        <v>1023</v>
      </c>
      <c r="F571" s="2" t="s">
        <v>1025</v>
      </c>
      <c r="G571" s="4" t="s">
        <v>1492</v>
      </c>
      <c r="H571" s="2">
        <v>16</v>
      </c>
      <c r="I571" s="3" t="s">
        <v>1492</v>
      </c>
      <c r="J571" s="2" t="s">
        <v>1032</v>
      </c>
      <c r="K571" s="2" t="s">
        <v>876</v>
      </c>
      <c r="L571" s="6" t="s">
        <v>1574</v>
      </c>
      <c r="M571" s="6" t="s">
        <v>1577</v>
      </c>
      <c r="S571" s="6" t="b">
        <f>C571='Plano de Contas'!C571</f>
        <v>1</v>
      </c>
    </row>
    <row r="572" spans="1:19" x14ac:dyDescent="0.2">
      <c r="A572" s="17" t="s">
        <v>2351</v>
      </c>
      <c r="B572" s="1" t="s">
        <v>40</v>
      </c>
      <c r="C572" s="1" t="s">
        <v>1040</v>
      </c>
      <c r="D572" s="2" t="s">
        <v>42</v>
      </c>
      <c r="E572" s="2" t="s">
        <v>1023</v>
      </c>
      <c r="F572" s="2" t="s">
        <v>1025</v>
      </c>
      <c r="G572" s="4" t="s">
        <v>1492</v>
      </c>
      <c r="H572" s="2">
        <v>11</v>
      </c>
      <c r="I572" s="3" t="s">
        <v>1039</v>
      </c>
      <c r="J572" s="2" t="s">
        <v>1040</v>
      </c>
      <c r="K572" s="2" t="s">
        <v>1015</v>
      </c>
      <c r="L572" s="6" t="s">
        <v>1599</v>
      </c>
      <c r="M572" s="6" t="s">
        <v>1605</v>
      </c>
      <c r="S572" s="6" t="b">
        <f>C572='Plano de Contas'!C572</f>
        <v>1</v>
      </c>
    </row>
    <row r="573" spans="1:19" x14ac:dyDescent="0.2">
      <c r="A573" s="18" t="s">
        <v>2352</v>
      </c>
      <c r="B573" s="2" t="s">
        <v>54</v>
      </c>
      <c r="C573" s="2" t="s">
        <v>898</v>
      </c>
      <c r="D573" s="2" t="s">
        <v>42</v>
      </c>
      <c r="E573" s="2" t="s">
        <v>1023</v>
      </c>
      <c r="F573" s="2" t="s">
        <v>1025</v>
      </c>
      <c r="G573" s="4" t="s">
        <v>1492</v>
      </c>
      <c r="H573" s="2">
        <v>16</v>
      </c>
      <c r="I573" s="3" t="s">
        <v>1492</v>
      </c>
      <c r="J573" s="2" t="s">
        <v>1040</v>
      </c>
      <c r="K573" s="2" t="s">
        <v>1015</v>
      </c>
      <c r="L573" s="6" t="s">
        <v>1599</v>
      </c>
      <c r="M573" s="6" t="s">
        <v>1605</v>
      </c>
      <c r="S573" s="6" t="b">
        <f>C573='Plano de Contas'!C573</f>
        <v>1</v>
      </c>
    </row>
    <row r="574" spans="1:19" x14ac:dyDescent="0.2">
      <c r="A574" s="18" t="s">
        <v>2353</v>
      </c>
      <c r="B574" s="2" t="s">
        <v>54</v>
      </c>
      <c r="C574" s="2" t="s">
        <v>1043</v>
      </c>
      <c r="D574" s="2" t="s">
        <v>42</v>
      </c>
      <c r="E574" s="2" t="s">
        <v>1023</v>
      </c>
      <c r="F574" s="2" t="s">
        <v>1025</v>
      </c>
      <c r="G574" s="4" t="s">
        <v>1492</v>
      </c>
      <c r="H574" s="2">
        <v>16</v>
      </c>
      <c r="I574" s="3" t="s">
        <v>1492</v>
      </c>
      <c r="J574" s="2" t="s">
        <v>1040</v>
      </c>
      <c r="K574" s="2" t="s">
        <v>1015</v>
      </c>
      <c r="L574" s="6" t="s">
        <v>1599</v>
      </c>
      <c r="M574" s="6" t="s">
        <v>1605</v>
      </c>
      <c r="S574" s="6" t="b">
        <f>C574='Plano de Contas'!C574</f>
        <v>1</v>
      </c>
    </row>
    <row r="575" spans="1:19" x14ac:dyDescent="0.2">
      <c r="A575" s="18" t="s">
        <v>2354</v>
      </c>
      <c r="B575" s="2" t="s">
        <v>54</v>
      </c>
      <c r="C575" s="2" t="s">
        <v>1045</v>
      </c>
      <c r="D575" s="2" t="s">
        <v>42</v>
      </c>
      <c r="E575" s="2" t="s">
        <v>1023</v>
      </c>
      <c r="F575" s="2" t="s">
        <v>1025</v>
      </c>
      <c r="G575" s="4" t="s">
        <v>1492</v>
      </c>
      <c r="H575" s="2">
        <v>16</v>
      </c>
      <c r="I575" s="3" t="s">
        <v>1492</v>
      </c>
      <c r="J575" s="2" t="s">
        <v>1040</v>
      </c>
      <c r="K575" s="2" t="s">
        <v>1015</v>
      </c>
      <c r="L575" s="6" t="s">
        <v>1599</v>
      </c>
      <c r="M575" s="6" t="s">
        <v>1605</v>
      </c>
      <c r="S575" s="6" t="b">
        <f>C575='Plano de Contas'!C575</f>
        <v>1</v>
      </c>
    </row>
    <row r="576" spans="1:19" x14ac:dyDescent="0.2">
      <c r="A576" s="18" t="s">
        <v>2355</v>
      </c>
      <c r="B576" s="2" t="s">
        <v>54</v>
      </c>
      <c r="C576" s="2" t="s">
        <v>1047</v>
      </c>
      <c r="D576" s="2" t="s">
        <v>42</v>
      </c>
      <c r="E576" s="2" t="s">
        <v>1023</v>
      </c>
      <c r="F576" s="2" t="s">
        <v>1025</v>
      </c>
      <c r="G576" s="4" t="s">
        <v>1492</v>
      </c>
      <c r="H576" s="2">
        <v>16</v>
      </c>
      <c r="I576" s="3" t="s">
        <v>1492</v>
      </c>
      <c r="J576" s="2" t="s">
        <v>1040</v>
      </c>
      <c r="K576" s="2" t="s">
        <v>1015</v>
      </c>
      <c r="L576" s="6" t="s">
        <v>1599</v>
      </c>
      <c r="M576" s="6" t="s">
        <v>1605</v>
      </c>
      <c r="S576" s="6" t="b">
        <f>C576='Plano de Contas'!C576</f>
        <v>1</v>
      </c>
    </row>
    <row r="577" spans="1:19" x14ac:dyDescent="0.2">
      <c r="A577" s="18" t="s">
        <v>2356</v>
      </c>
      <c r="B577" s="2" t="s">
        <v>54</v>
      </c>
      <c r="C577" s="2" t="s">
        <v>1040</v>
      </c>
      <c r="D577" s="2" t="s">
        <v>42</v>
      </c>
      <c r="E577" s="2" t="s">
        <v>1023</v>
      </c>
      <c r="F577" s="2" t="s">
        <v>1025</v>
      </c>
      <c r="G577" s="4" t="s">
        <v>1492</v>
      </c>
      <c r="H577" s="2">
        <v>16</v>
      </c>
      <c r="I577" s="3" t="s">
        <v>1492</v>
      </c>
      <c r="J577" s="2" t="s">
        <v>1040</v>
      </c>
      <c r="K577" s="2" t="s">
        <v>1015</v>
      </c>
      <c r="L577" s="6" t="s">
        <v>1599</v>
      </c>
      <c r="M577" s="6" t="s">
        <v>1605</v>
      </c>
      <c r="S577" s="6" t="b">
        <f>C577='Plano de Contas'!C577</f>
        <v>1</v>
      </c>
    </row>
    <row r="578" spans="1:19" x14ac:dyDescent="0.2">
      <c r="A578" s="17" t="s">
        <v>2357</v>
      </c>
      <c r="B578" s="1" t="s">
        <v>40</v>
      </c>
      <c r="C578" s="1" t="s">
        <v>1050</v>
      </c>
      <c r="D578" s="2" t="s">
        <v>42</v>
      </c>
      <c r="E578" s="2" t="s">
        <v>1023</v>
      </c>
      <c r="F578" s="2" t="s">
        <v>1025</v>
      </c>
      <c r="G578" s="4" t="s">
        <v>1492</v>
      </c>
      <c r="H578" s="2">
        <v>5</v>
      </c>
      <c r="I578" s="3" t="s">
        <v>1492</v>
      </c>
      <c r="J578" s="2" t="s">
        <v>1050</v>
      </c>
      <c r="K578" s="2" t="s">
        <v>1015</v>
      </c>
      <c r="L578" s="6" t="s">
        <v>1527</v>
      </c>
      <c r="M578" s="16"/>
      <c r="S578" s="6" t="b">
        <f>C578='Plano de Contas'!C578</f>
        <v>1</v>
      </c>
    </row>
    <row r="579" spans="1:19" x14ac:dyDescent="0.2">
      <c r="A579" s="17" t="s">
        <v>2358</v>
      </c>
      <c r="B579" s="1" t="s">
        <v>40</v>
      </c>
      <c r="C579" s="1" t="s">
        <v>1052</v>
      </c>
      <c r="D579" s="2" t="s">
        <v>42</v>
      </c>
      <c r="E579" s="2" t="s">
        <v>1023</v>
      </c>
      <c r="F579" s="2" t="s">
        <v>1025</v>
      </c>
      <c r="G579" s="4" t="s">
        <v>1492</v>
      </c>
      <c r="H579" s="2">
        <v>8</v>
      </c>
      <c r="I579" s="3" t="s">
        <v>1492</v>
      </c>
      <c r="J579" s="2" t="s">
        <v>1052</v>
      </c>
      <c r="K579" s="2" t="s">
        <v>1015</v>
      </c>
      <c r="L579" s="6" t="s">
        <v>1527</v>
      </c>
      <c r="M579" s="16"/>
      <c r="S579" s="6" t="b">
        <f>C579='Plano de Contas'!C579</f>
        <v>1</v>
      </c>
    </row>
    <row r="580" spans="1:19" x14ac:dyDescent="0.2">
      <c r="A580" s="17" t="s">
        <v>2359</v>
      </c>
      <c r="B580" s="1" t="s">
        <v>40</v>
      </c>
      <c r="C580" s="1" t="s">
        <v>1052</v>
      </c>
      <c r="D580" s="2" t="s">
        <v>42</v>
      </c>
      <c r="E580" s="2" t="s">
        <v>1023</v>
      </c>
      <c r="F580" s="2" t="s">
        <v>1025</v>
      </c>
      <c r="G580" s="4" t="s">
        <v>1492</v>
      </c>
      <c r="H580" s="2">
        <v>11</v>
      </c>
      <c r="I580" s="3" t="s">
        <v>1053</v>
      </c>
      <c r="J580" s="2" t="s">
        <v>1052</v>
      </c>
      <c r="K580" s="2" t="s">
        <v>1015</v>
      </c>
      <c r="L580" s="6" t="s">
        <v>1527</v>
      </c>
      <c r="M580" s="16"/>
      <c r="S580" s="6" t="b">
        <f>C580='Plano de Contas'!C580</f>
        <v>1</v>
      </c>
    </row>
    <row r="581" spans="1:19" x14ac:dyDescent="0.2">
      <c r="A581" s="18" t="s">
        <v>2360</v>
      </c>
      <c r="B581" s="2" t="s">
        <v>54</v>
      </c>
      <c r="C581" s="2" t="s">
        <v>1055</v>
      </c>
      <c r="D581" s="2" t="s">
        <v>42</v>
      </c>
      <c r="E581" s="2" t="s">
        <v>1023</v>
      </c>
      <c r="F581" s="2" t="s">
        <v>1025</v>
      </c>
      <c r="G581" s="4" t="s">
        <v>1492</v>
      </c>
      <c r="H581" s="2">
        <v>16</v>
      </c>
      <c r="I581" s="3" t="s">
        <v>1492</v>
      </c>
      <c r="J581" s="2" t="s">
        <v>1052</v>
      </c>
      <c r="K581" s="2" t="s">
        <v>1015</v>
      </c>
      <c r="L581" s="6" t="s">
        <v>1527</v>
      </c>
      <c r="M581" s="16" t="s">
        <v>1529</v>
      </c>
      <c r="S581" s="6" t="b">
        <f>C581='Plano de Contas'!C581</f>
        <v>1</v>
      </c>
    </row>
    <row r="582" spans="1:19" x14ac:dyDescent="0.2">
      <c r="A582" s="18" t="s">
        <v>2361</v>
      </c>
      <c r="B582" s="2" t="s">
        <v>54</v>
      </c>
      <c r="C582" s="2" t="s">
        <v>1057</v>
      </c>
      <c r="D582" s="2" t="s">
        <v>42</v>
      </c>
      <c r="E582" s="2" t="s">
        <v>1023</v>
      </c>
      <c r="F582" s="2" t="s">
        <v>1025</v>
      </c>
      <c r="G582" s="4" t="s">
        <v>1492</v>
      </c>
      <c r="H582" s="2">
        <v>16</v>
      </c>
      <c r="I582" s="3" t="s">
        <v>1492</v>
      </c>
      <c r="J582" s="2" t="s">
        <v>1052</v>
      </c>
      <c r="K582" s="2" t="s">
        <v>1015</v>
      </c>
      <c r="L582" s="6" t="s">
        <v>1527</v>
      </c>
      <c r="M582" s="16" t="s">
        <v>1742</v>
      </c>
      <c r="S582" s="6" t="b">
        <f>C582='Plano de Contas'!C582</f>
        <v>1</v>
      </c>
    </row>
    <row r="583" spans="1:19" x14ac:dyDescent="0.2">
      <c r="A583" s="18" t="s">
        <v>2362</v>
      </c>
      <c r="B583" s="2" t="s">
        <v>54</v>
      </c>
      <c r="C583" s="2" t="s">
        <v>1059</v>
      </c>
      <c r="D583" s="2" t="s">
        <v>42</v>
      </c>
      <c r="E583" s="2" t="s">
        <v>1023</v>
      </c>
      <c r="F583" s="2" t="s">
        <v>1025</v>
      </c>
      <c r="G583" s="4" t="s">
        <v>1492</v>
      </c>
      <c r="H583" s="2">
        <v>16</v>
      </c>
      <c r="I583" s="3" t="s">
        <v>1492</v>
      </c>
      <c r="J583" s="2" t="s">
        <v>1052</v>
      </c>
      <c r="K583" s="2" t="s">
        <v>1015</v>
      </c>
      <c r="L583" s="6" t="s">
        <v>1527</v>
      </c>
      <c r="M583" s="16" t="s">
        <v>1743</v>
      </c>
      <c r="S583" s="6" t="b">
        <f>C583='Plano de Contas'!C583</f>
        <v>1</v>
      </c>
    </row>
    <row r="584" spans="1:19" x14ac:dyDescent="0.2">
      <c r="A584" s="18" t="s">
        <v>2363</v>
      </c>
      <c r="B584" s="2" t="s">
        <v>54</v>
      </c>
      <c r="C584" s="2" t="s">
        <v>691</v>
      </c>
      <c r="D584" s="2" t="s">
        <v>42</v>
      </c>
      <c r="E584" s="2" t="s">
        <v>1023</v>
      </c>
      <c r="F584" s="2" t="s">
        <v>1025</v>
      </c>
      <c r="G584" s="4" t="s">
        <v>1492</v>
      </c>
      <c r="H584" s="2">
        <v>16</v>
      </c>
      <c r="I584" s="3" t="s">
        <v>1492</v>
      </c>
      <c r="J584" s="2" t="s">
        <v>1052</v>
      </c>
      <c r="K584" s="2" t="s">
        <v>1015</v>
      </c>
      <c r="L584" s="6" t="s">
        <v>1527</v>
      </c>
      <c r="M584" s="16" t="s">
        <v>1744</v>
      </c>
      <c r="S584" s="6" t="b">
        <f>C584='Plano de Contas'!C584</f>
        <v>1</v>
      </c>
    </row>
    <row r="585" spans="1:19" x14ac:dyDescent="0.2">
      <c r="A585" s="18" t="s">
        <v>2364</v>
      </c>
      <c r="B585" s="2" t="s">
        <v>54</v>
      </c>
      <c r="C585" s="2" t="s">
        <v>1062</v>
      </c>
      <c r="D585" s="2" t="s">
        <v>42</v>
      </c>
      <c r="E585" s="2" t="s">
        <v>1023</v>
      </c>
      <c r="F585" s="2" t="s">
        <v>1025</v>
      </c>
      <c r="G585" s="4" t="s">
        <v>1492</v>
      </c>
      <c r="H585" s="2">
        <v>16</v>
      </c>
      <c r="I585" s="3" t="s">
        <v>1492</v>
      </c>
      <c r="J585" s="2" t="s">
        <v>1052</v>
      </c>
      <c r="K585" s="2" t="s">
        <v>1015</v>
      </c>
      <c r="L585" s="6" t="s">
        <v>1527</v>
      </c>
      <c r="M585" s="16" t="s">
        <v>1745</v>
      </c>
      <c r="S585" s="6" t="b">
        <f>C585='Plano de Contas'!C585</f>
        <v>1</v>
      </c>
    </row>
    <row r="586" spans="1:19" x14ac:dyDescent="0.2">
      <c r="A586" s="18" t="s">
        <v>2365</v>
      </c>
      <c r="B586" s="2" t="s">
        <v>54</v>
      </c>
      <c r="C586" s="2" t="s">
        <v>1064</v>
      </c>
      <c r="D586" s="2" t="s">
        <v>42</v>
      </c>
      <c r="E586" s="2" t="s">
        <v>1023</v>
      </c>
      <c r="F586" s="2" t="s">
        <v>1025</v>
      </c>
      <c r="G586" s="4" t="s">
        <v>1492</v>
      </c>
      <c r="H586" s="2">
        <v>16</v>
      </c>
      <c r="I586" s="3" t="s">
        <v>1492</v>
      </c>
      <c r="J586" s="2" t="s">
        <v>1052</v>
      </c>
      <c r="K586" s="2" t="s">
        <v>1015</v>
      </c>
      <c r="L586" s="6" t="s">
        <v>1527</v>
      </c>
      <c r="M586" s="16" t="s">
        <v>1746</v>
      </c>
      <c r="S586" s="6" t="b">
        <f>C586='Plano de Contas'!C586</f>
        <v>1</v>
      </c>
    </row>
    <row r="587" spans="1:19" x14ac:dyDescent="0.2">
      <c r="A587" s="18" t="s">
        <v>2366</v>
      </c>
      <c r="B587" s="2" t="s">
        <v>54</v>
      </c>
      <c r="C587" s="2" t="s">
        <v>1066</v>
      </c>
      <c r="D587" s="2" t="s">
        <v>42</v>
      </c>
      <c r="E587" s="2" t="s">
        <v>1023</v>
      </c>
      <c r="F587" s="2" t="s">
        <v>1025</v>
      </c>
      <c r="G587" s="4" t="s">
        <v>1492</v>
      </c>
      <c r="H587" s="2">
        <v>16</v>
      </c>
      <c r="I587" s="3" t="s">
        <v>1492</v>
      </c>
      <c r="J587" s="2" t="s">
        <v>1052</v>
      </c>
      <c r="K587" s="2" t="s">
        <v>1015</v>
      </c>
      <c r="L587" s="6" t="s">
        <v>1527</v>
      </c>
      <c r="M587" s="16" t="s">
        <v>1747</v>
      </c>
      <c r="S587" s="6" t="b">
        <f>C587='Plano de Contas'!C587</f>
        <v>1</v>
      </c>
    </row>
    <row r="588" spans="1:19" x14ac:dyDescent="0.2">
      <c r="A588" s="18" t="s">
        <v>2367</v>
      </c>
      <c r="B588" s="2" t="s">
        <v>54</v>
      </c>
      <c r="C588" s="2" t="s">
        <v>1068</v>
      </c>
      <c r="D588" s="2" t="s">
        <v>42</v>
      </c>
      <c r="E588" s="2" t="s">
        <v>1023</v>
      </c>
      <c r="F588" s="2" t="s">
        <v>1025</v>
      </c>
      <c r="G588" s="4" t="s">
        <v>1492</v>
      </c>
      <c r="H588" s="2">
        <v>16</v>
      </c>
      <c r="I588" s="3" t="s">
        <v>1492</v>
      </c>
      <c r="J588" s="2" t="s">
        <v>1052</v>
      </c>
      <c r="K588" s="2" t="s">
        <v>1015</v>
      </c>
      <c r="L588" s="6" t="s">
        <v>1527</v>
      </c>
      <c r="M588" s="16" t="s">
        <v>1748</v>
      </c>
      <c r="S588" s="6" t="b">
        <f>C588='Plano de Contas'!C588</f>
        <v>1</v>
      </c>
    </row>
    <row r="589" spans="1:19" x14ac:dyDescent="0.2">
      <c r="A589" s="17" t="s">
        <v>2368</v>
      </c>
      <c r="B589" s="1" t="s">
        <v>40</v>
      </c>
      <c r="C589" s="1" t="s">
        <v>1070</v>
      </c>
      <c r="D589" s="2" t="s">
        <v>42</v>
      </c>
      <c r="E589" s="2" t="s">
        <v>1023</v>
      </c>
      <c r="F589" s="2" t="s">
        <v>1025</v>
      </c>
      <c r="G589" s="4" t="s">
        <v>1492</v>
      </c>
      <c r="H589" s="2">
        <v>8</v>
      </c>
      <c r="I589" s="3" t="s">
        <v>1492</v>
      </c>
      <c r="J589" s="2" t="s">
        <v>1070</v>
      </c>
      <c r="K589" s="2" t="s">
        <v>1015</v>
      </c>
      <c r="L589" s="6" t="s">
        <v>1527</v>
      </c>
      <c r="M589" s="16" t="s">
        <v>1749</v>
      </c>
      <c r="S589" s="6" t="b">
        <f>C589='Plano de Contas'!C589</f>
        <v>1</v>
      </c>
    </row>
    <row r="590" spans="1:19" x14ac:dyDescent="0.2">
      <c r="A590" s="17" t="s">
        <v>2369</v>
      </c>
      <c r="B590" s="1" t="s">
        <v>40</v>
      </c>
      <c r="C590" s="1" t="s">
        <v>1070</v>
      </c>
      <c r="D590" s="2" t="s">
        <v>42</v>
      </c>
      <c r="E590" s="2" t="s">
        <v>1023</v>
      </c>
      <c r="F590" s="2" t="s">
        <v>1025</v>
      </c>
      <c r="G590" s="4" t="s">
        <v>1492</v>
      </c>
      <c r="H590" s="2">
        <v>11</v>
      </c>
      <c r="I590" s="3" t="s">
        <v>1071</v>
      </c>
      <c r="J590" s="2" t="s">
        <v>1070</v>
      </c>
      <c r="K590" s="2" t="s">
        <v>1015</v>
      </c>
      <c r="L590" s="6" t="s">
        <v>1527</v>
      </c>
      <c r="M590" s="16" t="s">
        <v>1749</v>
      </c>
      <c r="S590" s="6" t="b">
        <f>C590='Plano de Contas'!C590</f>
        <v>1</v>
      </c>
    </row>
    <row r="591" spans="1:19" x14ac:dyDescent="0.2">
      <c r="A591" s="18" t="s">
        <v>2370</v>
      </c>
      <c r="B591" s="2" t="s">
        <v>54</v>
      </c>
      <c r="C591" s="2" t="s">
        <v>1073</v>
      </c>
      <c r="D591" s="2" t="s">
        <v>42</v>
      </c>
      <c r="E591" s="2" t="s">
        <v>1023</v>
      </c>
      <c r="F591" s="2" t="s">
        <v>1025</v>
      </c>
      <c r="G591" s="4" t="s">
        <v>1492</v>
      </c>
      <c r="H591" s="2">
        <v>16</v>
      </c>
      <c r="I591" s="3" t="s">
        <v>1492</v>
      </c>
      <c r="J591" s="2" t="s">
        <v>1070</v>
      </c>
      <c r="K591" s="2" t="s">
        <v>1015</v>
      </c>
      <c r="L591" s="6" t="s">
        <v>1527</v>
      </c>
      <c r="M591" s="16" t="s">
        <v>1750</v>
      </c>
      <c r="S591" s="6" t="b">
        <f>C591='Plano de Contas'!C591</f>
        <v>1</v>
      </c>
    </row>
    <row r="592" spans="1:19" x14ac:dyDescent="0.2">
      <c r="A592" s="18" t="s">
        <v>2371</v>
      </c>
      <c r="B592" s="2" t="s">
        <v>54</v>
      </c>
      <c r="C592" s="2" t="s">
        <v>1075</v>
      </c>
      <c r="D592" s="2" t="s">
        <v>42</v>
      </c>
      <c r="E592" s="2" t="s">
        <v>1023</v>
      </c>
      <c r="F592" s="2" t="s">
        <v>1025</v>
      </c>
      <c r="G592" s="4" t="s">
        <v>1492</v>
      </c>
      <c r="H592" s="2">
        <v>16</v>
      </c>
      <c r="I592" s="3" t="s">
        <v>1492</v>
      </c>
      <c r="J592" s="2" t="s">
        <v>1070</v>
      </c>
      <c r="K592" s="2" t="s">
        <v>1015</v>
      </c>
      <c r="L592" s="6" t="s">
        <v>1527</v>
      </c>
      <c r="M592" s="16" t="s">
        <v>1751</v>
      </c>
      <c r="S592" s="6" t="b">
        <f>C592='Plano de Contas'!C592</f>
        <v>1</v>
      </c>
    </row>
    <row r="593" spans="1:19" x14ac:dyDescent="0.2">
      <c r="A593" s="18" t="s">
        <v>2372</v>
      </c>
      <c r="B593" s="2" t="s">
        <v>54</v>
      </c>
      <c r="C593" s="2" t="s">
        <v>1077</v>
      </c>
      <c r="D593" s="2" t="s">
        <v>42</v>
      </c>
      <c r="E593" s="2" t="s">
        <v>1023</v>
      </c>
      <c r="F593" s="2" t="s">
        <v>1025</v>
      </c>
      <c r="G593" s="4" t="s">
        <v>1492</v>
      </c>
      <c r="H593" s="2">
        <v>16</v>
      </c>
      <c r="I593" s="3" t="s">
        <v>1492</v>
      </c>
      <c r="J593" s="2" t="s">
        <v>1070</v>
      </c>
      <c r="K593" s="2" t="s">
        <v>1015</v>
      </c>
      <c r="L593" s="6" t="s">
        <v>1527</v>
      </c>
      <c r="M593" s="16" t="s">
        <v>1752</v>
      </c>
      <c r="S593" s="6" t="b">
        <f>C593='Plano de Contas'!C593</f>
        <v>1</v>
      </c>
    </row>
    <row r="594" spans="1:19" x14ac:dyDescent="0.2">
      <c r="A594" s="18" t="s">
        <v>2373</v>
      </c>
      <c r="B594" s="2" t="s">
        <v>54</v>
      </c>
      <c r="C594" s="2" t="s">
        <v>1079</v>
      </c>
      <c r="D594" s="2" t="s">
        <v>42</v>
      </c>
      <c r="E594" s="2" t="s">
        <v>1023</v>
      </c>
      <c r="F594" s="2" t="s">
        <v>1025</v>
      </c>
      <c r="G594" s="4" t="s">
        <v>1492</v>
      </c>
      <c r="H594" s="2">
        <v>16</v>
      </c>
      <c r="I594" s="3" t="s">
        <v>1492</v>
      </c>
      <c r="J594" s="2" t="s">
        <v>1070</v>
      </c>
      <c r="K594" s="2" t="s">
        <v>1015</v>
      </c>
      <c r="L594" s="6" t="s">
        <v>1527</v>
      </c>
      <c r="M594" s="16" t="s">
        <v>1753</v>
      </c>
      <c r="S594" s="6" t="b">
        <f>C594='Plano de Contas'!C594</f>
        <v>1</v>
      </c>
    </row>
    <row r="595" spans="1:19" x14ac:dyDescent="0.2">
      <c r="A595" s="18" t="s">
        <v>2374</v>
      </c>
      <c r="B595" s="2" t="s">
        <v>54</v>
      </c>
      <c r="C595" s="2" t="s">
        <v>1081</v>
      </c>
      <c r="D595" s="2" t="s">
        <v>42</v>
      </c>
      <c r="E595" s="2" t="s">
        <v>1023</v>
      </c>
      <c r="F595" s="2" t="s">
        <v>1025</v>
      </c>
      <c r="G595" s="4" t="s">
        <v>1492</v>
      </c>
      <c r="H595" s="2">
        <v>16</v>
      </c>
      <c r="I595" s="3" t="s">
        <v>1492</v>
      </c>
      <c r="J595" s="2" t="s">
        <v>1070</v>
      </c>
      <c r="K595" s="2" t="s">
        <v>1015</v>
      </c>
      <c r="L595" s="6" t="s">
        <v>1527</v>
      </c>
      <c r="M595" s="16" t="s">
        <v>1754</v>
      </c>
      <c r="S595" s="6" t="b">
        <f>C595='Plano de Contas'!C595</f>
        <v>1</v>
      </c>
    </row>
    <row r="596" spans="1:19" x14ac:dyDescent="0.2">
      <c r="A596" s="18" t="s">
        <v>2375</v>
      </c>
      <c r="B596" s="2" t="s">
        <v>54</v>
      </c>
      <c r="C596" s="2" t="s">
        <v>1083</v>
      </c>
      <c r="D596" s="2" t="s">
        <v>42</v>
      </c>
      <c r="E596" s="2" t="s">
        <v>1023</v>
      </c>
      <c r="F596" s="2" t="s">
        <v>1025</v>
      </c>
      <c r="G596" s="4" t="s">
        <v>1492</v>
      </c>
      <c r="H596" s="2">
        <v>16</v>
      </c>
      <c r="I596" s="3" t="s">
        <v>1492</v>
      </c>
      <c r="J596" s="2" t="s">
        <v>1070</v>
      </c>
      <c r="K596" s="2" t="s">
        <v>1015</v>
      </c>
      <c r="L596" s="6" t="s">
        <v>1527</v>
      </c>
      <c r="M596" s="16" t="s">
        <v>1755</v>
      </c>
      <c r="S596" s="6" t="b">
        <f>C596='Plano de Contas'!C596</f>
        <v>1</v>
      </c>
    </row>
    <row r="597" spans="1:19" x14ac:dyDescent="0.2">
      <c r="A597" s="17" t="s">
        <v>2376</v>
      </c>
      <c r="B597" s="1" t="s">
        <v>40</v>
      </c>
      <c r="C597" s="1" t="s">
        <v>1085</v>
      </c>
      <c r="D597" s="2" t="s">
        <v>42</v>
      </c>
      <c r="E597" s="2" t="s">
        <v>1023</v>
      </c>
      <c r="F597" s="2" t="s">
        <v>1025</v>
      </c>
      <c r="G597" s="4" t="s">
        <v>1492</v>
      </c>
      <c r="H597" s="2">
        <v>8</v>
      </c>
      <c r="I597" s="3" t="s">
        <v>1492</v>
      </c>
      <c r="J597" s="2" t="s">
        <v>1085</v>
      </c>
      <c r="K597" s="2" t="s">
        <v>1015</v>
      </c>
      <c r="L597" s="6" t="s">
        <v>1527</v>
      </c>
      <c r="M597" s="16" t="s">
        <v>1756</v>
      </c>
      <c r="S597" s="6" t="b">
        <f>C597='Plano de Contas'!C597</f>
        <v>1</v>
      </c>
    </row>
    <row r="598" spans="1:19" x14ac:dyDescent="0.2">
      <c r="A598" s="17" t="s">
        <v>2377</v>
      </c>
      <c r="B598" s="1" t="s">
        <v>40</v>
      </c>
      <c r="C598" s="1" t="s">
        <v>1087</v>
      </c>
      <c r="D598" s="2" t="s">
        <v>42</v>
      </c>
      <c r="E598" s="2" t="s">
        <v>1023</v>
      </c>
      <c r="F598" s="2" t="s">
        <v>1025</v>
      </c>
      <c r="G598" s="4" t="s">
        <v>1492</v>
      </c>
      <c r="H598" s="2">
        <v>11</v>
      </c>
      <c r="I598" s="3" t="s">
        <v>1086</v>
      </c>
      <c r="J598" s="2" t="s">
        <v>1087</v>
      </c>
      <c r="K598" s="2" t="s">
        <v>1015</v>
      </c>
      <c r="L598" s="6" t="s">
        <v>1527</v>
      </c>
      <c r="M598" s="16" t="s">
        <v>1757</v>
      </c>
      <c r="S598" s="6" t="b">
        <f>C598='Plano de Contas'!C598</f>
        <v>1</v>
      </c>
    </row>
    <row r="599" spans="1:19" x14ac:dyDescent="0.2">
      <c r="A599" s="18" t="s">
        <v>2378</v>
      </c>
      <c r="B599" s="2" t="s">
        <v>54</v>
      </c>
      <c r="C599" s="2" t="s">
        <v>1089</v>
      </c>
      <c r="D599" s="2" t="s">
        <v>42</v>
      </c>
      <c r="E599" s="2" t="s">
        <v>1023</v>
      </c>
      <c r="F599" s="2" t="s">
        <v>1025</v>
      </c>
      <c r="G599" s="4" t="s">
        <v>1492</v>
      </c>
      <c r="H599" s="2">
        <v>16</v>
      </c>
      <c r="I599" s="3" t="s">
        <v>1492</v>
      </c>
      <c r="J599" s="2" t="s">
        <v>1087</v>
      </c>
      <c r="K599" s="2" t="s">
        <v>1015</v>
      </c>
      <c r="L599" s="6" t="s">
        <v>1527</v>
      </c>
      <c r="M599" s="16" t="s">
        <v>1758</v>
      </c>
      <c r="S599" s="6" t="b">
        <f>C599='Plano de Contas'!C599</f>
        <v>1</v>
      </c>
    </row>
    <row r="600" spans="1:19" x14ac:dyDescent="0.2">
      <c r="A600" s="18" t="s">
        <v>2379</v>
      </c>
      <c r="B600" s="2" t="s">
        <v>54</v>
      </c>
      <c r="C600" s="2" t="s">
        <v>1091</v>
      </c>
      <c r="D600" s="2" t="s">
        <v>42</v>
      </c>
      <c r="E600" s="2" t="s">
        <v>1023</v>
      </c>
      <c r="F600" s="2" t="s">
        <v>1025</v>
      </c>
      <c r="G600" s="4" t="s">
        <v>1492</v>
      </c>
      <c r="H600" s="2">
        <v>16</v>
      </c>
      <c r="I600" s="3" t="s">
        <v>1492</v>
      </c>
      <c r="J600" s="2" t="s">
        <v>1087</v>
      </c>
      <c r="K600" s="2" t="s">
        <v>1015</v>
      </c>
      <c r="L600" s="6" t="s">
        <v>1527</v>
      </c>
      <c r="M600" s="16" t="s">
        <v>1759</v>
      </c>
      <c r="S600" s="6" t="b">
        <f>C600='Plano de Contas'!C600</f>
        <v>1</v>
      </c>
    </row>
    <row r="601" spans="1:19" x14ac:dyDescent="0.2">
      <c r="A601" s="17" t="s">
        <v>2380</v>
      </c>
      <c r="B601" s="1" t="s">
        <v>40</v>
      </c>
      <c r="C601" s="1" t="s">
        <v>1093</v>
      </c>
      <c r="D601" s="2" t="s">
        <v>42</v>
      </c>
      <c r="E601" s="2" t="s">
        <v>1023</v>
      </c>
      <c r="F601" s="2" t="s">
        <v>1025</v>
      </c>
      <c r="G601" s="4" t="s">
        <v>1492</v>
      </c>
      <c r="H601" s="2">
        <v>11</v>
      </c>
      <c r="I601" s="3" t="s">
        <v>1092</v>
      </c>
      <c r="J601" s="2" t="s">
        <v>1093</v>
      </c>
      <c r="K601" s="2" t="s">
        <v>1015</v>
      </c>
      <c r="L601" s="6" t="s">
        <v>1527</v>
      </c>
      <c r="M601" s="16" t="s">
        <v>1760</v>
      </c>
      <c r="S601" s="6" t="b">
        <f>C601='Plano de Contas'!C601</f>
        <v>1</v>
      </c>
    </row>
    <row r="602" spans="1:19" x14ac:dyDescent="0.2">
      <c r="A602" s="18" t="s">
        <v>2381</v>
      </c>
      <c r="B602" s="2" t="s">
        <v>54</v>
      </c>
      <c r="C602" s="2" t="s">
        <v>1095</v>
      </c>
      <c r="D602" s="2" t="s">
        <v>42</v>
      </c>
      <c r="E602" s="2" t="s">
        <v>1023</v>
      </c>
      <c r="F602" s="2" t="s">
        <v>1025</v>
      </c>
      <c r="G602" s="4" t="s">
        <v>1492</v>
      </c>
      <c r="H602" s="2">
        <v>16</v>
      </c>
      <c r="I602" s="3" t="s">
        <v>1492</v>
      </c>
      <c r="J602" s="2" t="s">
        <v>1093</v>
      </c>
      <c r="K602" s="2" t="s">
        <v>1015</v>
      </c>
      <c r="L602" s="6" t="s">
        <v>1527</v>
      </c>
      <c r="M602" s="16" t="s">
        <v>1761</v>
      </c>
      <c r="S602" s="6" t="b">
        <f>C602='Plano de Contas'!C602</f>
        <v>1</v>
      </c>
    </row>
    <row r="603" spans="1:19" x14ac:dyDescent="0.2">
      <c r="A603" s="18" t="s">
        <v>2382</v>
      </c>
      <c r="B603" s="2" t="s">
        <v>54</v>
      </c>
      <c r="C603" s="2" t="s">
        <v>1097</v>
      </c>
      <c r="D603" s="2" t="s">
        <v>42</v>
      </c>
      <c r="E603" s="2" t="s">
        <v>1023</v>
      </c>
      <c r="F603" s="2" t="s">
        <v>1025</v>
      </c>
      <c r="G603" s="4" t="s">
        <v>1492</v>
      </c>
      <c r="H603" s="2">
        <v>16</v>
      </c>
      <c r="I603" s="3" t="s">
        <v>1492</v>
      </c>
      <c r="J603" s="2" t="s">
        <v>1093</v>
      </c>
      <c r="K603" s="2" t="s">
        <v>1015</v>
      </c>
      <c r="L603" s="6" t="s">
        <v>1527</v>
      </c>
      <c r="M603" s="16" t="s">
        <v>1762</v>
      </c>
      <c r="S603" s="6" t="b">
        <f>C603='Plano de Contas'!C603</f>
        <v>1</v>
      </c>
    </row>
    <row r="604" spans="1:19" x14ac:dyDescent="0.2">
      <c r="A604" s="41" t="s">
        <v>2862</v>
      </c>
      <c r="B604" s="12" t="s">
        <v>54</v>
      </c>
      <c r="C604" s="12" t="s">
        <v>2822</v>
      </c>
      <c r="D604" s="2" t="s">
        <v>42</v>
      </c>
      <c r="E604" s="2" t="str">
        <f t="shared" ref="E604" si="10">LEFT(A604,1)</f>
        <v>4</v>
      </c>
      <c r="F604" s="2" t="s">
        <v>1025</v>
      </c>
      <c r="G604" s="4" t="s">
        <v>1492</v>
      </c>
      <c r="H604" s="2">
        <f t="shared" ref="H604" si="11">LEN(A604)</f>
        <v>11</v>
      </c>
      <c r="I604" s="3" t="str">
        <f t="shared" ref="I604" si="12">IF(H604=11,A604,"-")</f>
        <v>41203020003</v>
      </c>
      <c r="J604" s="2" t="str">
        <f t="shared" ref="J604" si="13">IF(H604&lt;11,C604,IF(I604&lt;&gt;"-",C604,J603))</f>
        <v>PREVIDENCIA PRIVADA</v>
      </c>
      <c r="K604" s="2" t="s">
        <v>1015</v>
      </c>
      <c r="L604" s="6" t="s">
        <v>1527</v>
      </c>
      <c r="M604" s="16" t="s">
        <v>2823</v>
      </c>
      <c r="S604" s="6" t="b">
        <f>C604='Plano de Contas'!C604</f>
        <v>1</v>
      </c>
    </row>
    <row r="605" spans="1:19" x14ac:dyDescent="0.2">
      <c r="A605" s="17" t="s">
        <v>2383</v>
      </c>
      <c r="B605" s="1" t="s">
        <v>40</v>
      </c>
      <c r="C605" s="1" t="s">
        <v>1099</v>
      </c>
      <c r="D605" s="2" t="s">
        <v>42</v>
      </c>
      <c r="E605" s="2" t="s">
        <v>1023</v>
      </c>
      <c r="F605" s="2" t="s">
        <v>1025</v>
      </c>
      <c r="G605" s="4" t="s">
        <v>1492</v>
      </c>
      <c r="H605" s="2">
        <v>11</v>
      </c>
      <c r="I605" s="3" t="s">
        <v>1098</v>
      </c>
      <c r="J605" s="2" t="s">
        <v>1099</v>
      </c>
      <c r="K605" s="2" t="s">
        <v>1015</v>
      </c>
      <c r="L605" s="6" t="s">
        <v>1527</v>
      </c>
      <c r="M605" s="16" t="s">
        <v>1763</v>
      </c>
      <c r="S605" s="6" t="b">
        <f>C605='Plano de Contas'!C605</f>
        <v>1</v>
      </c>
    </row>
    <row r="606" spans="1:19" x14ac:dyDescent="0.2">
      <c r="A606" s="18" t="s">
        <v>2384</v>
      </c>
      <c r="B606" s="2" t="s">
        <v>54</v>
      </c>
      <c r="C606" s="2" t="s">
        <v>1101</v>
      </c>
      <c r="D606" s="2" t="s">
        <v>42</v>
      </c>
      <c r="E606" s="2" t="s">
        <v>1023</v>
      </c>
      <c r="F606" s="2" t="s">
        <v>1025</v>
      </c>
      <c r="G606" s="4" t="s">
        <v>1492</v>
      </c>
      <c r="H606" s="2">
        <v>16</v>
      </c>
      <c r="I606" s="3" t="s">
        <v>1492</v>
      </c>
      <c r="J606" s="2" t="s">
        <v>1099</v>
      </c>
      <c r="K606" s="2" t="s">
        <v>1015</v>
      </c>
      <c r="L606" s="6" t="s">
        <v>1527</v>
      </c>
      <c r="M606" s="16" t="s">
        <v>1764</v>
      </c>
      <c r="S606" s="6" t="b">
        <f>C606='Plano de Contas'!C606</f>
        <v>1</v>
      </c>
    </row>
    <row r="607" spans="1:19" x14ac:dyDescent="0.2">
      <c r="A607" s="18" t="s">
        <v>2385</v>
      </c>
      <c r="B607" s="2" t="s">
        <v>54</v>
      </c>
      <c r="C607" s="2" t="s">
        <v>1103</v>
      </c>
      <c r="D607" s="2" t="s">
        <v>42</v>
      </c>
      <c r="E607" s="2" t="s">
        <v>1023</v>
      </c>
      <c r="F607" s="2" t="s">
        <v>1025</v>
      </c>
      <c r="G607" s="4" t="s">
        <v>1492</v>
      </c>
      <c r="H607" s="2">
        <v>16</v>
      </c>
      <c r="I607" s="3" t="s">
        <v>1492</v>
      </c>
      <c r="J607" s="2" t="s">
        <v>1099</v>
      </c>
      <c r="K607" s="2" t="s">
        <v>1015</v>
      </c>
      <c r="L607" s="6" t="s">
        <v>1527</v>
      </c>
      <c r="M607" s="16" t="s">
        <v>1765</v>
      </c>
      <c r="S607" s="6" t="b">
        <f>C607='Plano de Contas'!C607</f>
        <v>1</v>
      </c>
    </row>
    <row r="608" spans="1:19" x14ac:dyDescent="0.2">
      <c r="A608" s="17" t="s">
        <v>2386</v>
      </c>
      <c r="B608" s="1" t="s">
        <v>40</v>
      </c>
      <c r="C608" s="1" t="s">
        <v>1105</v>
      </c>
      <c r="D608" s="2" t="s">
        <v>42</v>
      </c>
      <c r="E608" s="2" t="s">
        <v>1023</v>
      </c>
      <c r="F608" s="2" t="s">
        <v>1025</v>
      </c>
      <c r="G608" s="4" t="s">
        <v>1492</v>
      </c>
      <c r="H608" s="2">
        <v>11</v>
      </c>
      <c r="I608" s="3" t="s">
        <v>1104</v>
      </c>
      <c r="J608" s="2" t="s">
        <v>1105</v>
      </c>
      <c r="K608" s="2" t="s">
        <v>1015</v>
      </c>
      <c r="L608" s="6" t="s">
        <v>1527</v>
      </c>
      <c r="M608" s="16" t="s">
        <v>1766</v>
      </c>
      <c r="S608" s="6" t="b">
        <f>C608='Plano de Contas'!C608</f>
        <v>1</v>
      </c>
    </row>
    <row r="609" spans="1:19" x14ac:dyDescent="0.2">
      <c r="A609" s="18" t="s">
        <v>2387</v>
      </c>
      <c r="B609" s="2" t="s">
        <v>54</v>
      </c>
      <c r="C609" s="2" t="s">
        <v>1107</v>
      </c>
      <c r="D609" s="2" t="s">
        <v>42</v>
      </c>
      <c r="E609" s="2" t="s">
        <v>1023</v>
      </c>
      <c r="F609" s="2" t="s">
        <v>1025</v>
      </c>
      <c r="G609" s="4" t="s">
        <v>1492</v>
      </c>
      <c r="H609" s="2">
        <v>16</v>
      </c>
      <c r="I609" s="3" t="s">
        <v>1492</v>
      </c>
      <c r="J609" s="2" t="s">
        <v>1105</v>
      </c>
      <c r="K609" s="2" t="s">
        <v>1015</v>
      </c>
      <c r="L609" s="6" t="s">
        <v>1527</v>
      </c>
      <c r="M609" s="16" t="s">
        <v>1767</v>
      </c>
      <c r="S609" s="6" t="b">
        <f>C609='Plano de Contas'!C609</f>
        <v>1</v>
      </c>
    </row>
    <row r="610" spans="1:19" x14ac:dyDescent="0.2">
      <c r="A610" s="17" t="s">
        <v>2388</v>
      </c>
      <c r="B610" s="1" t="s">
        <v>40</v>
      </c>
      <c r="C610" s="1" t="s">
        <v>1109</v>
      </c>
      <c r="D610" s="2" t="s">
        <v>42</v>
      </c>
      <c r="E610" s="2" t="s">
        <v>1023</v>
      </c>
      <c r="F610" s="2" t="s">
        <v>1025</v>
      </c>
      <c r="G610" s="4" t="s">
        <v>1492</v>
      </c>
      <c r="H610" s="2">
        <v>11</v>
      </c>
      <c r="I610" s="3" t="s">
        <v>1108</v>
      </c>
      <c r="J610" s="2" t="s">
        <v>1109</v>
      </c>
      <c r="K610" s="2" t="s">
        <v>1015</v>
      </c>
      <c r="L610" s="6" t="s">
        <v>1527</v>
      </c>
      <c r="M610" s="16" t="s">
        <v>1768</v>
      </c>
      <c r="S610" s="6" t="b">
        <f>C610='Plano de Contas'!C610</f>
        <v>1</v>
      </c>
    </row>
    <row r="611" spans="1:19" x14ac:dyDescent="0.2">
      <c r="A611" s="18" t="s">
        <v>2389</v>
      </c>
      <c r="B611" s="2" t="s">
        <v>54</v>
      </c>
      <c r="C611" s="2" t="s">
        <v>1111</v>
      </c>
      <c r="D611" s="2" t="s">
        <v>42</v>
      </c>
      <c r="E611" s="2" t="s">
        <v>1023</v>
      </c>
      <c r="F611" s="2" t="s">
        <v>1025</v>
      </c>
      <c r="G611" s="4" t="s">
        <v>1492</v>
      </c>
      <c r="H611" s="2">
        <v>16</v>
      </c>
      <c r="I611" s="3" t="s">
        <v>1492</v>
      </c>
      <c r="J611" s="2" t="s">
        <v>1109</v>
      </c>
      <c r="K611" s="2" t="s">
        <v>1015</v>
      </c>
      <c r="L611" s="6" t="s">
        <v>1527</v>
      </c>
      <c r="M611" s="16" t="s">
        <v>1769</v>
      </c>
      <c r="S611" s="6" t="b">
        <f>C611='Plano de Contas'!C611</f>
        <v>1</v>
      </c>
    </row>
    <row r="612" spans="1:19" x14ac:dyDescent="0.2">
      <c r="A612" s="18" t="s">
        <v>2390</v>
      </c>
      <c r="B612" s="2" t="s">
        <v>54</v>
      </c>
      <c r="C612" s="2" t="s">
        <v>1113</v>
      </c>
      <c r="D612" s="2" t="s">
        <v>42</v>
      </c>
      <c r="E612" s="2" t="s">
        <v>1023</v>
      </c>
      <c r="F612" s="2" t="s">
        <v>1025</v>
      </c>
      <c r="G612" s="4" t="s">
        <v>1492</v>
      </c>
      <c r="H612" s="2">
        <v>16</v>
      </c>
      <c r="I612" s="3" t="s">
        <v>1492</v>
      </c>
      <c r="J612" s="2" t="s">
        <v>1109</v>
      </c>
      <c r="K612" s="2" t="s">
        <v>1015</v>
      </c>
      <c r="L612" s="6" t="s">
        <v>1527</v>
      </c>
      <c r="M612" s="16" t="s">
        <v>1770</v>
      </c>
      <c r="S612" s="6" t="b">
        <f>C612='Plano de Contas'!C612</f>
        <v>1</v>
      </c>
    </row>
    <row r="613" spans="1:19" x14ac:dyDescent="0.2">
      <c r="A613" s="17" t="s">
        <v>2391</v>
      </c>
      <c r="B613" s="1" t="s">
        <v>40</v>
      </c>
      <c r="C613" s="1" t="s">
        <v>1115</v>
      </c>
      <c r="D613" s="2" t="s">
        <v>42</v>
      </c>
      <c r="E613" s="2" t="s">
        <v>1023</v>
      </c>
      <c r="F613" s="2" t="s">
        <v>1025</v>
      </c>
      <c r="G613" s="4" t="s">
        <v>1492</v>
      </c>
      <c r="H613" s="2">
        <v>11</v>
      </c>
      <c r="I613" s="3" t="s">
        <v>1114</v>
      </c>
      <c r="J613" s="2" t="s">
        <v>1115</v>
      </c>
      <c r="K613" s="2" t="s">
        <v>1015</v>
      </c>
      <c r="L613" s="6" t="s">
        <v>1527</v>
      </c>
      <c r="M613" s="16" t="s">
        <v>1771</v>
      </c>
      <c r="S613" s="6" t="b">
        <f>C613='Plano de Contas'!C613</f>
        <v>1</v>
      </c>
    </row>
    <row r="614" spans="1:19" x14ac:dyDescent="0.2">
      <c r="A614" s="18" t="s">
        <v>2392</v>
      </c>
      <c r="B614" s="2" t="s">
        <v>54</v>
      </c>
      <c r="C614" s="2" t="s">
        <v>1115</v>
      </c>
      <c r="D614" s="2" t="s">
        <v>42</v>
      </c>
      <c r="E614" s="2" t="s">
        <v>1023</v>
      </c>
      <c r="F614" s="2" t="s">
        <v>1025</v>
      </c>
      <c r="G614" s="4" t="s">
        <v>1492</v>
      </c>
      <c r="H614" s="2">
        <v>16</v>
      </c>
      <c r="I614" s="3" t="s">
        <v>1492</v>
      </c>
      <c r="J614" s="2" t="s">
        <v>1115</v>
      </c>
      <c r="K614" s="2" t="s">
        <v>1015</v>
      </c>
      <c r="L614" s="6" t="s">
        <v>1527</v>
      </c>
      <c r="M614" s="16" t="s">
        <v>1771</v>
      </c>
      <c r="S614" s="6" t="b">
        <f>C614='Plano de Contas'!C614</f>
        <v>1</v>
      </c>
    </row>
    <row r="615" spans="1:19" x14ac:dyDescent="0.2">
      <c r="A615" s="17" t="s">
        <v>2393</v>
      </c>
      <c r="B615" s="1" t="s">
        <v>40</v>
      </c>
      <c r="C615" s="1" t="s">
        <v>1118</v>
      </c>
      <c r="D615" s="2" t="s">
        <v>42</v>
      </c>
      <c r="E615" s="2" t="s">
        <v>1023</v>
      </c>
      <c r="F615" s="2" t="s">
        <v>1025</v>
      </c>
      <c r="G615" s="4" t="s">
        <v>1492</v>
      </c>
      <c r="H615" s="2">
        <v>11</v>
      </c>
      <c r="I615" s="3" t="s">
        <v>1117</v>
      </c>
      <c r="J615" s="2" t="s">
        <v>1118</v>
      </c>
      <c r="K615" s="2" t="s">
        <v>1015</v>
      </c>
      <c r="L615" s="6" t="s">
        <v>1527</v>
      </c>
      <c r="M615" s="16" t="s">
        <v>1772</v>
      </c>
      <c r="S615" s="6" t="b">
        <f>C615='Plano de Contas'!C615</f>
        <v>1</v>
      </c>
    </row>
    <row r="616" spans="1:19" x14ac:dyDescent="0.2">
      <c r="A616" s="18" t="s">
        <v>2394</v>
      </c>
      <c r="B616" s="2" t="s">
        <v>54</v>
      </c>
      <c r="C616" s="2" t="s">
        <v>1120</v>
      </c>
      <c r="D616" s="2" t="s">
        <v>42</v>
      </c>
      <c r="E616" s="2" t="s">
        <v>1023</v>
      </c>
      <c r="F616" s="2" t="s">
        <v>1025</v>
      </c>
      <c r="G616" s="4" t="s">
        <v>1492</v>
      </c>
      <c r="H616" s="2">
        <v>16</v>
      </c>
      <c r="I616" s="3" t="s">
        <v>1492</v>
      </c>
      <c r="J616" s="2" t="s">
        <v>1118</v>
      </c>
      <c r="K616" s="2" t="s">
        <v>1015</v>
      </c>
      <c r="L616" s="6" t="s">
        <v>1527</v>
      </c>
      <c r="M616" s="16" t="s">
        <v>1773</v>
      </c>
      <c r="S616" s="6" t="b">
        <f>C616='Plano de Contas'!C616</f>
        <v>1</v>
      </c>
    </row>
    <row r="617" spans="1:19" x14ac:dyDescent="0.2">
      <c r="A617" s="18" t="s">
        <v>2395</v>
      </c>
      <c r="B617" s="2" t="s">
        <v>54</v>
      </c>
      <c r="C617" s="2" t="s">
        <v>1122</v>
      </c>
      <c r="D617" s="2" t="s">
        <v>42</v>
      </c>
      <c r="E617" s="2" t="s">
        <v>1023</v>
      </c>
      <c r="F617" s="2" t="s">
        <v>1025</v>
      </c>
      <c r="G617" s="4" t="s">
        <v>1492</v>
      </c>
      <c r="H617" s="2">
        <v>16</v>
      </c>
      <c r="I617" s="3" t="s">
        <v>1492</v>
      </c>
      <c r="J617" s="2" t="s">
        <v>1118</v>
      </c>
      <c r="K617" s="2" t="s">
        <v>1015</v>
      </c>
      <c r="L617" s="6" t="s">
        <v>1527</v>
      </c>
      <c r="M617" s="16" t="s">
        <v>1774</v>
      </c>
      <c r="S617" s="6" t="b">
        <f>C617='Plano de Contas'!C617</f>
        <v>1</v>
      </c>
    </row>
    <row r="618" spans="1:19" x14ac:dyDescent="0.2">
      <c r="A618" s="18" t="s">
        <v>2396</v>
      </c>
      <c r="B618" s="2" t="s">
        <v>54</v>
      </c>
      <c r="C618" s="2" t="s">
        <v>1124</v>
      </c>
      <c r="D618" s="2" t="s">
        <v>42</v>
      </c>
      <c r="E618" s="2" t="s">
        <v>1023</v>
      </c>
      <c r="F618" s="2" t="s">
        <v>1025</v>
      </c>
      <c r="G618" s="4" t="s">
        <v>1492</v>
      </c>
      <c r="H618" s="2">
        <v>16</v>
      </c>
      <c r="I618" s="3" t="s">
        <v>1492</v>
      </c>
      <c r="J618" s="2" t="s">
        <v>1118</v>
      </c>
      <c r="K618" s="2" t="s">
        <v>1015</v>
      </c>
      <c r="L618" s="6" t="s">
        <v>1527</v>
      </c>
      <c r="M618" s="16" t="s">
        <v>1775</v>
      </c>
      <c r="S618" s="6" t="b">
        <f>C618='Plano de Contas'!C618</f>
        <v>1</v>
      </c>
    </row>
    <row r="619" spans="1:19" x14ac:dyDescent="0.2">
      <c r="A619" s="18" t="s">
        <v>2397</v>
      </c>
      <c r="B619" s="2" t="s">
        <v>54</v>
      </c>
      <c r="C619" s="2" t="s">
        <v>1126</v>
      </c>
      <c r="D619" s="2" t="s">
        <v>42</v>
      </c>
      <c r="E619" s="2" t="s">
        <v>1023</v>
      </c>
      <c r="F619" s="2" t="s">
        <v>1025</v>
      </c>
      <c r="G619" s="4" t="s">
        <v>1492</v>
      </c>
      <c r="H619" s="2">
        <v>16</v>
      </c>
      <c r="I619" s="3" t="s">
        <v>1492</v>
      </c>
      <c r="J619" s="2" t="s">
        <v>1118</v>
      </c>
      <c r="K619" s="2" t="s">
        <v>1015</v>
      </c>
      <c r="L619" s="6" t="s">
        <v>1527</v>
      </c>
      <c r="M619" s="16" t="s">
        <v>1776</v>
      </c>
      <c r="S619" s="6" t="b">
        <f>C619='Plano de Contas'!C619</f>
        <v>1</v>
      </c>
    </row>
    <row r="620" spans="1:19" x14ac:dyDescent="0.2">
      <c r="A620" s="18" t="s">
        <v>2398</v>
      </c>
      <c r="B620" s="2" t="s">
        <v>54</v>
      </c>
      <c r="C620" s="2" t="s">
        <v>1128</v>
      </c>
      <c r="D620" s="2" t="s">
        <v>42</v>
      </c>
      <c r="E620" s="2" t="s">
        <v>1023</v>
      </c>
      <c r="F620" s="2" t="s">
        <v>1025</v>
      </c>
      <c r="G620" s="4" t="s">
        <v>1492</v>
      </c>
      <c r="H620" s="2">
        <v>16</v>
      </c>
      <c r="I620" s="3" t="s">
        <v>1492</v>
      </c>
      <c r="J620" s="2" t="s">
        <v>1118</v>
      </c>
      <c r="K620" s="2" t="s">
        <v>1015</v>
      </c>
      <c r="L620" s="6" t="s">
        <v>1527</v>
      </c>
      <c r="M620" s="16" t="s">
        <v>1777</v>
      </c>
      <c r="S620" s="6" t="b">
        <f>C620='Plano de Contas'!C620</f>
        <v>1</v>
      </c>
    </row>
    <row r="621" spans="1:19" x14ac:dyDescent="0.2">
      <c r="A621" s="18" t="s">
        <v>2399</v>
      </c>
      <c r="B621" s="2" t="s">
        <v>54</v>
      </c>
      <c r="C621" s="2" t="s">
        <v>1130</v>
      </c>
      <c r="D621" s="2" t="s">
        <v>42</v>
      </c>
      <c r="E621" s="2" t="s">
        <v>1023</v>
      </c>
      <c r="F621" s="2" t="s">
        <v>1025</v>
      </c>
      <c r="G621" s="4" t="s">
        <v>1492</v>
      </c>
      <c r="H621" s="2">
        <v>16</v>
      </c>
      <c r="I621" s="3" t="s">
        <v>1492</v>
      </c>
      <c r="J621" s="2" t="s">
        <v>1118</v>
      </c>
      <c r="K621" s="2" t="s">
        <v>1015</v>
      </c>
      <c r="L621" s="6" t="s">
        <v>1527</v>
      </c>
      <c r="M621" s="16" t="s">
        <v>1778</v>
      </c>
      <c r="S621" s="6" t="b">
        <f>C621='Plano de Contas'!C621</f>
        <v>1</v>
      </c>
    </row>
    <row r="622" spans="1:19" x14ac:dyDescent="0.2">
      <c r="A622" s="18" t="s">
        <v>2400</v>
      </c>
      <c r="B622" s="2" t="s">
        <v>54</v>
      </c>
      <c r="C622" s="2" t="s">
        <v>1132</v>
      </c>
      <c r="D622" s="2" t="s">
        <v>42</v>
      </c>
      <c r="E622" s="2" t="s">
        <v>1023</v>
      </c>
      <c r="F622" s="2" t="s">
        <v>1025</v>
      </c>
      <c r="G622" s="4" t="s">
        <v>1492</v>
      </c>
      <c r="H622" s="2">
        <v>16</v>
      </c>
      <c r="I622" s="3" t="s">
        <v>1492</v>
      </c>
      <c r="J622" s="2" t="s">
        <v>1118</v>
      </c>
      <c r="K622" s="2" t="s">
        <v>1015</v>
      </c>
      <c r="L622" s="6" t="s">
        <v>1527</v>
      </c>
      <c r="M622" s="16" t="s">
        <v>1779</v>
      </c>
      <c r="S622" s="6" t="b">
        <f>C622='Plano de Contas'!C622</f>
        <v>1</v>
      </c>
    </row>
    <row r="623" spans="1:19" x14ac:dyDescent="0.2">
      <c r="A623" s="18" t="s">
        <v>2401</v>
      </c>
      <c r="B623" s="2" t="s">
        <v>54</v>
      </c>
      <c r="C623" s="2" t="s">
        <v>1134</v>
      </c>
      <c r="D623" s="2" t="s">
        <v>42</v>
      </c>
      <c r="E623" s="2" t="s">
        <v>1023</v>
      </c>
      <c r="F623" s="2" t="s">
        <v>1025</v>
      </c>
      <c r="G623" s="4" t="s">
        <v>1492</v>
      </c>
      <c r="H623" s="2">
        <v>16</v>
      </c>
      <c r="I623" s="3" t="s">
        <v>1492</v>
      </c>
      <c r="J623" s="2" t="s">
        <v>1118</v>
      </c>
      <c r="K623" s="2" t="s">
        <v>1015</v>
      </c>
      <c r="L623" s="6" t="s">
        <v>1527</v>
      </c>
      <c r="M623" s="16" t="s">
        <v>1780</v>
      </c>
      <c r="S623" s="6" t="b">
        <f>C623='Plano de Contas'!C623</f>
        <v>1</v>
      </c>
    </row>
    <row r="624" spans="1:19" x14ac:dyDescent="0.2">
      <c r="A624" s="40">
        <v>4120308</v>
      </c>
      <c r="B624" s="15" t="s">
        <v>40</v>
      </c>
      <c r="C624" s="15" t="s">
        <v>2833</v>
      </c>
      <c r="D624" s="12" t="s">
        <v>42</v>
      </c>
      <c r="E624" s="12" t="s">
        <v>1023</v>
      </c>
      <c r="F624" s="12" t="s">
        <v>1025</v>
      </c>
      <c r="G624" s="37" t="s">
        <v>1492</v>
      </c>
      <c r="H624" s="12">
        <v>16</v>
      </c>
      <c r="I624" s="38" t="s">
        <v>1492</v>
      </c>
      <c r="J624" s="12" t="s">
        <v>1118</v>
      </c>
      <c r="K624" s="12" t="s">
        <v>1015</v>
      </c>
      <c r="L624" s="39" t="s">
        <v>1527</v>
      </c>
      <c r="M624" s="39" t="s">
        <v>2823</v>
      </c>
      <c r="S624" s="6" t="b">
        <f>C624='Plano de Contas'!C624</f>
        <v>1</v>
      </c>
    </row>
    <row r="625" spans="1:19" x14ac:dyDescent="0.2">
      <c r="A625" s="41" t="s">
        <v>2835</v>
      </c>
      <c r="B625" s="36" t="s">
        <v>54</v>
      </c>
      <c r="C625" s="36" t="s">
        <v>2822</v>
      </c>
      <c r="D625" s="12" t="s">
        <v>42</v>
      </c>
      <c r="E625" s="12" t="s">
        <v>1023</v>
      </c>
      <c r="F625" s="12" t="s">
        <v>1025</v>
      </c>
      <c r="G625" s="37" t="s">
        <v>1492</v>
      </c>
      <c r="H625" s="12">
        <v>16</v>
      </c>
      <c r="I625" s="38" t="s">
        <v>1492</v>
      </c>
      <c r="J625" s="12" t="s">
        <v>1118</v>
      </c>
      <c r="K625" s="12" t="s">
        <v>1015</v>
      </c>
      <c r="L625" s="39" t="s">
        <v>1527</v>
      </c>
      <c r="M625" s="39" t="s">
        <v>2823</v>
      </c>
      <c r="S625" s="6" t="b">
        <f>C625='Plano de Contas'!C625</f>
        <v>1</v>
      </c>
    </row>
    <row r="626" spans="1:19" x14ac:dyDescent="0.2">
      <c r="A626" s="17" t="s">
        <v>2402</v>
      </c>
      <c r="B626" s="1" t="s">
        <v>40</v>
      </c>
      <c r="C626" s="1" t="s">
        <v>1136</v>
      </c>
      <c r="D626" s="2" t="s">
        <v>42</v>
      </c>
      <c r="E626" s="2" t="s">
        <v>1023</v>
      </c>
      <c r="F626" s="2" t="s">
        <v>1025</v>
      </c>
      <c r="G626" s="4" t="s">
        <v>1492</v>
      </c>
      <c r="H626" s="2">
        <v>8</v>
      </c>
      <c r="I626" s="3" t="s">
        <v>1492</v>
      </c>
      <c r="J626" s="2" t="s">
        <v>1136</v>
      </c>
      <c r="K626" s="2" t="s">
        <v>1015</v>
      </c>
      <c r="L626" s="6" t="s">
        <v>1527</v>
      </c>
      <c r="M626" s="16" t="s">
        <v>1781</v>
      </c>
      <c r="S626" s="6" t="b">
        <f>C626='Plano de Contas'!C626</f>
        <v>1</v>
      </c>
    </row>
    <row r="627" spans="1:19" x14ac:dyDescent="0.2">
      <c r="A627" s="17" t="s">
        <v>2403</v>
      </c>
      <c r="B627" s="1" t="s">
        <v>40</v>
      </c>
      <c r="C627" s="1" t="s">
        <v>535</v>
      </c>
      <c r="D627" s="2" t="s">
        <v>42</v>
      </c>
      <c r="E627" s="2" t="s">
        <v>1023</v>
      </c>
      <c r="F627" s="2" t="s">
        <v>1025</v>
      </c>
      <c r="G627" s="4" t="s">
        <v>1492</v>
      </c>
      <c r="H627" s="2">
        <v>11</v>
      </c>
      <c r="I627" s="3" t="s">
        <v>1137</v>
      </c>
      <c r="J627" s="2" t="s">
        <v>535</v>
      </c>
      <c r="K627" s="2" t="s">
        <v>1015</v>
      </c>
      <c r="L627" s="6" t="s">
        <v>1527</v>
      </c>
      <c r="M627" s="16" t="s">
        <v>1782</v>
      </c>
      <c r="S627" s="6" t="b">
        <f>C627='Plano de Contas'!C627</f>
        <v>1</v>
      </c>
    </row>
    <row r="628" spans="1:19" x14ac:dyDescent="0.2">
      <c r="A628" s="18" t="s">
        <v>2404</v>
      </c>
      <c r="B628" s="2" t="s">
        <v>54</v>
      </c>
      <c r="C628" s="2" t="s">
        <v>1139</v>
      </c>
      <c r="D628" s="2" t="s">
        <v>42</v>
      </c>
      <c r="E628" s="2" t="s">
        <v>1023</v>
      </c>
      <c r="F628" s="2" t="s">
        <v>1025</v>
      </c>
      <c r="G628" s="4" t="s">
        <v>1492</v>
      </c>
      <c r="H628" s="2">
        <v>16</v>
      </c>
      <c r="I628" s="3" t="s">
        <v>1492</v>
      </c>
      <c r="J628" s="2" t="s">
        <v>535</v>
      </c>
      <c r="K628" s="2" t="s">
        <v>1015</v>
      </c>
      <c r="L628" s="6" t="s">
        <v>1527</v>
      </c>
      <c r="M628" s="16" t="s">
        <v>1783</v>
      </c>
      <c r="S628" s="6" t="b">
        <f>C628='Plano de Contas'!C628</f>
        <v>1</v>
      </c>
    </row>
    <row r="629" spans="1:19" x14ac:dyDescent="0.2">
      <c r="A629" s="18" t="s">
        <v>2405</v>
      </c>
      <c r="B629" s="2" t="s">
        <v>54</v>
      </c>
      <c r="C629" s="2" t="s">
        <v>1141</v>
      </c>
      <c r="D629" s="2" t="s">
        <v>42</v>
      </c>
      <c r="E629" s="2" t="s">
        <v>1023</v>
      </c>
      <c r="F629" s="2" t="s">
        <v>1025</v>
      </c>
      <c r="G629" s="4" t="s">
        <v>1492</v>
      </c>
      <c r="H629" s="2">
        <v>16</v>
      </c>
      <c r="I629" s="3" t="s">
        <v>1492</v>
      </c>
      <c r="J629" s="2" t="s">
        <v>535</v>
      </c>
      <c r="K629" s="2" t="s">
        <v>1015</v>
      </c>
      <c r="L629" s="6" t="s">
        <v>1527</v>
      </c>
      <c r="M629" s="16" t="s">
        <v>1784</v>
      </c>
      <c r="S629" s="6" t="b">
        <f>C629='Plano de Contas'!C629</f>
        <v>1</v>
      </c>
    </row>
    <row r="630" spans="1:19" x14ac:dyDescent="0.2">
      <c r="A630" s="18" t="s">
        <v>2406</v>
      </c>
      <c r="B630" s="2" t="s">
        <v>54</v>
      </c>
      <c r="C630" s="2" t="s">
        <v>1143</v>
      </c>
      <c r="D630" s="2" t="s">
        <v>42</v>
      </c>
      <c r="E630" s="2" t="s">
        <v>1023</v>
      </c>
      <c r="F630" s="2" t="s">
        <v>1025</v>
      </c>
      <c r="G630" s="4" t="s">
        <v>1492</v>
      </c>
      <c r="H630" s="2">
        <v>16</v>
      </c>
      <c r="I630" s="3" t="s">
        <v>1492</v>
      </c>
      <c r="J630" s="2" t="s">
        <v>535</v>
      </c>
      <c r="K630" s="2" t="s">
        <v>1015</v>
      </c>
      <c r="L630" s="6" t="s">
        <v>1527</v>
      </c>
      <c r="M630" s="16" t="s">
        <v>1785</v>
      </c>
      <c r="S630" s="6" t="b">
        <f>C630='Plano de Contas'!C630</f>
        <v>1</v>
      </c>
    </row>
    <row r="631" spans="1:19" x14ac:dyDescent="0.2">
      <c r="A631" s="18" t="s">
        <v>2407</v>
      </c>
      <c r="B631" s="2" t="s">
        <v>54</v>
      </c>
      <c r="C631" s="2" t="s">
        <v>1145</v>
      </c>
      <c r="D631" s="2" t="s">
        <v>42</v>
      </c>
      <c r="E631" s="2" t="s">
        <v>1023</v>
      </c>
      <c r="F631" s="2" t="s">
        <v>1025</v>
      </c>
      <c r="G631" s="4" t="s">
        <v>1492</v>
      </c>
      <c r="H631" s="2">
        <v>16</v>
      </c>
      <c r="I631" s="3" t="s">
        <v>1492</v>
      </c>
      <c r="J631" s="2" t="s">
        <v>535</v>
      </c>
      <c r="K631" s="2" t="s">
        <v>1015</v>
      </c>
      <c r="L631" s="6" t="s">
        <v>1527</v>
      </c>
      <c r="M631" s="16" t="s">
        <v>1786</v>
      </c>
      <c r="S631" s="6" t="b">
        <f>C631='Plano de Contas'!C631</f>
        <v>1</v>
      </c>
    </row>
    <row r="632" spans="1:19" x14ac:dyDescent="0.2">
      <c r="A632" s="17" t="s">
        <v>2408</v>
      </c>
      <c r="B632" s="1" t="s">
        <v>40</v>
      </c>
      <c r="C632" s="1" t="s">
        <v>543</v>
      </c>
      <c r="D632" s="2" t="s">
        <v>42</v>
      </c>
      <c r="E632" s="2" t="s">
        <v>1023</v>
      </c>
      <c r="F632" s="2" t="s">
        <v>1025</v>
      </c>
      <c r="G632" s="4" t="s">
        <v>1492</v>
      </c>
      <c r="H632" s="2">
        <v>11</v>
      </c>
      <c r="I632" s="3" t="s">
        <v>1146</v>
      </c>
      <c r="J632" s="2" t="s">
        <v>543</v>
      </c>
      <c r="K632" s="2" t="s">
        <v>1015</v>
      </c>
      <c r="L632" s="6" t="s">
        <v>1527</v>
      </c>
      <c r="M632" s="16" t="s">
        <v>1787</v>
      </c>
      <c r="S632" s="6" t="b">
        <f>C632='Plano de Contas'!C632</f>
        <v>1</v>
      </c>
    </row>
    <row r="633" spans="1:19" x14ac:dyDescent="0.2">
      <c r="A633" s="18" t="s">
        <v>2409</v>
      </c>
      <c r="B633" s="2" t="s">
        <v>54</v>
      </c>
      <c r="C633" s="2" t="s">
        <v>1148</v>
      </c>
      <c r="D633" s="2" t="s">
        <v>42</v>
      </c>
      <c r="E633" s="2" t="s">
        <v>1023</v>
      </c>
      <c r="F633" s="2" t="s">
        <v>1025</v>
      </c>
      <c r="G633" s="4" t="s">
        <v>1492</v>
      </c>
      <c r="H633" s="2">
        <v>16</v>
      </c>
      <c r="I633" s="3" t="s">
        <v>1492</v>
      </c>
      <c r="J633" s="2" t="s">
        <v>543</v>
      </c>
      <c r="K633" s="2" t="s">
        <v>1015</v>
      </c>
      <c r="L633" s="6" t="s">
        <v>1527</v>
      </c>
      <c r="M633" s="16" t="s">
        <v>1788</v>
      </c>
      <c r="S633" s="6" t="b">
        <f>C633='Plano de Contas'!C633</f>
        <v>1</v>
      </c>
    </row>
    <row r="634" spans="1:19" x14ac:dyDescent="0.2">
      <c r="A634" s="18" t="s">
        <v>2410</v>
      </c>
      <c r="B634" s="2" t="s">
        <v>54</v>
      </c>
      <c r="C634" s="2" t="s">
        <v>1150</v>
      </c>
      <c r="D634" s="2" t="s">
        <v>42</v>
      </c>
      <c r="E634" s="2" t="s">
        <v>1023</v>
      </c>
      <c r="F634" s="2" t="s">
        <v>1025</v>
      </c>
      <c r="G634" s="4" t="s">
        <v>1492</v>
      </c>
      <c r="H634" s="2">
        <v>16</v>
      </c>
      <c r="I634" s="3" t="s">
        <v>1492</v>
      </c>
      <c r="J634" s="2" t="s">
        <v>543</v>
      </c>
      <c r="K634" s="2" t="s">
        <v>1015</v>
      </c>
      <c r="L634" s="6" t="s">
        <v>1527</v>
      </c>
      <c r="M634" s="16" t="s">
        <v>1789</v>
      </c>
      <c r="S634" s="6" t="b">
        <f>C634='Plano de Contas'!C634</f>
        <v>1</v>
      </c>
    </row>
    <row r="635" spans="1:19" x14ac:dyDescent="0.2">
      <c r="A635" s="18" t="s">
        <v>2411</v>
      </c>
      <c r="B635" s="2" t="s">
        <v>54</v>
      </c>
      <c r="C635" s="2" t="s">
        <v>1152</v>
      </c>
      <c r="D635" s="2" t="s">
        <v>42</v>
      </c>
      <c r="E635" s="2" t="s">
        <v>1023</v>
      </c>
      <c r="F635" s="2" t="s">
        <v>1025</v>
      </c>
      <c r="G635" s="4" t="s">
        <v>1492</v>
      </c>
      <c r="H635" s="2">
        <v>16</v>
      </c>
      <c r="I635" s="3" t="s">
        <v>1492</v>
      </c>
      <c r="J635" s="2" t="s">
        <v>543</v>
      </c>
      <c r="K635" s="2" t="s">
        <v>1015</v>
      </c>
      <c r="L635" s="6" t="s">
        <v>1527</v>
      </c>
      <c r="M635" s="16" t="s">
        <v>1790</v>
      </c>
      <c r="S635" s="6" t="b">
        <f>C635='Plano de Contas'!C635</f>
        <v>1</v>
      </c>
    </row>
    <row r="636" spans="1:19" x14ac:dyDescent="0.2">
      <c r="A636" s="18" t="s">
        <v>2412</v>
      </c>
      <c r="B636" s="2" t="s">
        <v>54</v>
      </c>
      <c r="C636" s="2" t="s">
        <v>1154</v>
      </c>
      <c r="D636" s="2" t="s">
        <v>42</v>
      </c>
      <c r="E636" s="2" t="s">
        <v>1023</v>
      </c>
      <c r="F636" s="2" t="s">
        <v>1025</v>
      </c>
      <c r="G636" s="4" t="s">
        <v>1492</v>
      </c>
      <c r="H636" s="2">
        <v>16</v>
      </c>
      <c r="I636" s="3" t="s">
        <v>1492</v>
      </c>
      <c r="J636" s="2" t="s">
        <v>543</v>
      </c>
      <c r="K636" s="2" t="s">
        <v>1015</v>
      </c>
      <c r="L636" s="6" t="s">
        <v>1527</v>
      </c>
      <c r="M636" s="16" t="s">
        <v>1791</v>
      </c>
      <c r="S636" s="6" t="b">
        <f>C636='Plano de Contas'!C636</f>
        <v>1</v>
      </c>
    </row>
    <row r="637" spans="1:19" x14ac:dyDescent="0.2">
      <c r="A637" s="17" t="s">
        <v>2413</v>
      </c>
      <c r="B637" s="1" t="s">
        <v>40</v>
      </c>
      <c r="C637" s="1" t="s">
        <v>547</v>
      </c>
      <c r="D637" s="2" t="s">
        <v>42</v>
      </c>
      <c r="E637" s="2" t="s">
        <v>1023</v>
      </c>
      <c r="F637" s="2" t="s">
        <v>1025</v>
      </c>
      <c r="G637" s="4" t="s">
        <v>1492</v>
      </c>
      <c r="H637" s="2">
        <v>11</v>
      </c>
      <c r="I637" s="3" t="s">
        <v>1155</v>
      </c>
      <c r="J637" s="2" t="s">
        <v>547</v>
      </c>
      <c r="K637" s="2" t="s">
        <v>1015</v>
      </c>
      <c r="L637" s="6" t="s">
        <v>1527</v>
      </c>
      <c r="M637" s="16" t="s">
        <v>1792</v>
      </c>
      <c r="S637" s="6" t="b">
        <f>C637='Plano de Contas'!C637</f>
        <v>1</v>
      </c>
    </row>
    <row r="638" spans="1:19" x14ac:dyDescent="0.2">
      <c r="A638" s="18" t="s">
        <v>2414</v>
      </c>
      <c r="B638" s="2" t="s">
        <v>54</v>
      </c>
      <c r="C638" s="2" t="s">
        <v>549</v>
      </c>
      <c r="D638" s="2" t="s">
        <v>42</v>
      </c>
      <c r="E638" s="2" t="s">
        <v>1023</v>
      </c>
      <c r="F638" s="2" t="s">
        <v>1025</v>
      </c>
      <c r="G638" s="4" t="s">
        <v>1492</v>
      </c>
      <c r="H638" s="2">
        <v>16</v>
      </c>
      <c r="I638" s="3" t="s">
        <v>1492</v>
      </c>
      <c r="J638" s="2" t="s">
        <v>547</v>
      </c>
      <c r="K638" s="2" t="s">
        <v>1015</v>
      </c>
      <c r="L638" s="6" t="s">
        <v>1527</v>
      </c>
      <c r="M638" s="16" t="s">
        <v>1793</v>
      </c>
      <c r="S638" s="6" t="b">
        <f>C638='Plano de Contas'!C638</f>
        <v>1</v>
      </c>
    </row>
    <row r="639" spans="1:19" x14ac:dyDescent="0.2">
      <c r="A639" s="18" t="s">
        <v>2415</v>
      </c>
      <c r="B639" s="2" t="s">
        <v>54</v>
      </c>
      <c r="C639" s="2" t="s">
        <v>1158</v>
      </c>
      <c r="D639" s="2" t="s">
        <v>42</v>
      </c>
      <c r="E639" s="2" t="s">
        <v>1023</v>
      </c>
      <c r="F639" s="2" t="s">
        <v>1025</v>
      </c>
      <c r="G639" s="4" t="s">
        <v>1492</v>
      </c>
      <c r="H639" s="2">
        <v>16</v>
      </c>
      <c r="I639" s="3" t="s">
        <v>1492</v>
      </c>
      <c r="J639" s="2" t="s">
        <v>547</v>
      </c>
      <c r="K639" s="2" t="s">
        <v>1015</v>
      </c>
      <c r="L639" s="6" t="s">
        <v>1527</v>
      </c>
      <c r="M639" s="16" t="s">
        <v>1794</v>
      </c>
      <c r="S639" s="6" t="b">
        <f>C639='Plano de Contas'!C639</f>
        <v>1</v>
      </c>
    </row>
    <row r="640" spans="1:19" x14ac:dyDescent="0.2">
      <c r="A640" s="18" t="s">
        <v>2416</v>
      </c>
      <c r="B640" s="2" t="s">
        <v>54</v>
      </c>
      <c r="C640" s="2" t="s">
        <v>1160</v>
      </c>
      <c r="D640" s="2" t="s">
        <v>42</v>
      </c>
      <c r="E640" s="2" t="s">
        <v>1023</v>
      </c>
      <c r="F640" s="2" t="s">
        <v>1025</v>
      </c>
      <c r="G640" s="4" t="s">
        <v>1492</v>
      </c>
      <c r="H640" s="2">
        <v>16</v>
      </c>
      <c r="I640" s="3" t="s">
        <v>1492</v>
      </c>
      <c r="J640" s="2" t="s">
        <v>547</v>
      </c>
      <c r="K640" s="2" t="s">
        <v>1015</v>
      </c>
      <c r="L640" s="6" t="s">
        <v>1527</v>
      </c>
      <c r="M640" s="16" t="s">
        <v>1795</v>
      </c>
      <c r="S640" s="6" t="b">
        <f>C640='Plano de Contas'!C640</f>
        <v>1</v>
      </c>
    </row>
    <row r="641" spans="1:19" x14ac:dyDescent="0.2">
      <c r="A641" s="18" t="s">
        <v>2417</v>
      </c>
      <c r="B641" s="2" t="s">
        <v>54</v>
      </c>
      <c r="C641" s="2" t="s">
        <v>1162</v>
      </c>
      <c r="D641" s="2" t="s">
        <v>42</v>
      </c>
      <c r="E641" s="2" t="s">
        <v>1023</v>
      </c>
      <c r="F641" s="2" t="s">
        <v>1025</v>
      </c>
      <c r="G641" s="4" t="s">
        <v>1492</v>
      </c>
      <c r="H641" s="2">
        <v>16</v>
      </c>
      <c r="I641" s="3" t="s">
        <v>1492</v>
      </c>
      <c r="J641" s="2" t="s">
        <v>547</v>
      </c>
      <c r="K641" s="2" t="s">
        <v>1015</v>
      </c>
      <c r="L641" s="6" t="s">
        <v>1527</v>
      </c>
      <c r="M641" s="16" t="s">
        <v>1796</v>
      </c>
      <c r="S641" s="6" t="b">
        <f>C641='Plano de Contas'!C641</f>
        <v>1</v>
      </c>
    </row>
    <row r="642" spans="1:19" x14ac:dyDescent="0.2">
      <c r="A642" s="17" t="s">
        <v>2418</v>
      </c>
      <c r="B642" s="1" t="s">
        <v>40</v>
      </c>
      <c r="C642" s="1" t="s">
        <v>1164</v>
      </c>
      <c r="D642" s="2" t="s">
        <v>42</v>
      </c>
      <c r="E642" s="2" t="s">
        <v>1023</v>
      </c>
      <c r="F642" s="2" t="s">
        <v>1025</v>
      </c>
      <c r="G642" s="4" t="s">
        <v>1492</v>
      </c>
      <c r="H642" s="2">
        <v>5</v>
      </c>
      <c r="I642" s="3" t="s">
        <v>1492</v>
      </c>
      <c r="J642" s="2" t="s">
        <v>1164</v>
      </c>
      <c r="K642" s="2" t="s">
        <v>1015</v>
      </c>
      <c r="S642" s="6" t="b">
        <f>C642='Plano de Contas'!C642</f>
        <v>1</v>
      </c>
    </row>
    <row r="643" spans="1:19" x14ac:dyDescent="0.2">
      <c r="A643" s="17" t="s">
        <v>2419</v>
      </c>
      <c r="B643" s="1" t="s">
        <v>40</v>
      </c>
      <c r="C643" s="1" t="s">
        <v>1166</v>
      </c>
      <c r="D643" s="2" t="s">
        <v>42</v>
      </c>
      <c r="E643" s="2" t="s">
        <v>1023</v>
      </c>
      <c r="F643" s="2" t="s">
        <v>1025</v>
      </c>
      <c r="G643" s="4" t="s">
        <v>1492</v>
      </c>
      <c r="H643" s="2">
        <v>8</v>
      </c>
      <c r="I643" s="3" t="s">
        <v>1492</v>
      </c>
      <c r="J643" s="2" t="s">
        <v>1166</v>
      </c>
      <c r="K643" s="2" t="s">
        <v>1015</v>
      </c>
      <c r="L643" s="2" t="s">
        <v>1516</v>
      </c>
      <c r="S643" s="6" t="b">
        <f>C643='Plano de Contas'!C643</f>
        <v>1</v>
      </c>
    </row>
    <row r="644" spans="1:19" x14ac:dyDescent="0.2">
      <c r="A644" s="17" t="s">
        <v>2420</v>
      </c>
      <c r="B644" s="1" t="s">
        <v>40</v>
      </c>
      <c r="C644" s="1" t="s">
        <v>1166</v>
      </c>
      <c r="D644" s="2" t="s">
        <v>42</v>
      </c>
      <c r="E644" s="2" t="s">
        <v>1023</v>
      </c>
      <c r="F644" s="2" t="s">
        <v>1025</v>
      </c>
      <c r="G644" s="4" t="s">
        <v>1492</v>
      </c>
      <c r="H644" s="2">
        <v>11</v>
      </c>
      <c r="I644" s="3" t="s">
        <v>1167</v>
      </c>
      <c r="J644" s="2" t="s">
        <v>1166</v>
      </c>
      <c r="K644" s="2" t="s">
        <v>1015</v>
      </c>
      <c r="L644" s="2" t="s">
        <v>1516</v>
      </c>
      <c r="S644" s="6" t="b">
        <f>C644='Plano de Contas'!C644</f>
        <v>1</v>
      </c>
    </row>
    <row r="645" spans="1:19" x14ac:dyDescent="0.2">
      <c r="A645" s="18" t="s">
        <v>2421</v>
      </c>
      <c r="B645" s="2" t="s">
        <v>54</v>
      </c>
      <c r="C645" s="2" t="s">
        <v>918</v>
      </c>
      <c r="D645" s="2" t="s">
        <v>42</v>
      </c>
      <c r="E645" s="2" t="s">
        <v>1023</v>
      </c>
      <c r="F645" s="2" t="s">
        <v>1025</v>
      </c>
      <c r="G645" s="4" t="s">
        <v>1492</v>
      </c>
      <c r="H645" s="2">
        <v>16</v>
      </c>
      <c r="I645" s="3" t="s">
        <v>1492</v>
      </c>
      <c r="J645" s="2" t="s">
        <v>1166</v>
      </c>
      <c r="K645" s="2" t="s">
        <v>1015</v>
      </c>
      <c r="L645" s="2" t="s">
        <v>1516</v>
      </c>
      <c r="M645" s="10" t="s">
        <v>1587</v>
      </c>
      <c r="S645" s="6" t="b">
        <f>C645='Plano de Contas'!C645</f>
        <v>1</v>
      </c>
    </row>
    <row r="646" spans="1:19" x14ac:dyDescent="0.2">
      <c r="A646" s="18" t="s">
        <v>2422</v>
      </c>
      <c r="B646" s="2" t="s">
        <v>54</v>
      </c>
      <c r="C646" s="2" t="s">
        <v>1170</v>
      </c>
      <c r="D646" s="2" t="s">
        <v>42</v>
      </c>
      <c r="E646" s="2" t="s">
        <v>1023</v>
      </c>
      <c r="F646" s="2" t="s">
        <v>1025</v>
      </c>
      <c r="G646" s="4" t="s">
        <v>1492</v>
      </c>
      <c r="H646" s="2">
        <v>16</v>
      </c>
      <c r="I646" s="3" t="s">
        <v>1492</v>
      </c>
      <c r="J646" s="2" t="s">
        <v>1166</v>
      </c>
      <c r="K646" s="2" t="s">
        <v>1015</v>
      </c>
      <c r="L646" s="2" t="s">
        <v>1516</v>
      </c>
      <c r="M646" s="10" t="s">
        <v>1588</v>
      </c>
      <c r="S646" s="6" t="b">
        <f>C646='Plano de Contas'!C646</f>
        <v>1</v>
      </c>
    </row>
    <row r="647" spans="1:19" x14ac:dyDescent="0.2">
      <c r="A647" s="18" t="s">
        <v>2423</v>
      </c>
      <c r="B647" s="2" t="s">
        <v>54</v>
      </c>
      <c r="C647" s="2" t="s">
        <v>1105</v>
      </c>
      <c r="D647" s="2" t="s">
        <v>42</v>
      </c>
      <c r="E647" s="2" t="s">
        <v>1023</v>
      </c>
      <c r="F647" s="2" t="s">
        <v>1025</v>
      </c>
      <c r="G647" s="4" t="s">
        <v>1492</v>
      </c>
      <c r="H647" s="2">
        <v>16</v>
      </c>
      <c r="I647" s="3" t="s">
        <v>1492</v>
      </c>
      <c r="J647" s="2" t="s">
        <v>1166</v>
      </c>
      <c r="K647" s="2" t="s">
        <v>1015</v>
      </c>
      <c r="L647" s="2" t="s">
        <v>1516</v>
      </c>
      <c r="M647" s="10" t="s">
        <v>1592</v>
      </c>
      <c r="S647" s="6" t="b">
        <f>C647='Plano de Contas'!C647</f>
        <v>1</v>
      </c>
    </row>
    <row r="648" spans="1:19" x14ac:dyDescent="0.2">
      <c r="A648" s="18" t="s">
        <v>2424</v>
      </c>
      <c r="B648" s="2" t="s">
        <v>54</v>
      </c>
      <c r="C648" s="2" t="s">
        <v>1173</v>
      </c>
      <c r="D648" s="2" t="s">
        <v>42</v>
      </c>
      <c r="E648" s="2" t="s">
        <v>1023</v>
      </c>
      <c r="F648" s="2" t="s">
        <v>1025</v>
      </c>
      <c r="G648" s="4" t="s">
        <v>1492</v>
      </c>
      <c r="H648" s="2">
        <v>16</v>
      </c>
      <c r="I648" s="3" t="s">
        <v>1492</v>
      </c>
      <c r="J648" s="2" t="s">
        <v>1166</v>
      </c>
      <c r="K648" s="2" t="s">
        <v>1015</v>
      </c>
      <c r="L648" s="2" t="s">
        <v>1516</v>
      </c>
      <c r="M648" s="10" t="s">
        <v>1589</v>
      </c>
      <c r="S648" s="6" t="b">
        <f>C648='Plano de Contas'!C648</f>
        <v>1</v>
      </c>
    </row>
    <row r="649" spans="1:19" x14ac:dyDescent="0.2">
      <c r="A649" s="18" t="s">
        <v>2425</v>
      </c>
      <c r="B649" s="2" t="s">
        <v>54</v>
      </c>
      <c r="C649" s="2" t="s">
        <v>1175</v>
      </c>
      <c r="D649" s="2" t="s">
        <v>42</v>
      </c>
      <c r="E649" s="2" t="s">
        <v>1023</v>
      </c>
      <c r="F649" s="2" t="s">
        <v>1025</v>
      </c>
      <c r="G649" s="4" t="s">
        <v>1492</v>
      </c>
      <c r="H649" s="2">
        <v>16</v>
      </c>
      <c r="I649" s="3" t="s">
        <v>1492</v>
      </c>
      <c r="J649" s="2" t="s">
        <v>1166</v>
      </c>
      <c r="K649" s="2" t="s">
        <v>1015</v>
      </c>
      <c r="L649" s="2" t="s">
        <v>1516</v>
      </c>
      <c r="M649" s="10" t="s">
        <v>1592</v>
      </c>
      <c r="S649" s="6" t="b">
        <f>C649='Plano de Contas'!C649</f>
        <v>1</v>
      </c>
    </row>
    <row r="650" spans="1:19" x14ac:dyDescent="0.2">
      <c r="A650" s="18" t="s">
        <v>2426</v>
      </c>
      <c r="B650" s="2" t="s">
        <v>54</v>
      </c>
      <c r="C650" s="2" t="s">
        <v>1177</v>
      </c>
      <c r="D650" s="2" t="s">
        <v>42</v>
      </c>
      <c r="E650" s="2" t="s">
        <v>1023</v>
      </c>
      <c r="F650" s="2" t="s">
        <v>1025</v>
      </c>
      <c r="G650" s="4" t="s">
        <v>1492</v>
      </c>
      <c r="H650" s="2">
        <v>16</v>
      </c>
      <c r="I650" s="3" t="s">
        <v>1492</v>
      </c>
      <c r="J650" s="2" t="s">
        <v>1166</v>
      </c>
      <c r="K650" s="2" t="s">
        <v>1015</v>
      </c>
      <c r="L650" s="2" t="s">
        <v>1516</v>
      </c>
      <c r="M650" s="10" t="s">
        <v>1591</v>
      </c>
      <c r="S650" s="6" t="b">
        <f>C650='Plano de Contas'!C650</f>
        <v>1</v>
      </c>
    </row>
    <row r="651" spans="1:19" x14ac:dyDescent="0.2">
      <c r="A651" s="18" t="s">
        <v>2427</v>
      </c>
      <c r="B651" s="2" t="s">
        <v>54</v>
      </c>
      <c r="C651" s="2" t="s">
        <v>1179</v>
      </c>
      <c r="D651" s="2" t="s">
        <v>42</v>
      </c>
      <c r="E651" s="2" t="s">
        <v>1023</v>
      </c>
      <c r="F651" s="2" t="s">
        <v>1025</v>
      </c>
      <c r="G651" s="4" t="s">
        <v>1492</v>
      </c>
      <c r="H651" s="2">
        <v>16</v>
      </c>
      <c r="I651" s="3" t="s">
        <v>1492</v>
      </c>
      <c r="J651" s="2" t="s">
        <v>1166</v>
      </c>
      <c r="K651" s="2" t="s">
        <v>1015</v>
      </c>
      <c r="L651" s="2" t="s">
        <v>1516</v>
      </c>
      <c r="M651" s="10" t="s">
        <v>1590</v>
      </c>
      <c r="S651" s="6" t="b">
        <f>C651='Plano de Contas'!C651</f>
        <v>1</v>
      </c>
    </row>
    <row r="652" spans="1:19" x14ac:dyDescent="0.2">
      <c r="A652" s="18" t="s">
        <v>2428</v>
      </c>
      <c r="B652" s="2" t="s">
        <v>54</v>
      </c>
      <c r="C652" s="2" t="s">
        <v>1181</v>
      </c>
      <c r="D652" s="2" t="s">
        <v>42</v>
      </c>
      <c r="E652" s="2" t="s">
        <v>1023</v>
      </c>
      <c r="F652" s="2" t="s">
        <v>1025</v>
      </c>
      <c r="G652" s="4" t="s">
        <v>1492</v>
      </c>
      <c r="H652" s="2">
        <v>16</v>
      </c>
      <c r="I652" s="3" t="s">
        <v>1492</v>
      </c>
      <c r="J652" s="2" t="s">
        <v>1166</v>
      </c>
      <c r="K652" s="2" t="s">
        <v>1015</v>
      </c>
      <c r="L652" s="2" t="s">
        <v>1516</v>
      </c>
      <c r="M652" s="10" t="s">
        <v>1592</v>
      </c>
      <c r="S652" s="6" t="b">
        <f>C652='Plano de Contas'!C652</f>
        <v>1</v>
      </c>
    </row>
    <row r="653" spans="1:19" x14ac:dyDescent="0.2">
      <c r="A653" s="19" t="s">
        <v>2429</v>
      </c>
      <c r="B653" s="9" t="s">
        <v>54</v>
      </c>
      <c r="C653" s="9" t="s">
        <v>1183</v>
      </c>
      <c r="D653" s="2" t="s">
        <v>42</v>
      </c>
      <c r="E653" s="2" t="s">
        <v>1023</v>
      </c>
      <c r="F653" s="2" t="s">
        <v>1025</v>
      </c>
      <c r="G653" s="4" t="s">
        <v>1492</v>
      </c>
      <c r="H653" s="2">
        <v>16</v>
      </c>
      <c r="I653" s="3" t="s">
        <v>1492</v>
      </c>
      <c r="J653" s="2" t="s">
        <v>1166</v>
      </c>
      <c r="K653" s="2" t="s">
        <v>1015</v>
      </c>
      <c r="L653" s="2" t="s">
        <v>1516</v>
      </c>
      <c r="M653" s="10" t="s">
        <v>1592</v>
      </c>
      <c r="S653" s="6" t="b">
        <f>C653='Plano de Contas'!C653</f>
        <v>1</v>
      </c>
    </row>
    <row r="654" spans="1:19" x14ac:dyDescent="0.2">
      <c r="A654" s="17" t="s">
        <v>2430</v>
      </c>
      <c r="B654" s="1" t="s">
        <v>40</v>
      </c>
      <c r="C654" s="1" t="s">
        <v>1185</v>
      </c>
      <c r="D654" s="2" t="s">
        <v>42</v>
      </c>
      <c r="E654" s="2" t="s">
        <v>1023</v>
      </c>
      <c r="F654" s="2" t="s">
        <v>1025</v>
      </c>
      <c r="G654" s="4" t="s">
        <v>1492</v>
      </c>
      <c r="H654" s="2">
        <v>8</v>
      </c>
      <c r="I654" s="3" t="s">
        <v>1492</v>
      </c>
      <c r="J654" s="2" t="s">
        <v>1185</v>
      </c>
      <c r="K654" s="2" t="s">
        <v>1015</v>
      </c>
      <c r="L654" s="2" t="s">
        <v>1719</v>
      </c>
      <c r="M654" s="2" t="s">
        <v>1517</v>
      </c>
      <c r="S654" s="6" t="b">
        <f>C654='Plano de Contas'!C654</f>
        <v>1</v>
      </c>
    </row>
    <row r="655" spans="1:19" x14ac:dyDescent="0.2">
      <c r="A655" s="17" t="s">
        <v>2431</v>
      </c>
      <c r="B655" s="1" t="s">
        <v>40</v>
      </c>
      <c r="C655" s="1" t="s">
        <v>1185</v>
      </c>
      <c r="D655" s="2" t="s">
        <v>42</v>
      </c>
      <c r="E655" s="2" t="s">
        <v>1023</v>
      </c>
      <c r="F655" s="2" t="s">
        <v>1025</v>
      </c>
      <c r="G655" s="4" t="s">
        <v>1492</v>
      </c>
      <c r="H655" s="2">
        <v>11</v>
      </c>
      <c r="I655" s="3" t="s">
        <v>1186</v>
      </c>
      <c r="J655" s="2" t="s">
        <v>1185</v>
      </c>
      <c r="K655" s="2" t="s">
        <v>1015</v>
      </c>
      <c r="L655" s="2" t="s">
        <v>1719</v>
      </c>
      <c r="M655" s="2" t="s">
        <v>1517</v>
      </c>
      <c r="S655" s="6" t="b">
        <f>C655='Plano de Contas'!C655</f>
        <v>1</v>
      </c>
    </row>
    <row r="656" spans="1:19" x14ac:dyDescent="0.2">
      <c r="A656" s="18" t="s">
        <v>2432</v>
      </c>
      <c r="B656" s="2" t="s">
        <v>54</v>
      </c>
      <c r="C656" s="2" t="s">
        <v>1188</v>
      </c>
      <c r="D656" s="2" t="s">
        <v>42</v>
      </c>
      <c r="E656" s="2" t="s">
        <v>1023</v>
      </c>
      <c r="F656" s="2" t="s">
        <v>1025</v>
      </c>
      <c r="G656" s="4" t="s">
        <v>1492</v>
      </c>
      <c r="H656" s="2">
        <v>16</v>
      </c>
      <c r="I656" s="3" t="s">
        <v>1492</v>
      </c>
      <c r="J656" s="2" t="s">
        <v>1185</v>
      </c>
      <c r="K656" s="2" t="s">
        <v>1015</v>
      </c>
      <c r="L656" s="2" t="s">
        <v>1719</v>
      </c>
      <c r="M656" s="2" t="s">
        <v>1517</v>
      </c>
      <c r="S656" s="6" t="b">
        <f>C656='Plano de Contas'!C656</f>
        <v>1</v>
      </c>
    </row>
    <row r="657" spans="1:19" x14ac:dyDescent="0.2">
      <c r="A657" s="18" t="s">
        <v>2433</v>
      </c>
      <c r="B657" s="2" t="s">
        <v>54</v>
      </c>
      <c r="C657" s="2" t="s">
        <v>1190</v>
      </c>
      <c r="D657" s="2" t="s">
        <v>42</v>
      </c>
      <c r="E657" s="2" t="s">
        <v>1023</v>
      </c>
      <c r="F657" s="2" t="s">
        <v>1025</v>
      </c>
      <c r="G657" s="4" t="s">
        <v>1492</v>
      </c>
      <c r="H657" s="2">
        <v>16</v>
      </c>
      <c r="I657" s="3" t="s">
        <v>1492</v>
      </c>
      <c r="J657" s="2" t="s">
        <v>1185</v>
      </c>
      <c r="K657" s="2" t="s">
        <v>1015</v>
      </c>
      <c r="L657" s="2" t="s">
        <v>1719</v>
      </c>
      <c r="M657" s="2" t="s">
        <v>1517</v>
      </c>
      <c r="S657" s="6" t="b">
        <f>C657='Plano de Contas'!C657</f>
        <v>1</v>
      </c>
    </row>
    <row r="658" spans="1:19" x14ac:dyDescent="0.2">
      <c r="A658" s="18" t="s">
        <v>2434</v>
      </c>
      <c r="B658" s="2" t="s">
        <v>54</v>
      </c>
      <c r="C658" s="2" t="s">
        <v>1192</v>
      </c>
      <c r="D658" s="2" t="s">
        <v>42</v>
      </c>
      <c r="E658" s="2" t="s">
        <v>1023</v>
      </c>
      <c r="F658" s="2" t="s">
        <v>1025</v>
      </c>
      <c r="G658" s="4" t="s">
        <v>1492</v>
      </c>
      <c r="H658" s="2">
        <v>16</v>
      </c>
      <c r="I658" s="3" t="s">
        <v>1492</v>
      </c>
      <c r="J658" s="2" t="s">
        <v>1185</v>
      </c>
      <c r="K658" s="2" t="s">
        <v>1015</v>
      </c>
      <c r="L658" s="2" t="s">
        <v>1719</v>
      </c>
      <c r="M658" s="2" t="s">
        <v>1517</v>
      </c>
      <c r="S658" s="6" t="b">
        <f>C658='Plano de Contas'!C658</f>
        <v>1</v>
      </c>
    </row>
    <row r="659" spans="1:19" x14ac:dyDescent="0.2">
      <c r="A659" s="18" t="s">
        <v>2435</v>
      </c>
      <c r="B659" s="2" t="s">
        <v>54</v>
      </c>
      <c r="C659" s="2" t="s">
        <v>1194</v>
      </c>
      <c r="D659" s="2" t="s">
        <v>42</v>
      </c>
      <c r="E659" s="2" t="s">
        <v>1023</v>
      </c>
      <c r="F659" s="2" t="s">
        <v>1025</v>
      </c>
      <c r="G659" s="4" t="s">
        <v>1492</v>
      </c>
      <c r="H659" s="2">
        <v>16</v>
      </c>
      <c r="I659" s="3" t="s">
        <v>1492</v>
      </c>
      <c r="J659" s="2" t="s">
        <v>1185</v>
      </c>
      <c r="K659" s="2" t="s">
        <v>1015</v>
      </c>
      <c r="L659" s="2" t="s">
        <v>1719</v>
      </c>
      <c r="M659" s="2" t="s">
        <v>1517</v>
      </c>
      <c r="S659" s="6" t="b">
        <f>C659='Plano de Contas'!C659</f>
        <v>1</v>
      </c>
    </row>
    <row r="660" spans="1:19" x14ac:dyDescent="0.2">
      <c r="A660" s="18" t="s">
        <v>2436</v>
      </c>
      <c r="B660" s="2" t="s">
        <v>54</v>
      </c>
      <c r="C660" s="2" t="s">
        <v>1196</v>
      </c>
      <c r="D660" s="2" t="s">
        <v>42</v>
      </c>
      <c r="E660" s="2" t="s">
        <v>1023</v>
      </c>
      <c r="F660" s="2" t="s">
        <v>1025</v>
      </c>
      <c r="G660" s="4" t="s">
        <v>1492</v>
      </c>
      <c r="H660" s="2">
        <v>16</v>
      </c>
      <c r="I660" s="3" t="s">
        <v>1492</v>
      </c>
      <c r="J660" s="2" t="s">
        <v>1185</v>
      </c>
      <c r="K660" s="2" t="s">
        <v>1015</v>
      </c>
      <c r="L660" s="2" t="s">
        <v>1719</v>
      </c>
      <c r="M660" s="2" t="s">
        <v>1517</v>
      </c>
      <c r="S660" s="6" t="b">
        <f>C660='Plano de Contas'!C660</f>
        <v>1</v>
      </c>
    </row>
    <row r="661" spans="1:19" x14ac:dyDescent="0.2">
      <c r="A661" s="18" t="s">
        <v>2437</v>
      </c>
      <c r="B661" s="2" t="s">
        <v>54</v>
      </c>
      <c r="C661" s="2" t="s">
        <v>1198</v>
      </c>
      <c r="D661" s="2" t="s">
        <v>42</v>
      </c>
      <c r="E661" s="2" t="s">
        <v>1023</v>
      </c>
      <c r="F661" s="2" t="s">
        <v>1025</v>
      </c>
      <c r="G661" s="4" t="s">
        <v>1492</v>
      </c>
      <c r="H661" s="2">
        <v>16</v>
      </c>
      <c r="I661" s="3" t="s">
        <v>1492</v>
      </c>
      <c r="J661" s="2" t="s">
        <v>1185</v>
      </c>
      <c r="K661" s="2" t="s">
        <v>1015</v>
      </c>
      <c r="L661" s="2" t="s">
        <v>1719</v>
      </c>
      <c r="M661" s="2" t="s">
        <v>1517</v>
      </c>
      <c r="S661" s="6" t="b">
        <f>C661='Plano de Contas'!C661</f>
        <v>1</v>
      </c>
    </row>
    <row r="662" spans="1:19" x14ac:dyDescent="0.2">
      <c r="A662" s="18" t="s">
        <v>2438</v>
      </c>
      <c r="B662" s="2" t="s">
        <v>54</v>
      </c>
      <c r="C662" s="2" t="s">
        <v>1200</v>
      </c>
      <c r="D662" s="2" t="s">
        <v>42</v>
      </c>
      <c r="E662" s="2" t="s">
        <v>1023</v>
      </c>
      <c r="F662" s="2" t="s">
        <v>1025</v>
      </c>
      <c r="G662" s="4" t="s">
        <v>1492</v>
      </c>
      <c r="H662" s="2">
        <v>16</v>
      </c>
      <c r="I662" s="3" t="s">
        <v>1492</v>
      </c>
      <c r="J662" s="2" t="s">
        <v>1185</v>
      </c>
      <c r="K662" s="2" t="s">
        <v>1015</v>
      </c>
      <c r="L662" s="2" t="s">
        <v>1719</v>
      </c>
      <c r="M662" s="2" t="s">
        <v>1517</v>
      </c>
      <c r="S662" s="6" t="b">
        <f>C662='Plano de Contas'!C662</f>
        <v>1</v>
      </c>
    </row>
    <row r="663" spans="1:19" x14ac:dyDescent="0.2">
      <c r="A663" s="18" t="s">
        <v>2439</v>
      </c>
      <c r="B663" s="2" t="s">
        <v>54</v>
      </c>
      <c r="C663" s="2" t="s">
        <v>1202</v>
      </c>
      <c r="D663" s="2" t="s">
        <v>42</v>
      </c>
      <c r="E663" s="2" t="s">
        <v>1023</v>
      </c>
      <c r="F663" s="2" t="s">
        <v>1025</v>
      </c>
      <c r="G663" s="4" t="s">
        <v>1492</v>
      </c>
      <c r="H663" s="2">
        <v>16</v>
      </c>
      <c r="I663" s="3" t="s">
        <v>1492</v>
      </c>
      <c r="J663" s="2" t="s">
        <v>1185</v>
      </c>
      <c r="K663" s="2" t="s">
        <v>1015</v>
      </c>
      <c r="L663" s="2" t="s">
        <v>1719</v>
      </c>
      <c r="M663" s="2" t="s">
        <v>1517</v>
      </c>
      <c r="S663" s="6" t="b">
        <f>C663='Plano de Contas'!C663</f>
        <v>1</v>
      </c>
    </row>
    <row r="664" spans="1:19" x14ac:dyDescent="0.2">
      <c r="A664" s="17" t="s">
        <v>2440</v>
      </c>
      <c r="B664" s="1" t="s">
        <v>40</v>
      </c>
      <c r="C664" s="1" t="s">
        <v>403</v>
      </c>
      <c r="D664" s="2" t="s">
        <v>42</v>
      </c>
      <c r="E664" s="2" t="s">
        <v>1023</v>
      </c>
      <c r="F664" s="2" t="s">
        <v>1025</v>
      </c>
      <c r="G664" s="4" t="s">
        <v>1492</v>
      </c>
      <c r="H664" s="2">
        <v>8</v>
      </c>
      <c r="I664" s="3" t="s">
        <v>1492</v>
      </c>
      <c r="J664" s="2" t="s">
        <v>403</v>
      </c>
      <c r="K664" s="2" t="s">
        <v>1015</v>
      </c>
      <c r="L664" s="2" t="s">
        <v>1719</v>
      </c>
      <c r="M664" s="10" t="s">
        <v>1511</v>
      </c>
      <c r="S664" s="6" t="b">
        <f>C664='Plano de Contas'!C664</f>
        <v>1</v>
      </c>
    </row>
    <row r="665" spans="1:19" x14ac:dyDescent="0.2">
      <c r="A665" s="17" t="s">
        <v>2441</v>
      </c>
      <c r="B665" s="1" t="s">
        <v>40</v>
      </c>
      <c r="C665" s="1" t="s">
        <v>403</v>
      </c>
      <c r="D665" s="2" t="s">
        <v>42</v>
      </c>
      <c r="E665" s="2" t="s">
        <v>1023</v>
      </c>
      <c r="F665" s="2" t="s">
        <v>1025</v>
      </c>
      <c r="G665" s="4" t="s">
        <v>1492</v>
      </c>
      <c r="H665" s="2">
        <v>11</v>
      </c>
      <c r="I665" s="3" t="s">
        <v>1204</v>
      </c>
      <c r="J665" s="2" t="s">
        <v>403</v>
      </c>
      <c r="K665" s="2" t="s">
        <v>1015</v>
      </c>
      <c r="L665" s="2" t="s">
        <v>1719</v>
      </c>
      <c r="M665" s="10" t="s">
        <v>1511</v>
      </c>
      <c r="S665" s="6" t="b">
        <f>C665='Plano de Contas'!C665</f>
        <v>1</v>
      </c>
    </row>
    <row r="666" spans="1:19" x14ac:dyDescent="0.2">
      <c r="A666" s="18" t="s">
        <v>2442</v>
      </c>
      <c r="B666" s="2" t="s">
        <v>54</v>
      </c>
      <c r="C666" s="2" t="s">
        <v>1206</v>
      </c>
      <c r="D666" s="2" t="s">
        <v>42</v>
      </c>
      <c r="E666" s="2" t="s">
        <v>1023</v>
      </c>
      <c r="F666" s="2" t="s">
        <v>1025</v>
      </c>
      <c r="G666" s="4" t="s">
        <v>1492</v>
      </c>
      <c r="H666" s="2">
        <v>16</v>
      </c>
      <c r="I666" s="3" t="s">
        <v>1492</v>
      </c>
      <c r="J666" s="2" t="s">
        <v>403</v>
      </c>
      <c r="K666" s="2" t="s">
        <v>1015</v>
      </c>
      <c r="L666" s="2" t="s">
        <v>1719</v>
      </c>
      <c r="M666" s="10" t="s">
        <v>1511</v>
      </c>
      <c r="S666" s="6" t="b">
        <f>C666='Plano de Contas'!C666</f>
        <v>1</v>
      </c>
    </row>
    <row r="667" spans="1:19" x14ac:dyDescent="0.2">
      <c r="A667" s="18" t="s">
        <v>2443</v>
      </c>
      <c r="B667" s="2" t="s">
        <v>54</v>
      </c>
      <c r="C667" s="2" t="s">
        <v>1208</v>
      </c>
      <c r="D667" s="2" t="s">
        <v>42</v>
      </c>
      <c r="E667" s="2" t="s">
        <v>1023</v>
      </c>
      <c r="F667" s="2" t="s">
        <v>1025</v>
      </c>
      <c r="G667" s="4" t="s">
        <v>1492</v>
      </c>
      <c r="H667" s="2">
        <v>16</v>
      </c>
      <c r="I667" s="3" t="s">
        <v>1492</v>
      </c>
      <c r="J667" s="2" t="s">
        <v>403</v>
      </c>
      <c r="K667" s="2" t="s">
        <v>1015</v>
      </c>
      <c r="L667" s="2" t="s">
        <v>1719</v>
      </c>
      <c r="M667" s="10" t="s">
        <v>1511</v>
      </c>
      <c r="S667" s="6" t="b">
        <f>C667='Plano de Contas'!C667</f>
        <v>1</v>
      </c>
    </row>
    <row r="668" spans="1:19" x14ac:dyDescent="0.2">
      <c r="A668" s="18" t="s">
        <v>2444</v>
      </c>
      <c r="B668" s="2" t="s">
        <v>54</v>
      </c>
      <c r="C668" s="2" t="s">
        <v>1210</v>
      </c>
      <c r="D668" s="2" t="s">
        <v>42</v>
      </c>
      <c r="E668" s="2" t="s">
        <v>1023</v>
      </c>
      <c r="F668" s="2" t="s">
        <v>1025</v>
      </c>
      <c r="G668" s="4" t="s">
        <v>1492</v>
      </c>
      <c r="H668" s="2">
        <v>16</v>
      </c>
      <c r="I668" s="3" t="s">
        <v>1492</v>
      </c>
      <c r="J668" s="2" t="s">
        <v>403</v>
      </c>
      <c r="K668" s="2" t="s">
        <v>1015</v>
      </c>
      <c r="L668" s="2" t="s">
        <v>1719</v>
      </c>
      <c r="M668" s="10" t="s">
        <v>1511</v>
      </c>
      <c r="S668" s="6" t="b">
        <f>C668='Plano de Contas'!C668</f>
        <v>1</v>
      </c>
    </row>
    <row r="669" spans="1:19" x14ac:dyDescent="0.2">
      <c r="A669" s="18" t="s">
        <v>2445</v>
      </c>
      <c r="B669" s="2" t="s">
        <v>54</v>
      </c>
      <c r="C669" s="2" t="s">
        <v>1212</v>
      </c>
      <c r="D669" s="2" t="s">
        <v>42</v>
      </c>
      <c r="E669" s="2" t="s">
        <v>1023</v>
      </c>
      <c r="F669" s="2" t="s">
        <v>1025</v>
      </c>
      <c r="G669" s="4" t="s">
        <v>1492</v>
      </c>
      <c r="H669" s="2">
        <v>16</v>
      </c>
      <c r="I669" s="3" t="s">
        <v>1492</v>
      </c>
      <c r="J669" s="2" t="s">
        <v>403</v>
      </c>
      <c r="K669" s="2" t="s">
        <v>1015</v>
      </c>
      <c r="L669" s="2" t="s">
        <v>1719</v>
      </c>
      <c r="M669" s="10" t="s">
        <v>1511</v>
      </c>
      <c r="S669" s="6" t="b">
        <f>C669='Plano de Contas'!C669</f>
        <v>1</v>
      </c>
    </row>
    <row r="670" spans="1:19" x14ac:dyDescent="0.2">
      <c r="A670" s="18" t="s">
        <v>2446</v>
      </c>
      <c r="B670" s="2" t="s">
        <v>54</v>
      </c>
      <c r="C670" s="2" t="s">
        <v>1105</v>
      </c>
      <c r="D670" s="2" t="s">
        <v>42</v>
      </c>
      <c r="E670" s="2" t="s">
        <v>1023</v>
      </c>
      <c r="F670" s="2" t="s">
        <v>1025</v>
      </c>
      <c r="G670" s="4" t="s">
        <v>1492</v>
      </c>
      <c r="H670" s="2">
        <v>16</v>
      </c>
      <c r="I670" s="3" t="s">
        <v>1492</v>
      </c>
      <c r="J670" s="2" t="s">
        <v>403</v>
      </c>
      <c r="K670" s="2" t="s">
        <v>1015</v>
      </c>
      <c r="L670" s="2" t="s">
        <v>1719</v>
      </c>
      <c r="M670" s="10" t="s">
        <v>1511</v>
      </c>
      <c r="S670" s="6" t="b">
        <f>C670='Plano de Contas'!C670</f>
        <v>1</v>
      </c>
    </row>
    <row r="671" spans="1:19" x14ac:dyDescent="0.2">
      <c r="A671" s="18" t="s">
        <v>2447</v>
      </c>
      <c r="B671" s="2" t="s">
        <v>54</v>
      </c>
      <c r="C671" s="2" t="s">
        <v>1215</v>
      </c>
      <c r="D671" s="2" t="s">
        <v>42</v>
      </c>
      <c r="E671" s="2" t="s">
        <v>1023</v>
      </c>
      <c r="F671" s="2" t="s">
        <v>1025</v>
      </c>
      <c r="G671" s="4" t="s">
        <v>1492</v>
      </c>
      <c r="H671" s="2">
        <v>16</v>
      </c>
      <c r="I671" s="3" t="s">
        <v>1492</v>
      </c>
      <c r="J671" s="2" t="s">
        <v>403</v>
      </c>
      <c r="K671" s="2" t="s">
        <v>1015</v>
      </c>
      <c r="L671" s="2" t="s">
        <v>1719</v>
      </c>
      <c r="M671" s="10" t="s">
        <v>1511</v>
      </c>
      <c r="S671" s="6" t="b">
        <f>C671='Plano de Contas'!C671</f>
        <v>1</v>
      </c>
    </row>
    <row r="672" spans="1:19" x14ac:dyDescent="0.2">
      <c r="A672" s="17" t="s">
        <v>2448</v>
      </c>
      <c r="B672" s="1" t="s">
        <v>40</v>
      </c>
      <c r="C672" s="1" t="s">
        <v>1217</v>
      </c>
      <c r="D672" s="2" t="s">
        <v>42</v>
      </c>
      <c r="E672" s="2" t="s">
        <v>1023</v>
      </c>
      <c r="F672" s="2" t="s">
        <v>1025</v>
      </c>
      <c r="G672" s="4" t="s">
        <v>1492</v>
      </c>
      <c r="H672" s="2">
        <v>8</v>
      </c>
      <c r="I672" s="3" t="s">
        <v>1492</v>
      </c>
      <c r="J672" s="2" t="s">
        <v>1217</v>
      </c>
      <c r="K672" s="2" t="s">
        <v>1015</v>
      </c>
      <c r="L672" s="2" t="s">
        <v>1675</v>
      </c>
      <c r="S672" s="6" t="b">
        <f>C672='Plano de Contas'!C672</f>
        <v>1</v>
      </c>
    </row>
    <row r="673" spans="1:19" x14ac:dyDescent="0.2">
      <c r="A673" s="17" t="s">
        <v>2449</v>
      </c>
      <c r="B673" s="1" t="s">
        <v>40</v>
      </c>
      <c r="C673" s="1" t="s">
        <v>1217</v>
      </c>
      <c r="D673" s="2" t="s">
        <v>42</v>
      </c>
      <c r="E673" s="2" t="s">
        <v>1023</v>
      </c>
      <c r="F673" s="2" t="s">
        <v>1025</v>
      </c>
      <c r="G673" s="4" t="s">
        <v>1492</v>
      </c>
      <c r="H673" s="2">
        <v>11</v>
      </c>
      <c r="I673" s="3" t="s">
        <v>1218</v>
      </c>
      <c r="J673" s="2" t="s">
        <v>1217</v>
      </c>
      <c r="K673" s="2" t="s">
        <v>1015</v>
      </c>
      <c r="L673" s="2" t="s">
        <v>1675</v>
      </c>
      <c r="S673" s="6" t="b">
        <f>C673='Plano de Contas'!C673</f>
        <v>1</v>
      </c>
    </row>
    <row r="674" spans="1:19" x14ac:dyDescent="0.2">
      <c r="A674" s="18" t="s">
        <v>2450</v>
      </c>
      <c r="B674" s="2" t="s">
        <v>54</v>
      </c>
      <c r="C674" s="2" t="s">
        <v>1220</v>
      </c>
      <c r="D674" s="2" t="s">
        <v>42</v>
      </c>
      <c r="E674" s="2" t="s">
        <v>1023</v>
      </c>
      <c r="F674" s="2" t="s">
        <v>1025</v>
      </c>
      <c r="G674" s="4" t="s">
        <v>1492</v>
      </c>
      <c r="H674" s="2">
        <v>16</v>
      </c>
      <c r="I674" s="3" t="s">
        <v>1492</v>
      </c>
      <c r="J674" s="2" t="s">
        <v>1217</v>
      </c>
      <c r="K674" s="2" t="s">
        <v>1015</v>
      </c>
      <c r="L674" s="2" t="s">
        <v>1675</v>
      </c>
      <c r="M674" s="10" t="s">
        <v>1597</v>
      </c>
      <c r="S674" s="6" t="b">
        <f>C674='Plano de Contas'!C674</f>
        <v>1</v>
      </c>
    </row>
    <row r="675" spans="1:19" x14ac:dyDescent="0.2">
      <c r="A675" s="18" t="s">
        <v>2451</v>
      </c>
      <c r="B675" s="2" t="s">
        <v>54</v>
      </c>
      <c r="C675" s="2" t="s">
        <v>1222</v>
      </c>
      <c r="D675" s="2" t="s">
        <v>42</v>
      </c>
      <c r="E675" s="2" t="s">
        <v>1023</v>
      </c>
      <c r="F675" s="2" t="s">
        <v>1025</v>
      </c>
      <c r="G675" s="4" t="s">
        <v>1492</v>
      </c>
      <c r="H675" s="2">
        <v>16</v>
      </c>
      <c r="I675" s="3" t="s">
        <v>1492</v>
      </c>
      <c r="J675" s="2" t="s">
        <v>1217</v>
      </c>
      <c r="K675" s="2" t="s">
        <v>1015</v>
      </c>
      <c r="L675" s="2" t="s">
        <v>1675</v>
      </c>
      <c r="M675" s="10" t="s">
        <v>1593</v>
      </c>
      <c r="S675" s="6" t="b">
        <f>C675='Plano de Contas'!C675</f>
        <v>1</v>
      </c>
    </row>
    <row r="676" spans="1:19" x14ac:dyDescent="0.2">
      <c r="A676" s="18" t="s">
        <v>2452</v>
      </c>
      <c r="B676" s="2" t="s">
        <v>54</v>
      </c>
      <c r="C676" s="2" t="s">
        <v>1043</v>
      </c>
      <c r="D676" s="2" t="s">
        <v>42</v>
      </c>
      <c r="E676" s="2" t="s">
        <v>1023</v>
      </c>
      <c r="F676" s="2" t="s">
        <v>1025</v>
      </c>
      <c r="G676" s="4" t="s">
        <v>1492</v>
      </c>
      <c r="H676" s="2">
        <v>16</v>
      </c>
      <c r="I676" s="3" t="s">
        <v>1492</v>
      </c>
      <c r="J676" s="2" t="s">
        <v>1217</v>
      </c>
      <c r="K676" s="2" t="s">
        <v>1015</v>
      </c>
      <c r="L676" s="2" t="s">
        <v>1675</v>
      </c>
      <c r="M676" s="10" t="s">
        <v>1595</v>
      </c>
      <c r="S676" s="6" t="b">
        <f>C676='Plano de Contas'!C676</f>
        <v>1</v>
      </c>
    </row>
    <row r="677" spans="1:19" x14ac:dyDescent="0.2">
      <c r="A677" s="18" t="s">
        <v>2453</v>
      </c>
      <c r="B677" s="2" t="s">
        <v>54</v>
      </c>
      <c r="C677" s="2" t="s">
        <v>1225</v>
      </c>
      <c r="D677" s="2" t="s">
        <v>42</v>
      </c>
      <c r="E677" s="2" t="s">
        <v>1023</v>
      </c>
      <c r="F677" s="2" t="s">
        <v>1025</v>
      </c>
      <c r="G677" s="4" t="s">
        <v>1492</v>
      </c>
      <c r="H677" s="2">
        <v>16</v>
      </c>
      <c r="I677" s="3" t="s">
        <v>1492</v>
      </c>
      <c r="J677" s="2" t="s">
        <v>1217</v>
      </c>
      <c r="K677" s="2" t="s">
        <v>1015</v>
      </c>
      <c r="L677" s="2" t="s">
        <v>1675</v>
      </c>
      <c r="M677" s="10" t="s">
        <v>1598</v>
      </c>
      <c r="S677" s="6" t="b">
        <f>C677='Plano de Contas'!C677</f>
        <v>1</v>
      </c>
    </row>
    <row r="678" spans="1:19" x14ac:dyDescent="0.2">
      <c r="A678" s="18" t="s">
        <v>2454</v>
      </c>
      <c r="B678" s="2" t="s">
        <v>54</v>
      </c>
      <c r="C678" s="2" t="s">
        <v>1720</v>
      </c>
      <c r="D678" s="2" t="s">
        <v>42</v>
      </c>
      <c r="E678" s="2" t="s">
        <v>1023</v>
      </c>
      <c r="F678" s="2" t="s">
        <v>1025</v>
      </c>
      <c r="G678" s="4" t="s">
        <v>1492</v>
      </c>
      <c r="H678" s="2">
        <v>16</v>
      </c>
      <c r="I678" s="3" t="s">
        <v>1492</v>
      </c>
      <c r="J678" s="2" t="s">
        <v>1217</v>
      </c>
      <c r="K678" s="2" t="s">
        <v>1015</v>
      </c>
      <c r="L678" s="2" t="s">
        <v>1675</v>
      </c>
      <c r="M678" s="10" t="s">
        <v>1594</v>
      </c>
      <c r="S678" s="6" t="b">
        <f>C678='Plano de Contas'!C678</f>
        <v>1</v>
      </c>
    </row>
    <row r="679" spans="1:19" x14ac:dyDescent="0.2">
      <c r="A679" s="18" t="s">
        <v>2455</v>
      </c>
      <c r="B679" s="2" t="s">
        <v>54</v>
      </c>
      <c r="C679" s="2" t="s">
        <v>1229</v>
      </c>
      <c r="D679" s="2" t="s">
        <v>42</v>
      </c>
      <c r="E679" s="2" t="s">
        <v>1023</v>
      </c>
      <c r="F679" s="2" t="s">
        <v>1025</v>
      </c>
      <c r="G679" s="4" t="s">
        <v>1492</v>
      </c>
      <c r="H679" s="2">
        <v>16</v>
      </c>
      <c r="I679" s="3" t="s">
        <v>1492</v>
      </c>
      <c r="J679" s="2" t="s">
        <v>1217</v>
      </c>
      <c r="K679" s="2" t="s">
        <v>1015</v>
      </c>
      <c r="L679" s="2" t="s">
        <v>1675</v>
      </c>
      <c r="M679" s="10" t="s">
        <v>1598</v>
      </c>
      <c r="S679" s="6" t="b">
        <f>C679='Plano de Contas'!C679</f>
        <v>1</v>
      </c>
    </row>
    <row r="680" spans="1:19" x14ac:dyDescent="0.2">
      <c r="A680" s="18" t="s">
        <v>2456</v>
      </c>
      <c r="B680" s="2" t="s">
        <v>54</v>
      </c>
      <c r="C680" s="2" t="s">
        <v>1231</v>
      </c>
      <c r="D680" s="2" t="s">
        <v>42</v>
      </c>
      <c r="E680" s="2" t="s">
        <v>1023</v>
      </c>
      <c r="F680" s="2" t="s">
        <v>1025</v>
      </c>
      <c r="G680" s="4" t="s">
        <v>1492</v>
      </c>
      <c r="H680" s="2">
        <v>16</v>
      </c>
      <c r="I680" s="3" t="s">
        <v>1492</v>
      </c>
      <c r="J680" s="2" t="s">
        <v>1217</v>
      </c>
      <c r="K680" s="2" t="s">
        <v>1015</v>
      </c>
      <c r="L680" s="2" t="s">
        <v>1675</v>
      </c>
      <c r="M680" s="10" t="s">
        <v>1598</v>
      </c>
      <c r="S680" s="6" t="b">
        <f>C680='Plano de Contas'!C680</f>
        <v>1</v>
      </c>
    </row>
    <row r="681" spans="1:19" x14ac:dyDescent="0.2">
      <c r="A681" s="18" t="s">
        <v>2457</v>
      </c>
      <c r="B681" s="2" t="s">
        <v>54</v>
      </c>
      <c r="C681" s="2" t="s">
        <v>1721</v>
      </c>
      <c r="D681" s="2" t="s">
        <v>42</v>
      </c>
      <c r="E681" s="2" t="s">
        <v>1023</v>
      </c>
      <c r="F681" s="2" t="s">
        <v>1025</v>
      </c>
      <c r="G681" s="4" t="s">
        <v>1492</v>
      </c>
      <c r="H681" s="2">
        <v>16</v>
      </c>
      <c r="I681" s="3" t="s">
        <v>1492</v>
      </c>
      <c r="J681" s="2" t="s">
        <v>1217</v>
      </c>
      <c r="K681" s="2" t="s">
        <v>1015</v>
      </c>
      <c r="L681" s="2" t="s">
        <v>1675</v>
      </c>
      <c r="M681" s="10" t="s">
        <v>1598</v>
      </c>
      <c r="S681" s="6" t="b">
        <f>C681='Plano de Contas'!C681</f>
        <v>1</v>
      </c>
    </row>
    <row r="682" spans="1:19" x14ac:dyDescent="0.2">
      <c r="A682" s="20" t="s">
        <v>2458</v>
      </c>
      <c r="B682" s="11" t="s">
        <v>54</v>
      </c>
      <c r="C682" s="11" t="s">
        <v>1234</v>
      </c>
      <c r="D682" s="2" t="s">
        <v>42</v>
      </c>
      <c r="E682" s="2" t="s">
        <v>1023</v>
      </c>
      <c r="F682" s="2" t="s">
        <v>1025</v>
      </c>
      <c r="G682" s="4" t="s">
        <v>1492</v>
      </c>
      <c r="H682" s="2">
        <v>16</v>
      </c>
      <c r="I682" s="3" t="s">
        <v>1492</v>
      </c>
      <c r="J682" s="2" t="s">
        <v>1217</v>
      </c>
      <c r="K682" s="2" t="s">
        <v>1015</v>
      </c>
      <c r="L682" s="2" t="s">
        <v>1675</v>
      </c>
      <c r="M682" s="10" t="s">
        <v>1598</v>
      </c>
      <c r="S682" s="6" t="b">
        <f>C682='Plano de Contas'!C682</f>
        <v>1</v>
      </c>
    </row>
    <row r="683" spans="1:19" x14ac:dyDescent="0.2">
      <c r="A683" s="20" t="s">
        <v>2459</v>
      </c>
      <c r="B683" s="11" t="s">
        <v>54</v>
      </c>
      <c r="C683" s="11" t="s">
        <v>1236</v>
      </c>
      <c r="D683" s="2"/>
      <c r="E683" s="2" t="s">
        <v>1023</v>
      </c>
      <c r="F683" s="2" t="s">
        <v>1025</v>
      </c>
      <c r="G683" s="4" t="s">
        <v>1492</v>
      </c>
      <c r="H683" s="2">
        <v>16</v>
      </c>
      <c r="I683" s="3" t="s">
        <v>1492</v>
      </c>
      <c r="J683" s="2" t="s">
        <v>1217</v>
      </c>
      <c r="K683" s="2" t="s">
        <v>1015</v>
      </c>
      <c r="L683" s="2" t="s">
        <v>1675</v>
      </c>
      <c r="M683" s="10" t="s">
        <v>1598</v>
      </c>
      <c r="S683" s="6" t="b">
        <f>C683='Plano de Contas'!C683</f>
        <v>1</v>
      </c>
    </row>
    <row r="684" spans="1:19" x14ac:dyDescent="0.2">
      <c r="A684" s="20" t="s">
        <v>2460</v>
      </c>
      <c r="B684" s="11" t="s">
        <v>54</v>
      </c>
      <c r="C684" s="11" t="s">
        <v>1238</v>
      </c>
      <c r="D684" s="2"/>
      <c r="E684" s="2" t="s">
        <v>1023</v>
      </c>
      <c r="F684" s="2" t="s">
        <v>1025</v>
      </c>
      <c r="G684" s="4" t="s">
        <v>1492</v>
      </c>
      <c r="H684" s="2">
        <v>16</v>
      </c>
      <c r="I684" s="3" t="s">
        <v>1492</v>
      </c>
      <c r="J684" s="2" t="s">
        <v>1217</v>
      </c>
      <c r="K684" s="2" t="s">
        <v>1015</v>
      </c>
      <c r="L684" s="2" t="s">
        <v>1675</v>
      </c>
      <c r="M684" s="10" t="s">
        <v>1598</v>
      </c>
      <c r="S684" s="6" t="b">
        <f>C684='Plano de Contas'!C684</f>
        <v>1</v>
      </c>
    </row>
    <row r="685" spans="1:19" x14ac:dyDescent="0.2">
      <c r="A685" s="40" t="s">
        <v>2461</v>
      </c>
      <c r="B685" s="15" t="s">
        <v>40</v>
      </c>
      <c r="C685" s="15" t="s">
        <v>1240</v>
      </c>
      <c r="D685" s="12" t="s">
        <v>42</v>
      </c>
      <c r="E685" s="12" t="s">
        <v>1023</v>
      </c>
      <c r="F685" s="12" t="s">
        <v>1025</v>
      </c>
      <c r="G685" s="37" t="s">
        <v>1492</v>
      </c>
      <c r="H685" s="12">
        <v>8</v>
      </c>
      <c r="I685" s="38" t="s">
        <v>1492</v>
      </c>
      <c r="J685" s="12" t="s">
        <v>1240</v>
      </c>
      <c r="K685" s="12" t="s">
        <v>1015</v>
      </c>
      <c r="L685" s="12" t="s">
        <v>3104</v>
      </c>
      <c r="M685" s="12" t="s">
        <v>1693</v>
      </c>
      <c r="N685" s="39"/>
      <c r="O685" s="39"/>
      <c r="P685" s="39"/>
      <c r="Q685" s="39"/>
      <c r="R685" s="39"/>
      <c r="S685" s="39" t="b">
        <f>C685='Plano de Contas'!C685</f>
        <v>1</v>
      </c>
    </row>
    <row r="686" spans="1:19" x14ac:dyDescent="0.2">
      <c r="A686" s="40" t="s">
        <v>2462</v>
      </c>
      <c r="B686" s="15" t="s">
        <v>40</v>
      </c>
      <c r="C686" s="15" t="s">
        <v>1240</v>
      </c>
      <c r="D686" s="12" t="s">
        <v>42</v>
      </c>
      <c r="E686" s="12" t="s">
        <v>1023</v>
      </c>
      <c r="F686" s="12" t="s">
        <v>1025</v>
      </c>
      <c r="G686" s="37" t="s">
        <v>1492</v>
      </c>
      <c r="H686" s="12">
        <v>11</v>
      </c>
      <c r="I686" s="38" t="s">
        <v>1241</v>
      </c>
      <c r="J686" s="12" t="s">
        <v>1240</v>
      </c>
      <c r="K686" s="12" t="s">
        <v>1015</v>
      </c>
      <c r="L686" s="12" t="s">
        <v>3104</v>
      </c>
      <c r="M686" s="12" t="s">
        <v>1693</v>
      </c>
      <c r="N686" s="39"/>
      <c r="O686" s="39"/>
      <c r="P686" s="39"/>
      <c r="Q686" s="39"/>
      <c r="R686" s="39"/>
      <c r="S686" s="39" t="b">
        <f>C686='Plano de Contas'!C686</f>
        <v>1</v>
      </c>
    </row>
    <row r="687" spans="1:19" x14ac:dyDescent="0.2">
      <c r="A687" s="41" t="s">
        <v>2463</v>
      </c>
      <c r="B687" s="12" t="s">
        <v>54</v>
      </c>
      <c r="C687" s="12" t="s">
        <v>1243</v>
      </c>
      <c r="D687" s="12" t="s">
        <v>42</v>
      </c>
      <c r="E687" s="12" t="s">
        <v>1023</v>
      </c>
      <c r="F687" s="12" t="s">
        <v>1025</v>
      </c>
      <c r="G687" s="37" t="s">
        <v>1492</v>
      </c>
      <c r="H687" s="12">
        <v>16</v>
      </c>
      <c r="I687" s="38" t="s">
        <v>1492</v>
      </c>
      <c r="J687" s="12" t="s">
        <v>1240</v>
      </c>
      <c r="K687" s="12" t="s">
        <v>1015</v>
      </c>
      <c r="L687" s="12" t="s">
        <v>3104</v>
      </c>
      <c r="M687" s="12" t="s">
        <v>1693</v>
      </c>
      <c r="N687" s="39"/>
      <c r="O687" s="39"/>
      <c r="P687" s="39"/>
      <c r="Q687" s="39"/>
      <c r="R687" s="39"/>
      <c r="S687" s="39" t="b">
        <f>C687='Plano de Contas'!C687</f>
        <v>1</v>
      </c>
    </row>
    <row r="688" spans="1:19" x14ac:dyDescent="0.2">
      <c r="A688" s="41" t="s">
        <v>2464</v>
      </c>
      <c r="B688" s="12" t="s">
        <v>54</v>
      </c>
      <c r="C688" s="12" t="s">
        <v>1245</v>
      </c>
      <c r="D688" s="12" t="s">
        <v>42</v>
      </c>
      <c r="E688" s="12" t="s">
        <v>1023</v>
      </c>
      <c r="F688" s="12" t="s">
        <v>1025</v>
      </c>
      <c r="G688" s="37" t="s">
        <v>1492</v>
      </c>
      <c r="H688" s="12">
        <v>16</v>
      </c>
      <c r="I688" s="38" t="s">
        <v>1492</v>
      </c>
      <c r="J688" s="12" t="s">
        <v>1240</v>
      </c>
      <c r="K688" s="12" t="s">
        <v>1015</v>
      </c>
      <c r="L688" s="12" t="s">
        <v>3104</v>
      </c>
      <c r="M688" s="12" t="s">
        <v>1693</v>
      </c>
      <c r="N688" s="39"/>
      <c r="O688" s="39"/>
      <c r="P688" s="39"/>
      <c r="Q688" s="39"/>
      <c r="R688" s="39"/>
      <c r="S688" s="39" t="b">
        <f>C688='Plano de Contas'!C688</f>
        <v>1</v>
      </c>
    </row>
    <row r="689" spans="1:19" x14ac:dyDescent="0.2">
      <c r="A689" s="40" t="s">
        <v>2465</v>
      </c>
      <c r="B689" s="15" t="s">
        <v>40</v>
      </c>
      <c r="C689" s="15" t="s">
        <v>1722</v>
      </c>
      <c r="D689" s="12" t="s">
        <v>42</v>
      </c>
      <c r="E689" s="12" t="s">
        <v>1023</v>
      </c>
      <c r="F689" s="12" t="s">
        <v>1025</v>
      </c>
      <c r="G689" s="37" t="s">
        <v>1492</v>
      </c>
      <c r="H689" s="12">
        <v>8</v>
      </c>
      <c r="I689" s="38" t="s">
        <v>1492</v>
      </c>
      <c r="J689" s="12" t="s">
        <v>1722</v>
      </c>
      <c r="K689" s="12" t="s">
        <v>1015</v>
      </c>
      <c r="L689" s="12" t="s">
        <v>1675</v>
      </c>
      <c r="M689" s="12" t="s">
        <v>1694</v>
      </c>
      <c r="S689" s="6" t="b">
        <f>C689='Plano de Contas'!C689</f>
        <v>1</v>
      </c>
    </row>
    <row r="690" spans="1:19" x14ac:dyDescent="0.2">
      <c r="A690" s="40" t="s">
        <v>2466</v>
      </c>
      <c r="B690" s="15" t="s">
        <v>40</v>
      </c>
      <c r="C690" s="15" t="s">
        <v>1248</v>
      </c>
      <c r="D690" s="12" t="s">
        <v>42</v>
      </c>
      <c r="E690" s="12" t="s">
        <v>1023</v>
      </c>
      <c r="F690" s="12" t="s">
        <v>1025</v>
      </c>
      <c r="G690" s="37" t="s">
        <v>1492</v>
      </c>
      <c r="H690" s="12">
        <v>11</v>
      </c>
      <c r="I690" s="38" t="s">
        <v>1247</v>
      </c>
      <c r="J690" s="12" t="s">
        <v>1248</v>
      </c>
      <c r="K690" s="12" t="s">
        <v>1015</v>
      </c>
      <c r="L690" s="12" t="s">
        <v>1675</v>
      </c>
      <c r="M690" s="12" t="s">
        <v>1694</v>
      </c>
      <c r="S690" s="6" t="b">
        <f>C690='Plano de Contas'!C690</f>
        <v>1</v>
      </c>
    </row>
    <row r="691" spans="1:19" x14ac:dyDescent="0.2">
      <c r="A691" s="41" t="s">
        <v>2467</v>
      </c>
      <c r="B691" s="12" t="s">
        <v>54</v>
      </c>
      <c r="C691" s="12" t="s">
        <v>1723</v>
      </c>
      <c r="D691" s="12" t="s">
        <v>42</v>
      </c>
      <c r="E691" s="12" t="s">
        <v>1023</v>
      </c>
      <c r="F691" s="12" t="s">
        <v>1025</v>
      </c>
      <c r="G691" s="37" t="s">
        <v>1492</v>
      </c>
      <c r="H691" s="12">
        <v>16</v>
      </c>
      <c r="I691" s="38" t="s">
        <v>1492</v>
      </c>
      <c r="J691" s="12" t="s">
        <v>1248</v>
      </c>
      <c r="K691" s="12" t="s">
        <v>1015</v>
      </c>
      <c r="L691" s="12" t="s">
        <v>1675</v>
      </c>
      <c r="M691" s="12" t="s">
        <v>1694</v>
      </c>
      <c r="S691" s="6" t="b">
        <f>C691='Plano de Contas'!C691</f>
        <v>1</v>
      </c>
    </row>
    <row r="692" spans="1:19" x14ac:dyDescent="0.2">
      <c r="A692" s="41" t="s">
        <v>2468</v>
      </c>
      <c r="B692" s="12" t="s">
        <v>54</v>
      </c>
      <c r="C692" s="12" t="s">
        <v>1724</v>
      </c>
      <c r="D692" s="12" t="s">
        <v>42</v>
      </c>
      <c r="E692" s="12" t="s">
        <v>1023</v>
      </c>
      <c r="F692" s="12" t="s">
        <v>1025</v>
      </c>
      <c r="G692" s="37" t="s">
        <v>1492</v>
      </c>
      <c r="H692" s="12">
        <v>16</v>
      </c>
      <c r="I692" s="38" t="s">
        <v>1492</v>
      </c>
      <c r="J692" s="12" t="s">
        <v>1248</v>
      </c>
      <c r="K692" s="12" t="s">
        <v>1015</v>
      </c>
      <c r="L692" s="12" t="s">
        <v>1675</v>
      </c>
      <c r="M692" s="12" t="s">
        <v>1694</v>
      </c>
      <c r="S692" s="6" t="b">
        <f>C692='Plano de Contas'!C692</f>
        <v>1</v>
      </c>
    </row>
    <row r="693" spans="1:19" x14ac:dyDescent="0.2">
      <c r="A693" s="41" t="s">
        <v>2469</v>
      </c>
      <c r="B693" s="12" t="s">
        <v>54</v>
      </c>
      <c r="C693" s="12" t="s">
        <v>1252</v>
      </c>
      <c r="D693" s="12" t="s">
        <v>42</v>
      </c>
      <c r="E693" s="12" t="s">
        <v>1023</v>
      </c>
      <c r="F693" s="12" t="s">
        <v>1025</v>
      </c>
      <c r="G693" s="37" t="s">
        <v>1492</v>
      </c>
      <c r="H693" s="12">
        <v>16</v>
      </c>
      <c r="I693" s="38" t="s">
        <v>1492</v>
      </c>
      <c r="J693" s="12" t="s">
        <v>1248</v>
      </c>
      <c r="K693" s="12" t="s">
        <v>1015</v>
      </c>
      <c r="L693" s="12" t="s">
        <v>1675</v>
      </c>
      <c r="M693" s="12" t="s">
        <v>1694</v>
      </c>
      <c r="S693" s="6" t="b">
        <f>C693='Plano de Contas'!C693</f>
        <v>1</v>
      </c>
    </row>
    <row r="694" spans="1:19" x14ac:dyDescent="0.2">
      <c r="A694" s="41" t="s">
        <v>2470</v>
      </c>
      <c r="B694" s="12" t="s">
        <v>54</v>
      </c>
      <c r="C694" s="71" t="s">
        <v>1254</v>
      </c>
      <c r="D694" s="12" t="s">
        <v>42</v>
      </c>
      <c r="E694" s="12" t="s">
        <v>1023</v>
      </c>
      <c r="F694" s="12" t="s">
        <v>1025</v>
      </c>
      <c r="G694" s="37" t="s">
        <v>1492</v>
      </c>
      <c r="H694" s="12">
        <v>16</v>
      </c>
      <c r="I694" s="38" t="s">
        <v>1492</v>
      </c>
      <c r="J694" s="12" t="s">
        <v>1248</v>
      </c>
      <c r="K694" s="12" t="s">
        <v>1015</v>
      </c>
      <c r="L694" s="12" t="s">
        <v>1675</v>
      </c>
      <c r="M694" s="12" t="s">
        <v>1694</v>
      </c>
      <c r="S694" s="6" t="b">
        <f>C694='Plano de Contas'!C694</f>
        <v>1</v>
      </c>
    </row>
    <row r="695" spans="1:19" x14ac:dyDescent="0.2">
      <c r="A695" s="41" t="s">
        <v>2471</v>
      </c>
      <c r="B695" s="12" t="s">
        <v>54</v>
      </c>
      <c r="C695" s="71" t="s">
        <v>1256</v>
      </c>
      <c r="D695" s="12" t="s">
        <v>42</v>
      </c>
      <c r="E695" s="12" t="s">
        <v>1023</v>
      </c>
      <c r="F695" s="12" t="s">
        <v>1025</v>
      </c>
      <c r="G695" s="37" t="s">
        <v>1492</v>
      </c>
      <c r="H695" s="12">
        <v>16</v>
      </c>
      <c r="I695" s="38" t="s">
        <v>1492</v>
      </c>
      <c r="J695" s="12" t="s">
        <v>1248</v>
      </c>
      <c r="K695" s="12" t="s">
        <v>1015</v>
      </c>
      <c r="L695" s="12" t="s">
        <v>1675</v>
      </c>
      <c r="M695" s="12" t="s">
        <v>1694</v>
      </c>
      <c r="S695" s="6" t="b">
        <f>C695='Plano de Contas'!C695</f>
        <v>1</v>
      </c>
    </row>
    <row r="696" spans="1:19" x14ac:dyDescent="0.2">
      <c r="A696" s="40" t="s">
        <v>2472</v>
      </c>
      <c r="B696" s="15" t="s">
        <v>40</v>
      </c>
      <c r="C696" s="15" t="s">
        <v>1258</v>
      </c>
      <c r="D696" s="12" t="s">
        <v>42</v>
      </c>
      <c r="E696" s="12" t="s">
        <v>1023</v>
      </c>
      <c r="F696" s="12" t="s">
        <v>1025</v>
      </c>
      <c r="G696" s="37" t="s">
        <v>1492</v>
      </c>
      <c r="H696" s="12">
        <v>8</v>
      </c>
      <c r="I696" s="38" t="s">
        <v>1492</v>
      </c>
      <c r="J696" s="12" t="s">
        <v>1258</v>
      </c>
      <c r="K696" s="12" t="s">
        <v>1015</v>
      </c>
      <c r="L696" s="12" t="s">
        <v>3104</v>
      </c>
      <c r="M696" s="39"/>
      <c r="N696" s="39"/>
      <c r="O696" s="39"/>
      <c r="P696" s="39"/>
      <c r="Q696" s="39"/>
      <c r="R696" s="39"/>
      <c r="S696" s="39" t="b">
        <f>C696='Plano de Contas'!C696</f>
        <v>1</v>
      </c>
    </row>
    <row r="697" spans="1:19" x14ac:dyDescent="0.2">
      <c r="A697" s="40" t="s">
        <v>2473</v>
      </c>
      <c r="B697" s="15" t="s">
        <v>40</v>
      </c>
      <c r="C697" s="15" t="s">
        <v>1258</v>
      </c>
      <c r="D697" s="12" t="s">
        <v>42</v>
      </c>
      <c r="E697" s="12" t="s">
        <v>1023</v>
      </c>
      <c r="F697" s="12" t="s">
        <v>1025</v>
      </c>
      <c r="G697" s="37" t="s">
        <v>1492</v>
      </c>
      <c r="H697" s="12">
        <v>11</v>
      </c>
      <c r="I697" s="38" t="s">
        <v>1259</v>
      </c>
      <c r="J697" s="12" t="s">
        <v>1258</v>
      </c>
      <c r="K697" s="12" t="s">
        <v>1015</v>
      </c>
      <c r="L697" s="12" t="s">
        <v>3104</v>
      </c>
      <c r="M697" s="39"/>
      <c r="N697" s="39"/>
      <c r="O697" s="39"/>
      <c r="P697" s="39"/>
      <c r="Q697" s="39"/>
      <c r="R697" s="39"/>
      <c r="S697" s="39" t="b">
        <f>C697='Plano de Contas'!C697</f>
        <v>1</v>
      </c>
    </row>
    <row r="698" spans="1:19" x14ac:dyDescent="0.2">
      <c r="A698" s="41" t="s">
        <v>2474</v>
      </c>
      <c r="B698" s="12" t="s">
        <v>54</v>
      </c>
      <c r="C698" s="12" t="s">
        <v>1261</v>
      </c>
      <c r="D698" s="12" t="s">
        <v>42</v>
      </c>
      <c r="E698" s="12" t="s">
        <v>1023</v>
      </c>
      <c r="F698" s="12" t="s">
        <v>1025</v>
      </c>
      <c r="G698" s="37" t="s">
        <v>1492</v>
      </c>
      <c r="H698" s="12">
        <v>16</v>
      </c>
      <c r="I698" s="38" t="s">
        <v>1492</v>
      </c>
      <c r="J698" s="12" t="s">
        <v>1258</v>
      </c>
      <c r="K698" s="12" t="s">
        <v>1015</v>
      </c>
      <c r="L698" s="12" t="s">
        <v>3104</v>
      </c>
      <c r="M698" s="70" t="s">
        <v>1585</v>
      </c>
      <c r="N698" s="39"/>
      <c r="O698" s="39"/>
      <c r="P698" s="39"/>
      <c r="Q698" s="39"/>
      <c r="R698" s="39"/>
      <c r="S698" s="39" t="b">
        <f>C698='Plano de Contas'!C698</f>
        <v>1</v>
      </c>
    </row>
    <row r="699" spans="1:19" x14ac:dyDescent="0.2">
      <c r="A699" s="41" t="s">
        <v>2475</v>
      </c>
      <c r="B699" s="12" t="s">
        <v>54</v>
      </c>
      <c r="C699" s="12" t="s">
        <v>1263</v>
      </c>
      <c r="D699" s="12" t="s">
        <v>42</v>
      </c>
      <c r="E699" s="12" t="s">
        <v>1023</v>
      </c>
      <c r="F699" s="12" t="s">
        <v>1025</v>
      </c>
      <c r="G699" s="37" t="s">
        <v>1492</v>
      </c>
      <c r="H699" s="12">
        <v>16</v>
      </c>
      <c r="I699" s="38" t="s">
        <v>1492</v>
      </c>
      <c r="J699" s="12" t="s">
        <v>1258</v>
      </c>
      <c r="K699" s="12" t="s">
        <v>1015</v>
      </c>
      <c r="L699" s="12" t="s">
        <v>3104</v>
      </c>
      <c r="M699" s="70" t="s">
        <v>1586</v>
      </c>
      <c r="N699" s="39"/>
      <c r="O699" s="39"/>
      <c r="P699" s="39"/>
      <c r="Q699" s="39"/>
      <c r="R699" s="39"/>
      <c r="S699" s="39" t="b">
        <f>C699='Plano de Contas'!C699</f>
        <v>1</v>
      </c>
    </row>
    <row r="700" spans="1:19" x14ac:dyDescent="0.2">
      <c r="A700" s="40" t="s">
        <v>2476</v>
      </c>
      <c r="B700" s="15" t="s">
        <v>40</v>
      </c>
      <c r="C700" s="15" t="s">
        <v>1265</v>
      </c>
      <c r="D700" s="12" t="s">
        <v>42</v>
      </c>
      <c r="E700" s="12" t="s">
        <v>1023</v>
      </c>
      <c r="F700" s="12" t="s">
        <v>1025</v>
      </c>
      <c r="G700" s="37" t="s">
        <v>1492</v>
      </c>
      <c r="H700" s="12">
        <v>8</v>
      </c>
      <c r="I700" s="38" t="s">
        <v>1492</v>
      </c>
      <c r="J700" s="12" t="s">
        <v>1265</v>
      </c>
      <c r="K700" s="12" t="s">
        <v>1015</v>
      </c>
      <c r="L700" s="12" t="s">
        <v>1582</v>
      </c>
      <c r="M700" s="12" t="s">
        <v>1582</v>
      </c>
      <c r="S700" s="6" t="b">
        <f>C700='Plano de Contas'!C700</f>
        <v>1</v>
      </c>
    </row>
    <row r="701" spans="1:19" x14ac:dyDescent="0.2">
      <c r="A701" s="40" t="s">
        <v>2477</v>
      </c>
      <c r="B701" s="15" t="s">
        <v>40</v>
      </c>
      <c r="C701" s="15" t="s">
        <v>1267</v>
      </c>
      <c r="D701" s="12" t="s">
        <v>42</v>
      </c>
      <c r="E701" s="12" t="s">
        <v>1023</v>
      </c>
      <c r="F701" s="12" t="s">
        <v>1025</v>
      </c>
      <c r="G701" s="37" t="s">
        <v>1492</v>
      </c>
      <c r="H701" s="12">
        <v>11</v>
      </c>
      <c r="I701" s="38" t="s">
        <v>1266</v>
      </c>
      <c r="J701" s="12" t="s">
        <v>1267</v>
      </c>
      <c r="K701" s="12" t="s">
        <v>1015</v>
      </c>
      <c r="L701" s="12" t="s">
        <v>1582</v>
      </c>
      <c r="M701" s="12" t="s">
        <v>1717</v>
      </c>
      <c r="S701" s="6" t="b">
        <f>C701='Plano de Contas'!C701</f>
        <v>1</v>
      </c>
    </row>
    <row r="702" spans="1:19" x14ac:dyDescent="0.2">
      <c r="A702" s="41" t="s">
        <v>2478</v>
      </c>
      <c r="B702" s="12" t="s">
        <v>54</v>
      </c>
      <c r="C702" s="12" t="s">
        <v>1269</v>
      </c>
      <c r="D702" s="12" t="s">
        <v>42</v>
      </c>
      <c r="E702" s="12" t="s">
        <v>1023</v>
      </c>
      <c r="F702" s="12" t="s">
        <v>1025</v>
      </c>
      <c r="G702" s="37" t="s">
        <v>1492</v>
      </c>
      <c r="H702" s="12">
        <v>16</v>
      </c>
      <c r="I702" s="38" t="s">
        <v>1492</v>
      </c>
      <c r="J702" s="12" t="s">
        <v>1267</v>
      </c>
      <c r="K702" s="12" t="s">
        <v>1015</v>
      </c>
      <c r="L702" s="12" t="s">
        <v>1582</v>
      </c>
      <c r="M702" s="12" t="s">
        <v>1717</v>
      </c>
      <c r="S702" s="6" t="b">
        <f>C702='Plano de Contas'!C702</f>
        <v>1</v>
      </c>
    </row>
    <row r="703" spans="1:19" x14ac:dyDescent="0.2">
      <c r="A703" s="40" t="s">
        <v>2479</v>
      </c>
      <c r="B703" s="15" t="s">
        <v>40</v>
      </c>
      <c r="C703" s="15" t="s">
        <v>1271</v>
      </c>
      <c r="D703" s="12" t="s">
        <v>42</v>
      </c>
      <c r="E703" s="12" t="s">
        <v>1023</v>
      </c>
      <c r="F703" s="12" t="s">
        <v>1025</v>
      </c>
      <c r="G703" s="37" t="s">
        <v>1492</v>
      </c>
      <c r="H703" s="12">
        <v>11</v>
      </c>
      <c r="I703" s="38" t="s">
        <v>1270</v>
      </c>
      <c r="J703" s="12" t="s">
        <v>1271</v>
      </c>
      <c r="K703" s="12" t="s">
        <v>1015</v>
      </c>
      <c r="L703" s="12" t="s">
        <v>1719</v>
      </c>
      <c r="M703" s="39" t="s">
        <v>1682</v>
      </c>
      <c r="S703" s="6" t="b">
        <f>C703='Plano de Contas'!C703</f>
        <v>1</v>
      </c>
    </row>
    <row r="704" spans="1:19" x14ac:dyDescent="0.2">
      <c r="A704" s="41" t="s">
        <v>2480</v>
      </c>
      <c r="B704" s="12" t="s">
        <v>54</v>
      </c>
      <c r="C704" s="12" t="s">
        <v>1271</v>
      </c>
      <c r="D704" s="12" t="s">
        <v>42</v>
      </c>
      <c r="E704" s="12" t="s">
        <v>1023</v>
      </c>
      <c r="F704" s="12" t="s">
        <v>1025</v>
      </c>
      <c r="G704" s="37" t="s">
        <v>1492</v>
      </c>
      <c r="H704" s="12">
        <v>16</v>
      </c>
      <c r="I704" s="38" t="s">
        <v>1492</v>
      </c>
      <c r="J704" s="12" t="s">
        <v>1271</v>
      </c>
      <c r="K704" s="12" t="s">
        <v>1015</v>
      </c>
      <c r="L704" s="12" t="s">
        <v>1719</v>
      </c>
      <c r="M704" s="39" t="s">
        <v>1682</v>
      </c>
      <c r="S704" s="6" t="b">
        <f>C704='Plano de Contas'!C704</f>
        <v>1</v>
      </c>
    </row>
    <row r="705" spans="1:19" x14ac:dyDescent="0.2">
      <c r="A705" s="17" t="s">
        <v>2481</v>
      </c>
      <c r="B705" s="1" t="s">
        <v>40</v>
      </c>
      <c r="C705" s="1" t="s">
        <v>1274</v>
      </c>
      <c r="D705" s="2" t="s">
        <v>42</v>
      </c>
      <c r="E705" s="2" t="s">
        <v>1023</v>
      </c>
      <c r="F705" s="2" t="s">
        <v>1025</v>
      </c>
      <c r="G705" s="4" t="s">
        <v>1492</v>
      </c>
      <c r="H705" s="2">
        <v>8</v>
      </c>
      <c r="I705" s="3" t="s">
        <v>1492</v>
      </c>
      <c r="J705" s="2" t="s">
        <v>1274</v>
      </c>
      <c r="K705" s="2" t="s">
        <v>1015</v>
      </c>
      <c r="L705" s="2" t="s">
        <v>1719</v>
      </c>
      <c r="M705" s="2" t="s">
        <v>1691</v>
      </c>
      <c r="S705" s="6" t="b">
        <f>C705='Plano de Contas'!C705</f>
        <v>1</v>
      </c>
    </row>
    <row r="706" spans="1:19" x14ac:dyDescent="0.2">
      <c r="A706" s="17" t="s">
        <v>2482</v>
      </c>
      <c r="B706" s="1" t="s">
        <v>40</v>
      </c>
      <c r="C706" s="1" t="s">
        <v>1274</v>
      </c>
      <c r="D706" s="2" t="s">
        <v>42</v>
      </c>
      <c r="E706" s="2" t="s">
        <v>1023</v>
      </c>
      <c r="F706" s="2" t="s">
        <v>1025</v>
      </c>
      <c r="G706" s="4" t="s">
        <v>1492</v>
      </c>
      <c r="H706" s="2">
        <v>11</v>
      </c>
      <c r="I706" s="3" t="s">
        <v>1275</v>
      </c>
      <c r="J706" s="2" t="s">
        <v>1274</v>
      </c>
      <c r="K706" s="2" t="s">
        <v>1015</v>
      </c>
      <c r="L706" s="2" t="s">
        <v>1719</v>
      </c>
      <c r="M706" s="2" t="s">
        <v>1691</v>
      </c>
      <c r="S706" s="6" t="b">
        <f>C706='Plano de Contas'!C706</f>
        <v>1</v>
      </c>
    </row>
    <row r="707" spans="1:19" x14ac:dyDescent="0.2">
      <c r="A707" s="18" t="s">
        <v>2483</v>
      </c>
      <c r="B707" s="2" t="s">
        <v>54</v>
      </c>
      <c r="C707" s="2" t="s">
        <v>304</v>
      </c>
      <c r="D707" s="2" t="s">
        <v>42</v>
      </c>
      <c r="E707" s="2" t="s">
        <v>1023</v>
      </c>
      <c r="F707" s="2" t="s">
        <v>1025</v>
      </c>
      <c r="G707" s="4" t="s">
        <v>1492</v>
      </c>
      <c r="H707" s="2">
        <v>16</v>
      </c>
      <c r="I707" s="3" t="s">
        <v>1492</v>
      </c>
      <c r="J707" s="2" t="s">
        <v>1274</v>
      </c>
      <c r="K707" s="2" t="s">
        <v>1015</v>
      </c>
      <c r="L707" s="2" t="s">
        <v>1719</v>
      </c>
      <c r="M707" s="2" t="s">
        <v>1691</v>
      </c>
      <c r="S707" s="6" t="b">
        <f>C707='Plano de Contas'!C707</f>
        <v>1</v>
      </c>
    </row>
    <row r="708" spans="1:19" x14ac:dyDescent="0.2">
      <c r="A708" s="18" t="s">
        <v>2484</v>
      </c>
      <c r="B708" s="2" t="s">
        <v>54</v>
      </c>
      <c r="C708" s="2" t="s">
        <v>310</v>
      </c>
      <c r="D708" s="2" t="s">
        <v>42</v>
      </c>
      <c r="E708" s="2" t="s">
        <v>1023</v>
      </c>
      <c r="F708" s="2" t="s">
        <v>1025</v>
      </c>
      <c r="G708" s="4" t="s">
        <v>1492</v>
      </c>
      <c r="H708" s="2">
        <v>16</v>
      </c>
      <c r="I708" s="3" t="s">
        <v>1492</v>
      </c>
      <c r="J708" s="2" t="s">
        <v>1274</v>
      </c>
      <c r="K708" s="2" t="s">
        <v>1015</v>
      </c>
      <c r="L708" s="2" t="s">
        <v>1719</v>
      </c>
      <c r="M708" s="2" t="s">
        <v>1691</v>
      </c>
      <c r="S708" s="6" t="b">
        <f>C708='Plano de Contas'!C708</f>
        <v>1</v>
      </c>
    </row>
    <row r="709" spans="1:19" x14ac:dyDescent="0.2">
      <c r="A709" s="18" t="s">
        <v>2485</v>
      </c>
      <c r="B709" s="2" t="s">
        <v>54</v>
      </c>
      <c r="C709" s="2" t="s">
        <v>1279</v>
      </c>
      <c r="D709" s="2" t="s">
        <v>42</v>
      </c>
      <c r="E709" s="2" t="s">
        <v>1023</v>
      </c>
      <c r="F709" s="2" t="s">
        <v>1025</v>
      </c>
      <c r="G709" s="4" t="s">
        <v>1492</v>
      </c>
      <c r="H709" s="2">
        <v>16</v>
      </c>
      <c r="I709" s="3" t="s">
        <v>1492</v>
      </c>
      <c r="J709" s="2" t="s">
        <v>1274</v>
      </c>
      <c r="K709" s="2" t="s">
        <v>1015</v>
      </c>
      <c r="L709" s="2" t="s">
        <v>1719</v>
      </c>
      <c r="M709" s="2" t="s">
        <v>1691</v>
      </c>
      <c r="S709" s="6" t="b">
        <f>C709='Plano de Contas'!C709</f>
        <v>1</v>
      </c>
    </row>
    <row r="710" spans="1:19" x14ac:dyDescent="0.2">
      <c r="A710" s="18" t="s">
        <v>2486</v>
      </c>
      <c r="B710" s="2" t="s">
        <v>54</v>
      </c>
      <c r="C710" s="2" t="s">
        <v>312</v>
      </c>
      <c r="D710" s="2" t="s">
        <v>42</v>
      </c>
      <c r="E710" s="2" t="s">
        <v>1023</v>
      </c>
      <c r="F710" s="2" t="s">
        <v>1025</v>
      </c>
      <c r="G710" s="4" t="s">
        <v>1492</v>
      </c>
      <c r="H710" s="2">
        <v>16</v>
      </c>
      <c r="I710" s="3" t="s">
        <v>1492</v>
      </c>
      <c r="J710" s="2" t="s">
        <v>1274</v>
      </c>
      <c r="K710" s="2" t="s">
        <v>1015</v>
      </c>
      <c r="L710" s="2" t="s">
        <v>1719</v>
      </c>
      <c r="M710" s="2" t="s">
        <v>1691</v>
      </c>
      <c r="S710" s="6" t="b">
        <f>C710='Plano de Contas'!C710</f>
        <v>1</v>
      </c>
    </row>
    <row r="711" spans="1:19" x14ac:dyDescent="0.2">
      <c r="A711" s="18" t="s">
        <v>2487</v>
      </c>
      <c r="B711" s="2" t="s">
        <v>54</v>
      </c>
      <c r="C711" s="2" t="s">
        <v>308</v>
      </c>
      <c r="D711" s="2" t="s">
        <v>42</v>
      </c>
      <c r="E711" s="2" t="s">
        <v>1023</v>
      </c>
      <c r="F711" s="2" t="s">
        <v>1025</v>
      </c>
      <c r="G711" s="4" t="s">
        <v>1492</v>
      </c>
      <c r="H711" s="2">
        <v>16</v>
      </c>
      <c r="I711" s="3" t="s">
        <v>1492</v>
      </c>
      <c r="J711" s="2" t="s">
        <v>1274</v>
      </c>
      <c r="K711" s="2" t="s">
        <v>1015</v>
      </c>
      <c r="L711" s="2" t="s">
        <v>1719</v>
      </c>
      <c r="M711" s="2" t="s">
        <v>1691</v>
      </c>
      <c r="S711" s="6" t="b">
        <f>C711='Plano de Contas'!C711</f>
        <v>1</v>
      </c>
    </row>
    <row r="712" spans="1:19" x14ac:dyDescent="0.2">
      <c r="A712" s="18" t="s">
        <v>2488</v>
      </c>
      <c r="B712" s="2" t="s">
        <v>54</v>
      </c>
      <c r="C712" s="2" t="s">
        <v>1283</v>
      </c>
      <c r="D712" s="2" t="s">
        <v>42</v>
      </c>
      <c r="E712" s="2" t="s">
        <v>1023</v>
      </c>
      <c r="F712" s="2" t="s">
        <v>1025</v>
      </c>
      <c r="G712" s="4" t="s">
        <v>1492</v>
      </c>
      <c r="H712" s="2">
        <v>16</v>
      </c>
      <c r="I712" s="3" t="s">
        <v>1492</v>
      </c>
      <c r="J712" s="2" t="s">
        <v>1274</v>
      </c>
      <c r="K712" s="2" t="s">
        <v>1015</v>
      </c>
      <c r="L712" s="2" t="s">
        <v>1719</v>
      </c>
      <c r="M712" s="2" t="s">
        <v>1691</v>
      </c>
      <c r="S712" s="6" t="b">
        <f>C712='Plano de Contas'!C712</f>
        <v>1</v>
      </c>
    </row>
    <row r="713" spans="1:19" x14ac:dyDescent="0.2">
      <c r="A713" s="18" t="s">
        <v>2489</v>
      </c>
      <c r="B713" s="2" t="s">
        <v>54</v>
      </c>
      <c r="C713" s="2" t="s">
        <v>1285</v>
      </c>
      <c r="D713" s="2" t="s">
        <v>42</v>
      </c>
      <c r="E713" s="2" t="s">
        <v>1023</v>
      </c>
      <c r="F713" s="2" t="s">
        <v>1025</v>
      </c>
      <c r="G713" s="4" t="s">
        <v>1492</v>
      </c>
      <c r="H713" s="2">
        <v>16</v>
      </c>
      <c r="I713" s="3" t="s">
        <v>1492</v>
      </c>
      <c r="J713" s="2" t="s">
        <v>1274</v>
      </c>
      <c r="K713" s="2" t="s">
        <v>1015</v>
      </c>
      <c r="L713" s="2" t="s">
        <v>1719</v>
      </c>
      <c r="M713" s="2" t="s">
        <v>1691</v>
      </c>
      <c r="S713" s="6" t="b">
        <f>C713='Plano de Contas'!C713</f>
        <v>1</v>
      </c>
    </row>
    <row r="714" spans="1:19" x14ac:dyDescent="0.2">
      <c r="A714" s="18" t="s">
        <v>2490</v>
      </c>
      <c r="B714" s="2" t="s">
        <v>54</v>
      </c>
      <c r="C714" s="2" t="s">
        <v>1287</v>
      </c>
      <c r="D714" s="2" t="s">
        <v>42</v>
      </c>
      <c r="E714" s="2" t="s">
        <v>1023</v>
      </c>
      <c r="F714" s="2" t="s">
        <v>1025</v>
      </c>
      <c r="G714" s="4" t="s">
        <v>1492</v>
      </c>
      <c r="H714" s="2">
        <v>16</v>
      </c>
      <c r="I714" s="3" t="s">
        <v>1492</v>
      </c>
      <c r="J714" s="2" t="s">
        <v>1274</v>
      </c>
      <c r="K714" s="2" t="s">
        <v>1015</v>
      </c>
      <c r="L714" s="2" t="s">
        <v>1719</v>
      </c>
      <c r="M714" s="2" t="s">
        <v>1691</v>
      </c>
      <c r="S714" s="6" t="b">
        <f>C714='Plano de Contas'!C714</f>
        <v>1</v>
      </c>
    </row>
    <row r="715" spans="1:19" x14ac:dyDescent="0.2">
      <c r="A715" s="20" t="s">
        <v>2491</v>
      </c>
      <c r="B715" s="11" t="s">
        <v>54</v>
      </c>
      <c r="C715" s="11" t="s">
        <v>1289</v>
      </c>
      <c r="D715" s="2" t="s">
        <v>42</v>
      </c>
      <c r="E715" s="2" t="s">
        <v>1023</v>
      </c>
      <c r="F715" s="2" t="s">
        <v>1025</v>
      </c>
      <c r="G715" s="4" t="s">
        <v>1492</v>
      </c>
      <c r="H715" s="2">
        <v>16</v>
      </c>
      <c r="I715" s="3" t="s">
        <v>1492</v>
      </c>
      <c r="J715" s="2" t="s">
        <v>1274</v>
      </c>
      <c r="K715" s="2" t="s">
        <v>1015</v>
      </c>
      <c r="L715" s="2" t="s">
        <v>1719</v>
      </c>
      <c r="M715" s="2" t="s">
        <v>1691</v>
      </c>
      <c r="S715" s="6" t="b">
        <f>C715='Plano de Contas'!C715</f>
        <v>1</v>
      </c>
    </row>
    <row r="716" spans="1:19" x14ac:dyDescent="0.2">
      <c r="A716" s="20" t="s">
        <v>2492</v>
      </c>
      <c r="B716" s="11" t="s">
        <v>54</v>
      </c>
      <c r="C716" s="11" t="s">
        <v>1291</v>
      </c>
      <c r="D716" s="2" t="s">
        <v>42</v>
      </c>
      <c r="E716" s="2" t="s">
        <v>1023</v>
      </c>
      <c r="F716" s="2" t="s">
        <v>1025</v>
      </c>
      <c r="G716" s="4" t="s">
        <v>1492</v>
      </c>
      <c r="H716" s="2">
        <v>16</v>
      </c>
      <c r="I716" s="3" t="s">
        <v>1492</v>
      </c>
      <c r="J716" s="2" t="s">
        <v>1274</v>
      </c>
      <c r="K716" s="2" t="s">
        <v>1015</v>
      </c>
      <c r="L716" s="2" t="s">
        <v>1719</v>
      </c>
      <c r="M716" s="2" t="s">
        <v>1691</v>
      </c>
      <c r="S716" s="6" t="b">
        <f>C716='Plano de Contas'!C716</f>
        <v>1</v>
      </c>
    </row>
    <row r="717" spans="1:19" x14ac:dyDescent="0.2">
      <c r="A717" s="17" t="s">
        <v>1696</v>
      </c>
      <c r="B717" s="74" t="s">
        <v>40</v>
      </c>
      <c r="C717" s="75" t="s">
        <v>3151</v>
      </c>
      <c r="D717" s="76" t="s">
        <v>42</v>
      </c>
      <c r="E717" s="76" t="str">
        <f t="shared" ref="E717:E727" si="14">LEFT(A717,1)</f>
        <v>4</v>
      </c>
      <c r="F717" s="76" t="s">
        <v>1025</v>
      </c>
      <c r="G717" s="77" t="s">
        <v>1492</v>
      </c>
      <c r="H717" s="76">
        <f t="shared" ref="H717:H727" si="15">LEN(A717)</f>
        <v>5</v>
      </c>
      <c r="I717" s="78" t="str">
        <f t="shared" ref="I717:I727" si="16">IF(H717=11,A717,"-")</f>
        <v>-</v>
      </c>
      <c r="J717" s="76" t="str">
        <f>IF(H717&lt;11,C717,IF(I717&lt;&gt;"-",C717,J716))</f>
        <v>ALIMENTAÇÃO E EVENTOS</v>
      </c>
      <c r="K717" s="76" t="s">
        <v>1015</v>
      </c>
      <c r="L717" s="79" t="s">
        <v>1582</v>
      </c>
      <c r="M717" s="79" t="s">
        <v>1679</v>
      </c>
      <c r="N717" s="79"/>
      <c r="O717" s="6" t="s">
        <v>3160</v>
      </c>
      <c r="S717" s="6" t="b">
        <f>C717='Plano de Contas'!C717</f>
        <v>1</v>
      </c>
    </row>
    <row r="718" spans="1:19" x14ac:dyDescent="0.2">
      <c r="A718" s="90" t="s">
        <v>3199</v>
      </c>
      <c r="B718" s="83" t="s">
        <v>40</v>
      </c>
      <c r="C718" s="84" t="s">
        <v>3196</v>
      </c>
      <c r="D718" s="85" t="s">
        <v>42</v>
      </c>
      <c r="E718" s="85" t="s">
        <v>1023</v>
      </c>
      <c r="F718" s="85" t="s">
        <v>1025</v>
      </c>
      <c r="G718" s="86" t="s">
        <v>1492</v>
      </c>
      <c r="H718" s="85">
        <v>11</v>
      </c>
      <c r="I718" s="87" t="s">
        <v>3195</v>
      </c>
      <c r="J718" s="85" t="s">
        <v>3196</v>
      </c>
      <c r="K718" s="85" t="s">
        <v>1015</v>
      </c>
      <c r="L718" s="88" t="s">
        <v>1575</v>
      </c>
      <c r="M718" s="88" t="s">
        <v>1609</v>
      </c>
      <c r="N718" s="88"/>
      <c r="O718" s="6" t="s">
        <v>3201</v>
      </c>
      <c r="S718" s="6" t="b">
        <f>C718='[1]Plano de Contas'!C718</f>
        <v>1</v>
      </c>
    </row>
    <row r="719" spans="1:19" x14ac:dyDescent="0.2">
      <c r="A719" s="91" t="s">
        <v>3200</v>
      </c>
      <c r="B719" s="85" t="s">
        <v>54</v>
      </c>
      <c r="C719" s="88" t="s">
        <v>3198</v>
      </c>
      <c r="D719" s="85" t="s">
        <v>42</v>
      </c>
      <c r="E719" s="85" t="s">
        <v>1023</v>
      </c>
      <c r="F719" s="85" t="s">
        <v>1025</v>
      </c>
      <c r="G719" s="86" t="s">
        <v>1492</v>
      </c>
      <c r="H719" s="85">
        <v>16</v>
      </c>
      <c r="I719" s="87" t="s">
        <v>1492</v>
      </c>
      <c r="J719" s="85" t="s">
        <v>3196</v>
      </c>
      <c r="K719" s="85" t="s">
        <v>1015</v>
      </c>
      <c r="L719" s="88" t="s">
        <v>1575</v>
      </c>
      <c r="M719" s="88" t="s">
        <v>1609</v>
      </c>
      <c r="N719" s="88"/>
      <c r="O719" s="6" t="s">
        <v>3201</v>
      </c>
      <c r="S719" s="6" t="b">
        <f>C719='[1]Plano de Contas'!C719</f>
        <v>1</v>
      </c>
    </row>
    <row r="720" spans="1:19" x14ac:dyDescent="0.2">
      <c r="A720" s="91" t="s">
        <v>3202</v>
      </c>
      <c r="B720" s="85" t="s">
        <v>54</v>
      </c>
      <c r="C720" s="88" t="s">
        <v>3203</v>
      </c>
      <c r="D720" s="85" t="s">
        <v>42</v>
      </c>
      <c r="E720" s="85" t="s">
        <v>1023</v>
      </c>
      <c r="F720" s="85" t="s">
        <v>1025</v>
      </c>
      <c r="G720" s="86" t="s">
        <v>1492</v>
      </c>
      <c r="H720" s="85">
        <v>16</v>
      </c>
      <c r="I720" s="87" t="s">
        <v>1492</v>
      </c>
      <c r="J720" s="85" t="s">
        <v>3196</v>
      </c>
      <c r="K720" s="85" t="s">
        <v>1015</v>
      </c>
      <c r="L720" s="88" t="s">
        <v>1575</v>
      </c>
      <c r="M720" s="88" t="s">
        <v>1609</v>
      </c>
      <c r="N720" s="88"/>
      <c r="O720" s="6" t="s">
        <v>3201</v>
      </c>
      <c r="S720" s="6" t="b">
        <f>C720='[1]Plano de Contas'!C720</f>
        <v>1</v>
      </c>
    </row>
    <row r="721" spans="1:19" x14ac:dyDescent="0.2">
      <c r="A721" s="73" t="s">
        <v>1697</v>
      </c>
      <c r="B721" s="74" t="s">
        <v>54</v>
      </c>
      <c r="C721" s="75" t="s">
        <v>3152</v>
      </c>
      <c r="D721" s="76" t="s">
        <v>42</v>
      </c>
      <c r="E721" s="76" t="str">
        <f t="shared" si="14"/>
        <v>4</v>
      </c>
      <c r="F721" s="76" t="s">
        <v>1025</v>
      </c>
      <c r="G721" s="77" t="s">
        <v>1492</v>
      </c>
      <c r="H721" s="76">
        <f t="shared" si="15"/>
        <v>7</v>
      </c>
      <c r="I721" s="78" t="str">
        <f t="shared" si="16"/>
        <v>-</v>
      </c>
      <c r="J721" s="76" t="str">
        <f>IF(H721&lt;11,C721,IF(I721&lt;&gt;"-",C721,J717))</f>
        <v>ALIMENTAÇÃO, COFFEE BREAK</v>
      </c>
      <c r="K721" s="76" t="s">
        <v>1015</v>
      </c>
      <c r="L721" s="79" t="s">
        <v>1582</v>
      </c>
      <c r="M721" s="79" t="s">
        <v>1679</v>
      </c>
      <c r="N721" s="79"/>
      <c r="O721" s="6" t="s">
        <v>3160</v>
      </c>
      <c r="S721" s="6" t="b">
        <f>C721='Plano de Contas'!C721</f>
        <v>1</v>
      </c>
    </row>
    <row r="722" spans="1:19" x14ac:dyDescent="0.2">
      <c r="A722" s="80" t="s">
        <v>1698</v>
      </c>
      <c r="B722" s="76" t="s">
        <v>54</v>
      </c>
      <c r="C722" s="79" t="s">
        <v>3153</v>
      </c>
      <c r="D722" s="76" t="s">
        <v>42</v>
      </c>
      <c r="E722" s="76" t="str">
        <f t="shared" si="14"/>
        <v>4</v>
      </c>
      <c r="F722" s="76" t="s">
        <v>1025</v>
      </c>
      <c r="G722" s="77" t="s">
        <v>1492</v>
      </c>
      <c r="H722" s="76">
        <f t="shared" si="15"/>
        <v>11</v>
      </c>
      <c r="I722" s="78" t="str">
        <f t="shared" si="16"/>
        <v>41310030001</v>
      </c>
      <c r="J722" s="76" t="str">
        <f t="shared" ref="J722:J727" si="17">IF(H722&lt;11,C722,IF(I722&lt;&gt;"-",C722,J721))</f>
        <v>ALIMENTAÇÃO, COFFEE BREAK e BUFFET</v>
      </c>
      <c r="K722" s="76" t="s">
        <v>1015</v>
      </c>
      <c r="L722" s="79" t="s">
        <v>1582</v>
      </c>
      <c r="M722" s="79" t="s">
        <v>1679</v>
      </c>
      <c r="N722" s="79"/>
      <c r="O722" s="6" t="s">
        <v>3160</v>
      </c>
      <c r="S722" s="6" t="b">
        <f>C722='Plano de Contas'!C722</f>
        <v>1</v>
      </c>
    </row>
    <row r="723" spans="1:19" x14ac:dyDescent="0.2">
      <c r="A723" s="80" t="s">
        <v>3161</v>
      </c>
      <c r="B723" s="76" t="s">
        <v>54</v>
      </c>
      <c r="C723" s="79" t="s">
        <v>1478</v>
      </c>
      <c r="D723" s="76" t="s">
        <v>42</v>
      </c>
      <c r="E723" s="76" t="str">
        <f t="shared" si="14"/>
        <v>4</v>
      </c>
      <c r="F723" s="76" t="s">
        <v>1025</v>
      </c>
      <c r="G723" s="77" t="s">
        <v>1492</v>
      </c>
      <c r="H723" s="76">
        <f t="shared" si="15"/>
        <v>11</v>
      </c>
      <c r="I723" s="78" t="str">
        <f t="shared" si="16"/>
        <v>41310030002</v>
      </c>
      <c r="J723" s="76" t="str">
        <f t="shared" si="17"/>
        <v>OUTROS</v>
      </c>
      <c r="K723" s="76" t="s">
        <v>1015</v>
      </c>
      <c r="L723" s="79" t="s">
        <v>1582</v>
      </c>
      <c r="M723" s="79" t="s">
        <v>1679</v>
      </c>
      <c r="N723" s="79"/>
      <c r="O723" s="6" t="s">
        <v>3160</v>
      </c>
      <c r="S723" s="6" t="b">
        <f>C723='Plano de Contas'!C723</f>
        <v>1</v>
      </c>
    </row>
    <row r="724" spans="1:19" x14ac:dyDescent="0.2">
      <c r="A724" s="73" t="s">
        <v>3162</v>
      </c>
      <c r="B724" s="74" t="s">
        <v>40</v>
      </c>
      <c r="C724" s="75" t="s">
        <v>3156</v>
      </c>
      <c r="D724" s="76" t="s">
        <v>42</v>
      </c>
      <c r="E724" s="76" t="str">
        <f t="shared" si="14"/>
        <v>4</v>
      </c>
      <c r="F724" s="76" t="s">
        <v>1025</v>
      </c>
      <c r="G724" s="77" t="s">
        <v>1492</v>
      </c>
      <c r="H724" s="76">
        <f t="shared" si="15"/>
        <v>5</v>
      </c>
      <c r="I724" s="78" t="str">
        <f t="shared" si="16"/>
        <v>-</v>
      </c>
      <c r="J724" s="76" t="str">
        <f t="shared" si="17"/>
        <v>TREINAMENTOS, CURSOS E CONGRESSOS</v>
      </c>
      <c r="K724" s="76" t="s">
        <v>1015</v>
      </c>
      <c r="L724" s="79" t="s">
        <v>1582</v>
      </c>
      <c r="M724" s="79" t="s">
        <v>1679</v>
      </c>
      <c r="N724" s="79"/>
      <c r="O724" s="6" t="s">
        <v>3160</v>
      </c>
      <c r="S724" s="6" t="b">
        <f>C724='Plano de Contas'!C724</f>
        <v>1</v>
      </c>
    </row>
    <row r="725" spans="1:19" x14ac:dyDescent="0.2">
      <c r="A725" s="80" t="s">
        <v>3163</v>
      </c>
      <c r="B725" s="76" t="s">
        <v>54</v>
      </c>
      <c r="C725" s="79" t="s">
        <v>3156</v>
      </c>
      <c r="D725" s="76" t="s">
        <v>42</v>
      </c>
      <c r="E725" s="76" t="str">
        <f t="shared" si="14"/>
        <v>4</v>
      </c>
      <c r="F725" s="76" t="s">
        <v>1025</v>
      </c>
      <c r="G725" s="77" t="s">
        <v>1492</v>
      </c>
      <c r="H725" s="76">
        <f t="shared" si="15"/>
        <v>7</v>
      </c>
      <c r="I725" s="78" t="str">
        <f t="shared" si="16"/>
        <v>-</v>
      </c>
      <c r="J725" s="76" t="str">
        <f t="shared" si="17"/>
        <v>TREINAMENTOS, CURSOS E CONGRESSOS</v>
      </c>
      <c r="K725" s="76" t="s">
        <v>1015</v>
      </c>
      <c r="L725" s="79" t="s">
        <v>1582</v>
      </c>
      <c r="M725" s="79" t="s">
        <v>1679</v>
      </c>
      <c r="N725" s="79"/>
      <c r="O725" s="6" t="s">
        <v>3160</v>
      </c>
      <c r="S725" s="6" t="b">
        <f>C725='Plano de Contas'!C725</f>
        <v>1</v>
      </c>
    </row>
    <row r="726" spans="1:19" x14ac:dyDescent="0.2">
      <c r="A726" s="73" t="s">
        <v>3164</v>
      </c>
      <c r="B726" s="74" t="s">
        <v>54</v>
      </c>
      <c r="C726" s="75" t="s">
        <v>3156</v>
      </c>
      <c r="D726" s="76" t="s">
        <v>42</v>
      </c>
      <c r="E726" s="76" t="str">
        <f t="shared" si="14"/>
        <v>4</v>
      </c>
      <c r="F726" s="76" t="s">
        <v>1025</v>
      </c>
      <c r="G726" s="77" t="s">
        <v>1492</v>
      </c>
      <c r="H726" s="76">
        <f t="shared" si="15"/>
        <v>11</v>
      </c>
      <c r="I726" s="78" t="str">
        <f t="shared" si="16"/>
        <v>41311020001</v>
      </c>
      <c r="J726" s="76" t="str">
        <f t="shared" si="17"/>
        <v>TREINAMENTOS, CURSOS E CONGRESSOS</v>
      </c>
      <c r="K726" s="76" t="s">
        <v>1015</v>
      </c>
      <c r="L726" s="79" t="s">
        <v>1582</v>
      </c>
      <c r="M726" s="79" t="s">
        <v>1679</v>
      </c>
      <c r="N726" s="79"/>
      <c r="O726" s="6" t="s">
        <v>3160</v>
      </c>
      <c r="S726" s="6" t="b">
        <f>C726='Plano de Contas'!C726</f>
        <v>1</v>
      </c>
    </row>
    <row r="727" spans="1:19" x14ac:dyDescent="0.2">
      <c r="A727" s="80" t="s">
        <v>3165</v>
      </c>
      <c r="B727" s="76" t="s">
        <v>54</v>
      </c>
      <c r="C727" s="79" t="s">
        <v>1478</v>
      </c>
      <c r="D727" s="76" t="s">
        <v>42</v>
      </c>
      <c r="E727" s="76" t="str">
        <f t="shared" si="14"/>
        <v>4</v>
      </c>
      <c r="F727" s="76" t="s">
        <v>1025</v>
      </c>
      <c r="G727" s="77" t="s">
        <v>1492</v>
      </c>
      <c r="H727" s="76">
        <f t="shared" si="15"/>
        <v>11</v>
      </c>
      <c r="I727" s="78" t="str">
        <f t="shared" si="16"/>
        <v>41311020002</v>
      </c>
      <c r="J727" s="76" t="str">
        <f t="shared" si="17"/>
        <v>OUTROS</v>
      </c>
      <c r="K727" s="76" t="s">
        <v>1015</v>
      </c>
      <c r="L727" s="79" t="s">
        <v>1582</v>
      </c>
      <c r="M727" s="79" t="s">
        <v>1679</v>
      </c>
      <c r="N727" s="79"/>
      <c r="O727" s="6" t="s">
        <v>3160</v>
      </c>
      <c r="S727" s="6" t="b">
        <f>C727='Plano de Contas'!C727</f>
        <v>1</v>
      </c>
    </row>
    <row r="728" spans="1:19" x14ac:dyDescent="0.2">
      <c r="A728" s="17" t="s">
        <v>2493</v>
      </c>
      <c r="B728" s="1" t="s">
        <v>40</v>
      </c>
      <c r="C728" s="1" t="s">
        <v>1293</v>
      </c>
      <c r="D728" s="2" t="s">
        <v>42</v>
      </c>
      <c r="E728" s="2" t="s">
        <v>1023</v>
      </c>
      <c r="F728" s="2" t="s">
        <v>1025</v>
      </c>
      <c r="G728" s="4" t="s">
        <v>1492</v>
      </c>
      <c r="H728" s="2">
        <v>8</v>
      </c>
      <c r="I728" s="3" t="s">
        <v>1492</v>
      </c>
      <c r="J728" s="2" t="s">
        <v>1293</v>
      </c>
      <c r="K728" s="2" t="s">
        <v>1015</v>
      </c>
      <c r="L728" s="2" t="s">
        <v>1719</v>
      </c>
      <c r="M728" s="6" t="s">
        <v>1584</v>
      </c>
      <c r="S728" s="6" t="b">
        <f>C728='Plano de Contas'!C728</f>
        <v>1</v>
      </c>
    </row>
    <row r="729" spans="1:19" x14ac:dyDescent="0.2">
      <c r="A729" s="17" t="s">
        <v>2494</v>
      </c>
      <c r="B729" s="1" t="s">
        <v>40</v>
      </c>
      <c r="C729" s="1" t="s">
        <v>1293</v>
      </c>
      <c r="D729" s="2" t="s">
        <v>42</v>
      </c>
      <c r="E729" s="2" t="s">
        <v>1023</v>
      </c>
      <c r="F729" s="2" t="s">
        <v>1025</v>
      </c>
      <c r="G729" s="4" t="s">
        <v>1492</v>
      </c>
      <c r="H729" s="2">
        <v>11</v>
      </c>
      <c r="I729" s="3" t="s">
        <v>1294</v>
      </c>
      <c r="J729" s="2" t="s">
        <v>1293</v>
      </c>
      <c r="K729" s="2" t="s">
        <v>1015</v>
      </c>
      <c r="L729" s="2" t="s">
        <v>1719</v>
      </c>
      <c r="M729" s="6" t="s">
        <v>1584</v>
      </c>
      <c r="S729" s="6" t="b">
        <f>C729='Plano de Contas'!C729</f>
        <v>1</v>
      </c>
    </row>
    <row r="730" spans="1:19" x14ac:dyDescent="0.2">
      <c r="A730" s="18" t="s">
        <v>2495</v>
      </c>
      <c r="B730" s="2" t="s">
        <v>54</v>
      </c>
      <c r="C730" s="2" t="s">
        <v>1293</v>
      </c>
      <c r="D730" s="2" t="s">
        <v>42</v>
      </c>
      <c r="E730" s="2" t="s">
        <v>1023</v>
      </c>
      <c r="F730" s="2" t="s">
        <v>1025</v>
      </c>
      <c r="G730" s="4" t="s">
        <v>1492</v>
      </c>
      <c r="H730" s="2">
        <v>16</v>
      </c>
      <c r="I730" s="3" t="s">
        <v>1492</v>
      </c>
      <c r="J730" s="2" t="s">
        <v>1293</v>
      </c>
      <c r="K730" s="2" t="s">
        <v>1015</v>
      </c>
      <c r="L730" s="2" t="s">
        <v>1719</v>
      </c>
      <c r="M730" s="6" t="s">
        <v>1584</v>
      </c>
      <c r="S730" s="6" t="b">
        <f>C730='Plano de Contas'!C730</f>
        <v>1</v>
      </c>
    </row>
    <row r="731" spans="1:19" x14ac:dyDescent="0.2">
      <c r="A731" s="40" t="s">
        <v>2496</v>
      </c>
      <c r="B731" s="15" t="s">
        <v>40</v>
      </c>
      <c r="C731" s="15" t="s">
        <v>1297</v>
      </c>
      <c r="D731" s="12" t="s">
        <v>42</v>
      </c>
      <c r="E731" s="12" t="s">
        <v>1023</v>
      </c>
      <c r="F731" s="12" t="s">
        <v>1025</v>
      </c>
      <c r="G731" s="37" t="s">
        <v>1492</v>
      </c>
      <c r="H731" s="12">
        <v>8</v>
      </c>
      <c r="I731" s="38" t="s">
        <v>1492</v>
      </c>
      <c r="J731" s="12" t="s">
        <v>1297</v>
      </c>
      <c r="K731" s="12" t="s">
        <v>1015</v>
      </c>
      <c r="L731" s="12" t="s">
        <v>1719</v>
      </c>
      <c r="M731" s="70" t="s">
        <v>1695</v>
      </c>
      <c r="S731" s="6" t="b">
        <f>C731='Plano de Contas'!C731</f>
        <v>1</v>
      </c>
    </row>
    <row r="732" spans="1:19" x14ac:dyDescent="0.2">
      <c r="A732" s="40" t="s">
        <v>2497</v>
      </c>
      <c r="B732" s="15" t="s">
        <v>40</v>
      </c>
      <c r="C732" s="15" t="s">
        <v>1297</v>
      </c>
      <c r="D732" s="12" t="s">
        <v>42</v>
      </c>
      <c r="E732" s="12" t="s">
        <v>1023</v>
      </c>
      <c r="F732" s="12" t="s">
        <v>1025</v>
      </c>
      <c r="G732" s="37" t="s">
        <v>1492</v>
      </c>
      <c r="H732" s="12">
        <v>11</v>
      </c>
      <c r="I732" s="38" t="s">
        <v>1298</v>
      </c>
      <c r="J732" s="12" t="s">
        <v>1297</v>
      </c>
      <c r="K732" s="12" t="s">
        <v>1015</v>
      </c>
      <c r="L732" s="12" t="s">
        <v>1719</v>
      </c>
      <c r="M732" s="70" t="s">
        <v>1695</v>
      </c>
      <c r="S732" s="6" t="b">
        <f>C732='Plano de Contas'!C732</f>
        <v>1</v>
      </c>
    </row>
    <row r="733" spans="1:19" x14ac:dyDescent="0.2">
      <c r="A733" s="41" t="s">
        <v>2498</v>
      </c>
      <c r="B733" s="12" t="s">
        <v>54</v>
      </c>
      <c r="C733" s="12" t="s">
        <v>1300</v>
      </c>
      <c r="D733" s="12" t="s">
        <v>42</v>
      </c>
      <c r="E733" s="12" t="s">
        <v>1023</v>
      </c>
      <c r="F733" s="12" t="s">
        <v>1025</v>
      </c>
      <c r="G733" s="37" t="s">
        <v>1492</v>
      </c>
      <c r="H733" s="12">
        <v>16</v>
      </c>
      <c r="I733" s="38" t="s">
        <v>1492</v>
      </c>
      <c r="J733" s="12" t="s">
        <v>1297</v>
      </c>
      <c r="K733" s="12" t="s">
        <v>1015</v>
      </c>
      <c r="L733" s="70" t="s">
        <v>1695</v>
      </c>
      <c r="M733" s="70" t="s">
        <v>3098</v>
      </c>
      <c r="S733" s="6" t="b">
        <f>C733='Plano de Contas'!C733</f>
        <v>1</v>
      </c>
    </row>
    <row r="734" spans="1:19" x14ac:dyDescent="0.2">
      <c r="A734" s="41" t="s">
        <v>2499</v>
      </c>
      <c r="B734" s="12" t="s">
        <v>54</v>
      </c>
      <c r="C734" s="12" t="s">
        <v>922</v>
      </c>
      <c r="D734" s="12" t="s">
        <v>42</v>
      </c>
      <c r="E734" s="12" t="s">
        <v>1023</v>
      </c>
      <c r="F734" s="12" t="s">
        <v>1025</v>
      </c>
      <c r="G734" s="37" t="s">
        <v>1492</v>
      </c>
      <c r="H734" s="12">
        <v>16</v>
      </c>
      <c r="I734" s="38" t="s">
        <v>1492</v>
      </c>
      <c r="J734" s="12" t="s">
        <v>1297</v>
      </c>
      <c r="K734" s="12" t="s">
        <v>1015</v>
      </c>
      <c r="L734" s="70" t="s">
        <v>1695</v>
      </c>
      <c r="M734" s="70" t="s">
        <v>3099</v>
      </c>
      <c r="S734" s="6" t="b">
        <f>C734='Plano de Contas'!C734</f>
        <v>1</v>
      </c>
    </row>
    <row r="735" spans="1:19" x14ac:dyDescent="0.2">
      <c r="A735" s="41" t="s">
        <v>2500</v>
      </c>
      <c r="B735" s="12" t="s">
        <v>54</v>
      </c>
      <c r="C735" s="12" t="s">
        <v>1303</v>
      </c>
      <c r="D735" s="12" t="s">
        <v>42</v>
      </c>
      <c r="E735" s="12" t="s">
        <v>1023</v>
      </c>
      <c r="F735" s="12" t="s">
        <v>1025</v>
      </c>
      <c r="G735" s="37" t="s">
        <v>1492</v>
      </c>
      <c r="H735" s="12">
        <v>16</v>
      </c>
      <c r="I735" s="38" t="s">
        <v>1492</v>
      </c>
      <c r="J735" s="12" t="s">
        <v>1297</v>
      </c>
      <c r="K735" s="12" t="s">
        <v>1015</v>
      </c>
      <c r="L735" s="12" t="s">
        <v>1695</v>
      </c>
      <c r="M735" s="70" t="s">
        <v>3100</v>
      </c>
      <c r="S735" s="6" t="b">
        <f>C735='Plano de Contas'!C735</f>
        <v>1</v>
      </c>
    </row>
    <row r="736" spans="1:19" x14ac:dyDescent="0.2">
      <c r="A736" s="41" t="s">
        <v>2501</v>
      </c>
      <c r="B736" s="12" t="s">
        <v>54</v>
      </c>
      <c r="C736" s="12" t="s">
        <v>1305</v>
      </c>
      <c r="D736" s="12" t="s">
        <v>42</v>
      </c>
      <c r="E736" s="12" t="s">
        <v>1023</v>
      </c>
      <c r="F736" s="12" t="s">
        <v>1025</v>
      </c>
      <c r="G736" s="37" t="s">
        <v>1492</v>
      </c>
      <c r="H736" s="12">
        <v>16</v>
      </c>
      <c r="I736" s="38" t="s">
        <v>1492</v>
      </c>
      <c r="J736" s="12" t="str">
        <f t="shared" ref="J736" si="18">IF(H736&lt;11,C736,IF(I736&lt;&gt;"-",C736,J735))</f>
        <v>DOACOES E CONTRIBUICOES</v>
      </c>
      <c r="K736" s="12" t="s">
        <v>1015</v>
      </c>
      <c r="L736" s="71" t="s">
        <v>3104</v>
      </c>
      <c r="M736" s="72" t="s">
        <v>1585</v>
      </c>
      <c r="S736" s="6" t="b">
        <f>C736='Plano de Contas'!C736</f>
        <v>1</v>
      </c>
    </row>
    <row r="737" spans="1:19" x14ac:dyDescent="0.2">
      <c r="A737" s="17" t="s">
        <v>2502</v>
      </c>
      <c r="B737" s="1" t="s">
        <v>40</v>
      </c>
      <c r="C737" s="1" t="s">
        <v>1307</v>
      </c>
      <c r="D737" s="2" t="s">
        <v>42</v>
      </c>
      <c r="E737" s="2" t="s">
        <v>1023</v>
      </c>
      <c r="F737" s="2" t="s">
        <v>1025</v>
      </c>
      <c r="G737" s="4" t="s">
        <v>1492</v>
      </c>
      <c r="H737" s="2">
        <v>8</v>
      </c>
      <c r="I737" s="3" t="s">
        <v>1492</v>
      </c>
      <c r="J737" s="2" t="s">
        <v>1307</v>
      </c>
      <c r="K737" s="2" t="s">
        <v>1015</v>
      </c>
      <c r="L737" s="2" t="s">
        <v>1719</v>
      </c>
      <c r="M737" s="6" t="s">
        <v>1692</v>
      </c>
      <c r="S737" s="6" t="b">
        <f>C737='Plano de Contas'!C737</f>
        <v>1</v>
      </c>
    </row>
    <row r="738" spans="1:19" x14ac:dyDescent="0.2">
      <c r="A738" s="17" t="s">
        <v>2503</v>
      </c>
      <c r="B738" s="1" t="s">
        <v>40</v>
      </c>
      <c r="C738" s="1" t="s">
        <v>1307</v>
      </c>
      <c r="D738" s="2" t="s">
        <v>42</v>
      </c>
      <c r="E738" s="2" t="s">
        <v>1023</v>
      </c>
      <c r="F738" s="2" t="s">
        <v>1025</v>
      </c>
      <c r="G738" s="4" t="s">
        <v>1492</v>
      </c>
      <c r="H738" s="2">
        <v>11</v>
      </c>
      <c r="I738" s="3" t="s">
        <v>1308</v>
      </c>
      <c r="J738" s="2" t="s">
        <v>1307</v>
      </c>
      <c r="K738" s="2" t="s">
        <v>1015</v>
      </c>
      <c r="L738" s="2" t="s">
        <v>1719</v>
      </c>
      <c r="M738" s="6" t="s">
        <v>1692</v>
      </c>
      <c r="S738" s="6" t="b">
        <f>C738='Plano de Contas'!C738</f>
        <v>1</v>
      </c>
    </row>
    <row r="739" spans="1:19" x14ac:dyDescent="0.2">
      <c r="A739" s="18" t="s">
        <v>2504</v>
      </c>
      <c r="B739" s="2" t="s">
        <v>54</v>
      </c>
      <c r="C739" s="2" t="s">
        <v>1307</v>
      </c>
      <c r="D739" s="2" t="s">
        <v>42</v>
      </c>
      <c r="E739" s="2" t="s">
        <v>1023</v>
      </c>
      <c r="F739" s="2" t="s">
        <v>1025</v>
      </c>
      <c r="G739" s="4" t="s">
        <v>1492</v>
      </c>
      <c r="H739" s="2">
        <v>16</v>
      </c>
      <c r="I739" s="3" t="s">
        <v>1492</v>
      </c>
      <c r="J739" s="2" t="s">
        <v>1307</v>
      </c>
      <c r="K739" s="2" t="s">
        <v>1015</v>
      </c>
      <c r="L739" s="2" t="s">
        <v>1719</v>
      </c>
      <c r="M739" s="6" t="s">
        <v>1692</v>
      </c>
      <c r="S739" s="6" t="b">
        <f>C739='Plano de Contas'!C739</f>
        <v>1</v>
      </c>
    </row>
    <row r="740" spans="1:19" x14ac:dyDescent="0.2">
      <c r="A740" s="18" t="s">
        <v>2505</v>
      </c>
      <c r="B740" s="2" t="s">
        <v>54</v>
      </c>
      <c r="C740" s="2" t="s">
        <v>1311</v>
      </c>
      <c r="D740" s="2" t="s">
        <v>42</v>
      </c>
      <c r="E740" s="2" t="s">
        <v>1023</v>
      </c>
      <c r="F740" s="2" t="s">
        <v>1025</v>
      </c>
      <c r="G740" s="4" t="s">
        <v>1492</v>
      </c>
      <c r="H740" s="2">
        <v>16</v>
      </c>
      <c r="I740" s="3" t="s">
        <v>1492</v>
      </c>
      <c r="J740" s="2" t="s">
        <v>1307</v>
      </c>
      <c r="K740" s="2" t="s">
        <v>1015</v>
      </c>
      <c r="L740" s="2" t="s">
        <v>1719</v>
      </c>
      <c r="M740" s="6" t="s">
        <v>1692</v>
      </c>
      <c r="S740" s="6" t="b">
        <f>C740='Plano de Contas'!C740</f>
        <v>1</v>
      </c>
    </row>
    <row r="741" spans="1:19" x14ac:dyDescent="0.2">
      <c r="A741" s="17" t="s">
        <v>2506</v>
      </c>
      <c r="B741" s="1" t="s">
        <v>40</v>
      </c>
      <c r="C741" s="1" t="s">
        <v>1313</v>
      </c>
      <c r="D741" s="2" t="s">
        <v>42</v>
      </c>
      <c r="E741" s="2" t="s">
        <v>1023</v>
      </c>
      <c r="F741" s="2" t="s">
        <v>1025</v>
      </c>
      <c r="G741" s="4" t="s">
        <v>1492</v>
      </c>
      <c r="H741" s="2">
        <v>8</v>
      </c>
      <c r="I741" s="3" t="s">
        <v>1492</v>
      </c>
      <c r="J741" s="2" t="s">
        <v>1313</v>
      </c>
      <c r="K741" s="2" t="s">
        <v>1015</v>
      </c>
      <c r="L741" s="2" t="s">
        <v>1519</v>
      </c>
      <c r="S741" s="6" t="b">
        <f>C741='Plano de Contas'!C741</f>
        <v>1</v>
      </c>
    </row>
    <row r="742" spans="1:19" x14ac:dyDescent="0.2">
      <c r="A742" s="17" t="s">
        <v>2507</v>
      </c>
      <c r="B742" s="1" t="s">
        <v>40</v>
      </c>
      <c r="C742" s="1" t="s">
        <v>1313</v>
      </c>
      <c r="D742" s="2" t="s">
        <v>42</v>
      </c>
      <c r="E742" s="2" t="s">
        <v>1023</v>
      </c>
      <c r="F742" s="2" t="s">
        <v>1025</v>
      </c>
      <c r="G742" s="4" t="s">
        <v>1492</v>
      </c>
      <c r="H742" s="2">
        <v>11</v>
      </c>
      <c r="I742" s="3" t="s">
        <v>1314</v>
      </c>
      <c r="J742" s="2" t="s">
        <v>1313</v>
      </c>
      <c r="K742" s="2" t="s">
        <v>1015</v>
      </c>
      <c r="L742" s="2" t="s">
        <v>1519</v>
      </c>
      <c r="S742" s="6" t="b">
        <f>C742='Plano de Contas'!C742</f>
        <v>1</v>
      </c>
    </row>
    <row r="743" spans="1:19" x14ac:dyDescent="0.2">
      <c r="A743" s="18" t="s">
        <v>2508</v>
      </c>
      <c r="B743" s="2" t="s">
        <v>54</v>
      </c>
      <c r="C743" s="2" t="s">
        <v>1313</v>
      </c>
      <c r="D743" s="2" t="s">
        <v>42</v>
      </c>
      <c r="E743" s="2" t="s">
        <v>1023</v>
      </c>
      <c r="F743" s="2" t="s">
        <v>1025</v>
      </c>
      <c r="G743" s="4" t="s">
        <v>1492</v>
      </c>
      <c r="H743" s="2">
        <v>16</v>
      </c>
      <c r="I743" s="3" t="s">
        <v>1492</v>
      </c>
      <c r="J743" s="2" t="s">
        <v>1313</v>
      </c>
      <c r="K743" s="2" t="s">
        <v>1015</v>
      </c>
      <c r="L743" s="2" t="s">
        <v>1719</v>
      </c>
      <c r="M743" s="2" t="s">
        <v>1519</v>
      </c>
      <c r="S743" s="6" t="b">
        <f>C743='Plano de Contas'!C743</f>
        <v>1</v>
      </c>
    </row>
    <row r="744" spans="1:19" x14ac:dyDescent="0.2">
      <c r="A744" s="17" t="s">
        <v>2509</v>
      </c>
      <c r="B744" s="1" t="s">
        <v>40</v>
      </c>
      <c r="C744" s="1" t="s">
        <v>1317</v>
      </c>
      <c r="D744" s="2" t="s">
        <v>196</v>
      </c>
      <c r="E744" s="2" t="s">
        <v>1023</v>
      </c>
      <c r="F744" s="2" t="s">
        <v>1025</v>
      </c>
      <c r="G744" s="4" t="s">
        <v>1492</v>
      </c>
      <c r="H744" s="2">
        <v>8</v>
      </c>
      <c r="I744" s="3" t="s">
        <v>1492</v>
      </c>
      <c r="J744" s="2" t="s">
        <v>1317</v>
      </c>
      <c r="K744" s="2" t="s">
        <v>1015</v>
      </c>
      <c r="L744" s="2" t="s">
        <v>1719</v>
      </c>
      <c r="M744" s="6" t="s">
        <v>1676</v>
      </c>
      <c r="S744" s="6" t="b">
        <f>C744='Plano de Contas'!C744</f>
        <v>1</v>
      </c>
    </row>
    <row r="745" spans="1:19" x14ac:dyDescent="0.2">
      <c r="A745" s="17" t="s">
        <v>2510</v>
      </c>
      <c r="B745" s="1" t="s">
        <v>40</v>
      </c>
      <c r="C745" s="1" t="s">
        <v>1319</v>
      </c>
      <c r="D745" s="2" t="s">
        <v>196</v>
      </c>
      <c r="E745" s="2" t="s">
        <v>1023</v>
      </c>
      <c r="F745" s="2" t="s">
        <v>1025</v>
      </c>
      <c r="G745" s="4" t="s">
        <v>1492</v>
      </c>
      <c r="H745" s="2">
        <v>11</v>
      </c>
      <c r="I745" s="3" t="s">
        <v>1318</v>
      </c>
      <c r="J745" s="2" t="s">
        <v>1319</v>
      </c>
      <c r="K745" s="2" t="s">
        <v>1015</v>
      </c>
      <c r="L745" s="2" t="s">
        <v>1719</v>
      </c>
      <c r="M745" s="6" t="s">
        <v>1676</v>
      </c>
      <c r="S745" s="6" t="b">
        <f>C745='Plano de Contas'!C745</f>
        <v>1</v>
      </c>
    </row>
    <row r="746" spans="1:19" x14ac:dyDescent="0.2">
      <c r="A746" s="18" t="s">
        <v>2511</v>
      </c>
      <c r="B746" s="2" t="s">
        <v>54</v>
      </c>
      <c r="C746" s="2" t="s">
        <v>1321</v>
      </c>
      <c r="D746" s="2" t="s">
        <v>196</v>
      </c>
      <c r="E746" s="2" t="s">
        <v>1023</v>
      </c>
      <c r="F746" s="2" t="s">
        <v>1025</v>
      </c>
      <c r="G746" s="4" t="s">
        <v>1492</v>
      </c>
      <c r="H746" s="2">
        <v>16</v>
      </c>
      <c r="I746" s="3" t="s">
        <v>1492</v>
      </c>
      <c r="J746" s="2" t="s">
        <v>1319</v>
      </c>
      <c r="K746" s="2" t="s">
        <v>1015</v>
      </c>
      <c r="L746" s="2" t="s">
        <v>1719</v>
      </c>
      <c r="M746" s="6" t="s">
        <v>1676</v>
      </c>
      <c r="S746" s="6" t="b">
        <f>C746='Plano de Contas'!C746</f>
        <v>1</v>
      </c>
    </row>
    <row r="747" spans="1:19" x14ac:dyDescent="0.2">
      <c r="A747" s="17" t="s">
        <v>2512</v>
      </c>
      <c r="B747" s="1" t="s">
        <v>40</v>
      </c>
      <c r="C747" s="1" t="s">
        <v>1323</v>
      </c>
      <c r="D747" s="2" t="s">
        <v>42</v>
      </c>
      <c r="E747" s="2" t="s">
        <v>1023</v>
      </c>
      <c r="F747" s="2" t="s">
        <v>1025</v>
      </c>
      <c r="G747" s="4" t="s">
        <v>1492</v>
      </c>
      <c r="H747" s="2">
        <v>8</v>
      </c>
      <c r="I747" s="3" t="s">
        <v>1492</v>
      </c>
      <c r="J747" s="2" t="s">
        <v>1323</v>
      </c>
      <c r="K747" s="2" t="s">
        <v>1015</v>
      </c>
      <c r="L747" s="6" t="s">
        <v>1599</v>
      </c>
      <c r="S747" s="6" t="b">
        <f>C747='Plano de Contas'!C747</f>
        <v>1</v>
      </c>
    </row>
    <row r="748" spans="1:19" x14ac:dyDescent="0.2">
      <c r="A748" s="17" t="s">
        <v>2513</v>
      </c>
      <c r="B748" s="1" t="s">
        <v>40</v>
      </c>
      <c r="C748" s="1" t="s">
        <v>1323</v>
      </c>
      <c r="D748" s="2" t="s">
        <v>42</v>
      </c>
      <c r="E748" s="2" t="s">
        <v>1023</v>
      </c>
      <c r="F748" s="2" t="s">
        <v>1025</v>
      </c>
      <c r="G748" s="4" t="s">
        <v>1492</v>
      </c>
      <c r="H748" s="2">
        <v>11</v>
      </c>
      <c r="I748" s="3" t="s">
        <v>1324</v>
      </c>
      <c r="J748" s="2" t="s">
        <v>1323</v>
      </c>
      <c r="K748" s="2" t="s">
        <v>1015</v>
      </c>
      <c r="L748" s="6" t="s">
        <v>1599</v>
      </c>
      <c r="S748" s="6" t="b">
        <f>C748='Plano de Contas'!C748</f>
        <v>1</v>
      </c>
    </row>
    <row r="749" spans="1:19" x14ac:dyDescent="0.2">
      <c r="A749" s="18" t="s">
        <v>2514</v>
      </c>
      <c r="B749" s="2" t="s">
        <v>54</v>
      </c>
      <c r="C749" s="2" t="s">
        <v>1326</v>
      </c>
      <c r="D749" s="2" t="s">
        <v>42</v>
      </c>
      <c r="E749" s="2" t="s">
        <v>1023</v>
      </c>
      <c r="F749" s="2" t="s">
        <v>1025</v>
      </c>
      <c r="G749" s="4" t="s">
        <v>1492</v>
      </c>
      <c r="H749" s="2">
        <v>16</v>
      </c>
      <c r="I749" s="3" t="s">
        <v>1492</v>
      </c>
      <c r="J749" s="2" t="s">
        <v>1323</v>
      </c>
      <c r="K749" s="2" t="s">
        <v>1015</v>
      </c>
      <c r="L749" s="2" t="s">
        <v>1719</v>
      </c>
      <c r="M749" s="6" t="s">
        <v>1677</v>
      </c>
      <c r="S749" s="6" t="b">
        <f>C749='Plano de Contas'!C749</f>
        <v>1</v>
      </c>
    </row>
    <row r="750" spans="1:19" x14ac:dyDescent="0.2">
      <c r="A750" s="18" t="s">
        <v>2515</v>
      </c>
      <c r="B750" s="2" t="s">
        <v>54</v>
      </c>
      <c r="C750" s="2" t="s">
        <v>1328</v>
      </c>
      <c r="D750" s="2" t="s">
        <v>42</v>
      </c>
      <c r="E750" s="2" t="s">
        <v>1023</v>
      </c>
      <c r="F750" s="2" t="s">
        <v>1025</v>
      </c>
      <c r="G750" s="4" t="s">
        <v>1492</v>
      </c>
      <c r="H750" s="2">
        <v>16</v>
      </c>
      <c r="I750" s="3" t="s">
        <v>1492</v>
      </c>
      <c r="J750" s="2" t="s">
        <v>1323</v>
      </c>
      <c r="K750" s="2" t="s">
        <v>1015</v>
      </c>
      <c r="L750" s="2" t="s">
        <v>1719</v>
      </c>
      <c r="M750" s="6" t="s">
        <v>1678</v>
      </c>
      <c r="S750" s="6" t="b">
        <f>C750='Plano de Contas'!C750</f>
        <v>1</v>
      </c>
    </row>
    <row r="751" spans="1:19" x14ac:dyDescent="0.2">
      <c r="A751" s="18" t="s">
        <v>2516</v>
      </c>
      <c r="B751" s="2" t="s">
        <v>54</v>
      </c>
      <c r="C751" s="2" t="s">
        <v>1330</v>
      </c>
      <c r="D751" s="2" t="s">
        <v>42</v>
      </c>
      <c r="E751" s="2" t="s">
        <v>1023</v>
      </c>
      <c r="F751" s="2" t="s">
        <v>1025</v>
      </c>
      <c r="G751" s="4" t="s">
        <v>1492</v>
      </c>
      <c r="H751" s="2">
        <v>16</v>
      </c>
      <c r="I751" s="3" t="s">
        <v>1492</v>
      </c>
      <c r="J751" s="2" t="s">
        <v>1323</v>
      </c>
      <c r="K751" s="2" t="s">
        <v>1015</v>
      </c>
      <c r="L751" s="2" t="s">
        <v>1719</v>
      </c>
      <c r="M751" s="6" t="s">
        <v>1680</v>
      </c>
      <c r="S751" s="6" t="b">
        <f>C751='Plano de Contas'!C751</f>
        <v>1</v>
      </c>
    </row>
    <row r="752" spans="1:19" x14ac:dyDescent="0.2">
      <c r="A752" s="18" t="s">
        <v>2517</v>
      </c>
      <c r="B752" s="2" t="s">
        <v>54</v>
      </c>
      <c r="C752" s="2" t="s">
        <v>1332</v>
      </c>
      <c r="D752" s="2" t="s">
        <v>42</v>
      </c>
      <c r="E752" s="2" t="s">
        <v>1023</v>
      </c>
      <c r="F752" s="2" t="s">
        <v>1025</v>
      </c>
      <c r="G752" s="4" t="s">
        <v>1492</v>
      </c>
      <c r="H752" s="2">
        <v>16</v>
      </c>
      <c r="I752" s="3" t="s">
        <v>1492</v>
      </c>
      <c r="J752" s="2" t="s">
        <v>1323</v>
      </c>
      <c r="K752" s="2" t="s">
        <v>1015</v>
      </c>
      <c r="L752" s="2" t="s">
        <v>1719</v>
      </c>
      <c r="M752" s="6" t="s">
        <v>1679</v>
      </c>
      <c r="S752" s="6" t="b">
        <f>C752='Plano de Contas'!C752</f>
        <v>1</v>
      </c>
    </row>
    <row r="753" spans="1:19" x14ac:dyDescent="0.2">
      <c r="A753" s="18" t="s">
        <v>2518</v>
      </c>
      <c r="B753" s="2" t="s">
        <v>54</v>
      </c>
      <c r="C753" s="2" t="s">
        <v>1334</v>
      </c>
      <c r="D753" s="2" t="s">
        <v>42</v>
      </c>
      <c r="E753" s="2" t="s">
        <v>1023</v>
      </c>
      <c r="F753" s="2" t="s">
        <v>1025</v>
      </c>
      <c r="G753" s="4" t="s">
        <v>1492</v>
      </c>
      <c r="H753" s="2">
        <v>16</v>
      </c>
      <c r="I753" s="3" t="s">
        <v>1492</v>
      </c>
      <c r="J753" s="2" t="s">
        <v>1323</v>
      </c>
      <c r="K753" s="2" t="s">
        <v>1015</v>
      </c>
      <c r="L753" s="2" t="s">
        <v>1719</v>
      </c>
      <c r="M753" s="6" t="s">
        <v>1681</v>
      </c>
      <c r="S753" s="6" t="b">
        <f>C753='Plano de Contas'!C753</f>
        <v>1</v>
      </c>
    </row>
    <row r="754" spans="1:19" x14ac:dyDescent="0.2">
      <c r="A754" s="18" t="s">
        <v>2519</v>
      </c>
      <c r="B754" s="2" t="s">
        <v>54</v>
      </c>
      <c r="C754" s="2" t="s">
        <v>1323</v>
      </c>
      <c r="D754" s="2" t="s">
        <v>42</v>
      </c>
      <c r="E754" s="2" t="s">
        <v>1023</v>
      </c>
      <c r="F754" s="2" t="s">
        <v>1025</v>
      </c>
      <c r="G754" s="4" t="s">
        <v>1492</v>
      </c>
      <c r="H754" s="2">
        <v>16</v>
      </c>
      <c r="I754" s="3" t="s">
        <v>1492</v>
      </c>
      <c r="J754" s="2" t="s">
        <v>1323</v>
      </c>
      <c r="K754" s="2" t="s">
        <v>1015</v>
      </c>
      <c r="L754" s="2" t="s">
        <v>1719</v>
      </c>
      <c r="M754" s="6" t="s">
        <v>1682</v>
      </c>
      <c r="S754" s="6" t="b">
        <f>C754='Plano de Contas'!C754</f>
        <v>1</v>
      </c>
    </row>
    <row r="755" spans="1:19" x14ac:dyDescent="0.2">
      <c r="A755" s="18" t="s">
        <v>2520</v>
      </c>
      <c r="B755" s="2" t="s">
        <v>54</v>
      </c>
      <c r="C755" s="2" t="s">
        <v>1337</v>
      </c>
      <c r="D755" s="2" t="s">
        <v>42</v>
      </c>
      <c r="E755" s="2" t="s">
        <v>1023</v>
      </c>
      <c r="F755" s="2" t="s">
        <v>1025</v>
      </c>
      <c r="G755" s="4" t="s">
        <v>1492</v>
      </c>
      <c r="H755" s="2">
        <v>16</v>
      </c>
      <c r="I755" s="3" t="s">
        <v>1492</v>
      </c>
      <c r="J755" s="2" t="s">
        <v>1323</v>
      </c>
      <c r="K755" s="2" t="s">
        <v>1015</v>
      </c>
      <c r="L755" s="2" t="s">
        <v>1719</v>
      </c>
      <c r="M755" s="6" t="s">
        <v>1683</v>
      </c>
      <c r="S755" s="6" t="b">
        <f>C755='Plano de Contas'!C755</f>
        <v>1</v>
      </c>
    </row>
    <row r="756" spans="1:19" x14ac:dyDescent="0.2">
      <c r="A756" s="18" t="s">
        <v>2521</v>
      </c>
      <c r="B756" s="2" t="s">
        <v>54</v>
      </c>
      <c r="C756" s="11" t="s">
        <v>1525</v>
      </c>
      <c r="D756" s="2" t="s">
        <v>42</v>
      </c>
      <c r="E756" s="2" t="s">
        <v>1023</v>
      </c>
      <c r="F756" s="2" t="s">
        <v>1025</v>
      </c>
      <c r="G756" s="4" t="s">
        <v>1492</v>
      </c>
      <c r="H756" s="2">
        <v>16</v>
      </c>
      <c r="I756" s="3" t="s">
        <v>1492</v>
      </c>
      <c r="J756" s="2" t="s">
        <v>1323</v>
      </c>
      <c r="K756" s="2" t="s">
        <v>1015</v>
      </c>
      <c r="L756" s="2" t="s">
        <v>1719</v>
      </c>
      <c r="M756" s="6" t="s">
        <v>1684</v>
      </c>
      <c r="S756" s="6" t="b">
        <f>C756='Plano de Contas'!C756</f>
        <v>1</v>
      </c>
    </row>
    <row r="757" spans="1:19" x14ac:dyDescent="0.2">
      <c r="A757" s="18" t="s">
        <v>2522</v>
      </c>
      <c r="B757" s="2" t="s">
        <v>54</v>
      </c>
      <c r="C757" s="2" t="s">
        <v>1725</v>
      </c>
      <c r="D757" s="2" t="s">
        <v>42</v>
      </c>
      <c r="E757" s="2" t="s">
        <v>1023</v>
      </c>
      <c r="F757" s="2" t="s">
        <v>1025</v>
      </c>
      <c r="G757" s="4" t="s">
        <v>1492</v>
      </c>
      <c r="H757" s="2">
        <v>16</v>
      </c>
      <c r="I757" s="3" t="s">
        <v>1492</v>
      </c>
      <c r="J757" s="2" t="s">
        <v>1323</v>
      </c>
      <c r="K757" s="2" t="s">
        <v>1015</v>
      </c>
      <c r="L757" s="2" t="s">
        <v>1719</v>
      </c>
      <c r="M757" s="6" t="s">
        <v>1685</v>
      </c>
      <c r="S757" s="6" t="b">
        <f>C757='Plano de Contas'!C757</f>
        <v>1</v>
      </c>
    </row>
    <row r="758" spans="1:19" x14ac:dyDescent="0.2">
      <c r="A758" s="18" t="s">
        <v>2523</v>
      </c>
      <c r="B758" s="2" t="s">
        <v>54</v>
      </c>
      <c r="C758" s="2" t="s">
        <v>1341</v>
      </c>
      <c r="D758" s="2" t="s">
        <v>42</v>
      </c>
      <c r="E758" s="2" t="s">
        <v>1023</v>
      </c>
      <c r="F758" s="2" t="s">
        <v>1025</v>
      </c>
      <c r="G758" s="4" t="s">
        <v>1492</v>
      </c>
      <c r="H758" s="2">
        <v>16</v>
      </c>
      <c r="I758" s="3" t="s">
        <v>1492</v>
      </c>
      <c r="J758" s="2" t="s">
        <v>1323</v>
      </c>
      <c r="K758" s="2" t="s">
        <v>1015</v>
      </c>
      <c r="L758" s="2" t="s">
        <v>1719</v>
      </c>
      <c r="M758" s="6" t="s">
        <v>1686</v>
      </c>
      <c r="S758" s="6" t="b">
        <f>C758='Plano de Contas'!C758</f>
        <v>1</v>
      </c>
    </row>
    <row r="759" spans="1:19" x14ac:dyDescent="0.2">
      <c r="A759" s="18" t="s">
        <v>2524</v>
      </c>
      <c r="B759" s="2" t="s">
        <v>54</v>
      </c>
      <c r="C759" s="2" t="s">
        <v>1343</v>
      </c>
      <c r="D759" s="2" t="s">
        <v>42</v>
      </c>
      <c r="E759" s="2" t="s">
        <v>1023</v>
      </c>
      <c r="F759" s="2" t="s">
        <v>1025</v>
      </c>
      <c r="G759" s="4" t="s">
        <v>1492</v>
      </c>
      <c r="H759" s="2">
        <v>16</v>
      </c>
      <c r="I759" s="3" t="s">
        <v>1492</v>
      </c>
      <c r="J759" s="2" t="s">
        <v>1323</v>
      </c>
      <c r="K759" s="2" t="s">
        <v>1015</v>
      </c>
      <c r="L759" s="2" t="s">
        <v>1719</v>
      </c>
      <c r="M759" s="6" t="s">
        <v>1687</v>
      </c>
      <c r="S759" s="6" t="b">
        <f>C759='Plano de Contas'!C759</f>
        <v>1</v>
      </c>
    </row>
    <row r="760" spans="1:19" x14ac:dyDescent="0.2">
      <c r="A760" s="19" t="s">
        <v>2525</v>
      </c>
      <c r="B760" s="9" t="s">
        <v>54</v>
      </c>
      <c r="C760" s="9" t="s">
        <v>1345</v>
      </c>
      <c r="D760" s="2" t="s">
        <v>42</v>
      </c>
      <c r="E760" s="2" t="s">
        <v>1023</v>
      </c>
      <c r="F760" s="2" t="s">
        <v>1025</v>
      </c>
      <c r="G760" s="4" t="s">
        <v>1492</v>
      </c>
      <c r="H760" s="2">
        <v>16</v>
      </c>
      <c r="I760" s="3" t="s">
        <v>1492</v>
      </c>
      <c r="J760" s="2" t="s">
        <v>1323</v>
      </c>
      <c r="K760" s="2" t="s">
        <v>1015</v>
      </c>
      <c r="L760" s="2" t="s">
        <v>1719</v>
      </c>
      <c r="M760" s="6" t="s">
        <v>1688</v>
      </c>
      <c r="S760" s="6" t="b">
        <f>C760='Plano de Contas'!C760</f>
        <v>1</v>
      </c>
    </row>
    <row r="761" spans="1:19" x14ac:dyDescent="0.2">
      <c r="A761" s="17" t="s">
        <v>2526</v>
      </c>
      <c r="B761" s="1" t="s">
        <v>40</v>
      </c>
      <c r="C761" s="1" t="s">
        <v>1347</v>
      </c>
      <c r="D761" s="2" t="s">
        <v>42</v>
      </c>
      <c r="E761" s="2" t="s">
        <v>1023</v>
      </c>
      <c r="F761" s="2" t="s">
        <v>1025</v>
      </c>
      <c r="G761" s="4" t="s">
        <v>1492</v>
      </c>
      <c r="H761" s="2">
        <v>8</v>
      </c>
      <c r="I761" s="3" t="s">
        <v>1492</v>
      </c>
      <c r="J761" s="2" t="s">
        <v>1347</v>
      </c>
      <c r="K761" s="2" t="s">
        <v>1015</v>
      </c>
      <c r="L761" s="2" t="s">
        <v>1516</v>
      </c>
      <c r="M761" s="2" t="s">
        <v>1518</v>
      </c>
      <c r="S761" s="6" t="b">
        <f>C761='Plano de Contas'!C761</f>
        <v>1</v>
      </c>
    </row>
    <row r="762" spans="1:19" x14ac:dyDescent="0.2">
      <c r="A762" s="17" t="s">
        <v>2527</v>
      </c>
      <c r="B762" s="1" t="s">
        <v>40</v>
      </c>
      <c r="C762" s="1" t="s">
        <v>1347</v>
      </c>
      <c r="D762" s="2" t="s">
        <v>42</v>
      </c>
      <c r="E762" s="2" t="s">
        <v>1023</v>
      </c>
      <c r="F762" s="2" t="s">
        <v>1025</v>
      </c>
      <c r="G762" s="4" t="s">
        <v>1492</v>
      </c>
      <c r="H762" s="2">
        <v>11</v>
      </c>
      <c r="I762" s="3" t="s">
        <v>1348</v>
      </c>
      <c r="J762" s="2" t="s">
        <v>1347</v>
      </c>
      <c r="K762" s="2" t="s">
        <v>1015</v>
      </c>
      <c r="L762" s="2" t="s">
        <v>1516</v>
      </c>
      <c r="M762" s="2" t="s">
        <v>1518</v>
      </c>
      <c r="S762" s="6" t="b">
        <f>C762='Plano de Contas'!C762</f>
        <v>1</v>
      </c>
    </row>
    <row r="763" spans="1:19" x14ac:dyDescent="0.2">
      <c r="A763" s="18" t="s">
        <v>2528</v>
      </c>
      <c r="B763" s="2" t="s">
        <v>54</v>
      </c>
      <c r="C763" s="2" t="s">
        <v>389</v>
      </c>
      <c r="D763" s="2" t="s">
        <v>42</v>
      </c>
      <c r="E763" s="2" t="s">
        <v>1023</v>
      </c>
      <c r="F763" s="2" t="s">
        <v>1025</v>
      </c>
      <c r="G763" s="4" t="s">
        <v>1492</v>
      </c>
      <c r="H763" s="2">
        <v>16</v>
      </c>
      <c r="I763" s="3" t="s">
        <v>1492</v>
      </c>
      <c r="J763" s="2" t="s">
        <v>1347</v>
      </c>
      <c r="K763" s="2" t="s">
        <v>1015</v>
      </c>
      <c r="L763" s="2" t="s">
        <v>1516</v>
      </c>
      <c r="M763" s="2" t="s">
        <v>1518</v>
      </c>
      <c r="S763" s="6" t="b">
        <f>C763='Plano de Contas'!C763</f>
        <v>1</v>
      </c>
    </row>
    <row r="764" spans="1:19" x14ac:dyDescent="0.2">
      <c r="A764" s="18" t="s">
        <v>2529</v>
      </c>
      <c r="B764" s="2" t="s">
        <v>54</v>
      </c>
      <c r="C764" s="2" t="s">
        <v>391</v>
      </c>
      <c r="D764" s="2" t="s">
        <v>42</v>
      </c>
      <c r="E764" s="2" t="s">
        <v>1023</v>
      </c>
      <c r="F764" s="2" t="s">
        <v>1025</v>
      </c>
      <c r="G764" s="4" t="s">
        <v>1492</v>
      </c>
      <c r="H764" s="2">
        <v>16</v>
      </c>
      <c r="I764" s="3" t="s">
        <v>1492</v>
      </c>
      <c r="J764" s="2" t="s">
        <v>1347</v>
      </c>
      <c r="K764" s="2" t="s">
        <v>1015</v>
      </c>
      <c r="L764" s="2" t="s">
        <v>1516</v>
      </c>
      <c r="M764" s="2" t="s">
        <v>1518</v>
      </c>
      <c r="S764" s="6" t="b">
        <f>C764='Plano de Contas'!C764</f>
        <v>1</v>
      </c>
    </row>
    <row r="765" spans="1:19" x14ac:dyDescent="0.2">
      <c r="A765" s="18" t="s">
        <v>2530</v>
      </c>
      <c r="B765" s="2" t="s">
        <v>54</v>
      </c>
      <c r="C765" s="2" t="s">
        <v>393</v>
      </c>
      <c r="D765" s="2" t="s">
        <v>42</v>
      </c>
      <c r="E765" s="2" t="s">
        <v>1023</v>
      </c>
      <c r="F765" s="2" t="s">
        <v>1025</v>
      </c>
      <c r="G765" s="4" t="s">
        <v>1492</v>
      </c>
      <c r="H765" s="2">
        <v>16</v>
      </c>
      <c r="I765" s="3" t="s">
        <v>1492</v>
      </c>
      <c r="J765" s="2" t="s">
        <v>1347</v>
      </c>
      <c r="K765" s="2" t="s">
        <v>1015</v>
      </c>
      <c r="L765" s="2" t="s">
        <v>1516</v>
      </c>
      <c r="M765" s="2" t="s">
        <v>1518</v>
      </c>
      <c r="S765" s="6" t="b">
        <f>C765='Plano de Contas'!C765</f>
        <v>1</v>
      </c>
    </row>
    <row r="766" spans="1:19" x14ac:dyDescent="0.2">
      <c r="A766" s="18" t="s">
        <v>2531</v>
      </c>
      <c r="B766" s="2" t="s">
        <v>54</v>
      </c>
      <c r="C766" s="2" t="s">
        <v>395</v>
      </c>
      <c r="D766" s="2" t="s">
        <v>42</v>
      </c>
      <c r="E766" s="2" t="s">
        <v>1023</v>
      </c>
      <c r="F766" s="2" t="s">
        <v>1025</v>
      </c>
      <c r="G766" s="4" t="s">
        <v>1492</v>
      </c>
      <c r="H766" s="2">
        <v>16</v>
      </c>
      <c r="I766" s="3" t="s">
        <v>1492</v>
      </c>
      <c r="J766" s="2" t="s">
        <v>1347</v>
      </c>
      <c r="K766" s="2" t="s">
        <v>1015</v>
      </c>
      <c r="L766" s="2" t="s">
        <v>1516</v>
      </c>
      <c r="M766" s="2" t="s">
        <v>1518</v>
      </c>
      <c r="S766" s="6" t="b">
        <f>C766='Plano de Contas'!C766</f>
        <v>1</v>
      </c>
    </row>
    <row r="767" spans="1:19" x14ac:dyDescent="0.2">
      <c r="A767" s="18" t="s">
        <v>2532</v>
      </c>
      <c r="B767" s="2" t="s">
        <v>54</v>
      </c>
      <c r="C767" s="2" t="s">
        <v>397</v>
      </c>
      <c r="D767" s="2" t="s">
        <v>42</v>
      </c>
      <c r="E767" s="2" t="s">
        <v>1023</v>
      </c>
      <c r="F767" s="2" t="s">
        <v>1025</v>
      </c>
      <c r="G767" s="4" t="s">
        <v>1492</v>
      </c>
      <c r="H767" s="2">
        <v>16</v>
      </c>
      <c r="I767" s="3" t="s">
        <v>1492</v>
      </c>
      <c r="J767" s="2" t="s">
        <v>1347</v>
      </c>
      <c r="K767" s="2" t="s">
        <v>1015</v>
      </c>
      <c r="L767" s="2" t="s">
        <v>1516</v>
      </c>
      <c r="M767" s="2" t="s">
        <v>1518</v>
      </c>
      <c r="S767" s="6" t="b">
        <f>C767='Plano de Contas'!C767</f>
        <v>1</v>
      </c>
    </row>
    <row r="768" spans="1:19" x14ac:dyDescent="0.2">
      <c r="A768" s="18" t="s">
        <v>2533</v>
      </c>
      <c r="B768" s="2" t="s">
        <v>54</v>
      </c>
      <c r="C768" s="2" t="s">
        <v>401</v>
      </c>
      <c r="D768" s="2" t="s">
        <v>42</v>
      </c>
      <c r="E768" s="2" t="s">
        <v>1023</v>
      </c>
      <c r="F768" s="2" t="s">
        <v>1025</v>
      </c>
      <c r="G768" s="4" t="s">
        <v>1492</v>
      </c>
      <c r="H768" s="2">
        <v>16</v>
      </c>
      <c r="I768" s="3" t="s">
        <v>1492</v>
      </c>
      <c r="J768" s="2" t="s">
        <v>1347</v>
      </c>
      <c r="K768" s="2" t="s">
        <v>1015</v>
      </c>
      <c r="L768" s="2" t="s">
        <v>1516</v>
      </c>
      <c r="M768" s="2" t="s">
        <v>1518</v>
      </c>
      <c r="S768" s="6" t="b">
        <f>C768='Plano de Contas'!C768</f>
        <v>1</v>
      </c>
    </row>
    <row r="769" spans="1:19" x14ac:dyDescent="0.2">
      <c r="A769" s="18" t="s">
        <v>2534</v>
      </c>
      <c r="B769" s="2" t="s">
        <v>54</v>
      </c>
      <c r="C769" s="2" t="s">
        <v>403</v>
      </c>
      <c r="D769" s="2" t="s">
        <v>42</v>
      </c>
      <c r="E769" s="2" t="s">
        <v>1023</v>
      </c>
      <c r="F769" s="2" t="s">
        <v>1025</v>
      </c>
      <c r="G769" s="4" t="s">
        <v>1492</v>
      </c>
      <c r="H769" s="2">
        <v>16</v>
      </c>
      <c r="I769" s="3" t="s">
        <v>1492</v>
      </c>
      <c r="J769" s="2" t="s">
        <v>1347</v>
      </c>
      <c r="K769" s="2" t="s">
        <v>1015</v>
      </c>
      <c r="L769" s="2" t="s">
        <v>1516</v>
      </c>
      <c r="M769" s="2" t="s">
        <v>1518</v>
      </c>
      <c r="S769" s="6" t="b">
        <f>C769='Plano de Contas'!C769</f>
        <v>1</v>
      </c>
    </row>
    <row r="770" spans="1:19" x14ac:dyDescent="0.2">
      <c r="A770" s="18" t="s">
        <v>2535</v>
      </c>
      <c r="B770" s="2" t="s">
        <v>54</v>
      </c>
      <c r="C770" s="2" t="s">
        <v>405</v>
      </c>
      <c r="D770" s="2" t="s">
        <v>42</v>
      </c>
      <c r="E770" s="2" t="s">
        <v>1023</v>
      </c>
      <c r="F770" s="2" t="s">
        <v>1025</v>
      </c>
      <c r="G770" s="4" t="s">
        <v>1492</v>
      </c>
      <c r="H770" s="2">
        <v>16</v>
      </c>
      <c r="I770" s="3" t="s">
        <v>1492</v>
      </c>
      <c r="J770" s="2" t="s">
        <v>1347</v>
      </c>
      <c r="K770" s="2" t="s">
        <v>1015</v>
      </c>
      <c r="L770" s="2" t="s">
        <v>1516</v>
      </c>
      <c r="M770" s="2" t="s">
        <v>1518</v>
      </c>
      <c r="S770" s="6" t="b">
        <f>C770='Plano de Contas'!C770</f>
        <v>1</v>
      </c>
    </row>
    <row r="771" spans="1:19" x14ac:dyDescent="0.2">
      <c r="A771" s="18" t="s">
        <v>2536</v>
      </c>
      <c r="B771" s="2" t="s">
        <v>54</v>
      </c>
      <c r="C771" s="2" t="s">
        <v>1358</v>
      </c>
      <c r="D771" s="2" t="s">
        <v>42</v>
      </c>
      <c r="E771" s="2" t="s">
        <v>1023</v>
      </c>
      <c r="F771" s="2" t="s">
        <v>1025</v>
      </c>
      <c r="G771" s="4" t="s">
        <v>1492</v>
      </c>
      <c r="H771" s="2">
        <v>16</v>
      </c>
      <c r="I771" s="3" t="s">
        <v>1492</v>
      </c>
      <c r="J771" s="2" t="s">
        <v>1347</v>
      </c>
      <c r="K771" s="2" t="s">
        <v>1015</v>
      </c>
      <c r="L771" s="2" t="s">
        <v>1516</v>
      </c>
      <c r="M771" s="2" t="s">
        <v>1518</v>
      </c>
      <c r="S771" s="6" t="b">
        <f>C771='Plano de Contas'!C771</f>
        <v>1</v>
      </c>
    </row>
    <row r="772" spans="1:19" x14ac:dyDescent="0.2">
      <c r="A772" s="17" t="s">
        <v>2537</v>
      </c>
      <c r="B772" s="1" t="s">
        <v>40</v>
      </c>
      <c r="C772" s="1" t="s">
        <v>1360</v>
      </c>
      <c r="D772" s="2" t="s">
        <v>42</v>
      </c>
      <c r="E772" s="2" t="s">
        <v>1023</v>
      </c>
      <c r="F772" s="2" t="s">
        <v>1025</v>
      </c>
      <c r="G772" s="4" t="s">
        <v>1492</v>
      </c>
      <c r="H772" s="2">
        <v>8</v>
      </c>
      <c r="I772" s="3" t="s">
        <v>1492</v>
      </c>
      <c r="J772" s="2" t="s">
        <v>1360</v>
      </c>
      <c r="K772" s="2" t="s">
        <v>1015</v>
      </c>
      <c r="L772" s="2" t="s">
        <v>1719</v>
      </c>
      <c r="M772" s="2" t="s">
        <v>1690</v>
      </c>
      <c r="S772" s="6" t="b">
        <f>C772='Plano de Contas'!C772</f>
        <v>1</v>
      </c>
    </row>
    <row r="773" spans="1:19" x14ac:dyDescent="0.2">
      <c r="A773" s="17" t="s">
        <v>2538</v>
      </c>
      <c r="B773" s="1" t="s">
        <v>40</v>
      </c>
      <c r="C773" s="1" t="s">
        <v>1360</v>
      </c>
      <c r="D773" s="2" t="s">
        <v>42</v>
      </c>
      <c r="E773" s="2" t="s">
        <v>1023</v>
      </c>
      <c r="F773" s="2" t="s">
        <v>1025</v>
      </c>
      <c r="G773" s="4" t="s">
        <v>1492</v>
      </c>
      <c r="H773" s="2">
        <v>11</v>
      </c>
      <c r="I773" s="3" t="s">
        <v>1361</v>
      </c>
      <c r="J773" s="2" t="s">
        <v>1360</v>
      </c>
      <c r="K773" s="2" t="s">
        <v>1015</v>
      </c>
      <c r="L773" s="2" t="s">
        <v>1719</v>
      </c>
      <c r="M773" s="2" t="s">
        <v>1690</v>
      </c>
      <c r="S773" s="6" t="b">
        <f>C773='Plano de Contas'!C773</f>
        <v>1</v>
      </c>
    </row>
    <row r="774" spans="1:19" x14ac:dyDescent="0.2">
      <c r="A774" s="18" t="s">
        <v>2539</v>
      </c>
      <c r="B774" s="2" t="s">
        <v>54</v>
      </c>
      <c r="C774" s="2" t="s">
        <v>1363</v>
      </c>
      <c r="D774" s="2" t="s">
        <v>42</v>
      </c>
      <c r="E774" s="2" t="s">
        <v>1023</v>
      </c>
      <c r="F774" s="2" t="s">
        <v>1025</v>
      </c>
      <c r="G774" s="4" t="s">
        <v>1492</v>
      </c>
      <c r="H774" s="2">
        <v>16</v>
      </c>
      <c r="I774" s="3" t="s">
        <v>1492</v>
      </c>
      <c r="J774" s="2" t="s">
        <v>1360</v>
      </c>
      <c r="K774" s="2" t="s">
        <v>1015</v>
      </c>
      <c r="L774" s="2" t="s">
        <v>1719</v>
      </c>
      <c r="M774" s="2" t="s">
        <v>1690</v>
      </c>
      <c r="S774" s="6" t="b">
        <f>C774='Plano de Contas'!C774</f>
        <v>1</v>
      </c>
    </row>
    <row r="775" spans="1:19" x14ac:dyDescent="0.2">
      <c r="A775" s="18" t="s">
        <v>2540</v>
      </c>
      <c r="B775" s="2" t="s">
        <v>54</v>
      </c>
      <c r="C775" s="2" t="s">
        <v>1365</v>
      </c>
      <c r="D775" s="2" t="s">
        <v>42</v>
      </c>
      <c r="E775" s="2" t="s">
        <v>1023</v>
      </c>
      <c r="F775" s="2" t="s">
        <v>1025</v>
      </c>
      <c r="G775" s="4" t="s">
        <v>1492</v>
      </c>
      <c r="H775" s="2">
        <v>16</v>
      </c>
      <c r="I775" s="3" t="s">
        <v>1492</v>
      </c>
      <c r="J775" s="2" t="s">
        <v>1360</v>
      </c>
      <c r="K775" s="2" t="s">
        <v>1015</v>
      </c>
      <c r="L775" s="2" t="s">
        <v>1719</v>
      </c>
      <c r="M775" s="2" t="s">
        <v>1690</v>
      </c>
      <c r="S775" s="6" t="b">
        <f>C775='Plano de Contas'!C775</f>
        <v>1</v>
      </c>
    </row>
    <row r="776" spans="1:19" x14ac:dyDescent="0.2">
      <c r="A776" s="18" t="s">
        <v>2541</v>
      </c>
      <c r="B776" s="2" t="s">
        <v>54</v>
      </c>
      <c r="C776" s="2" t="s">
        <v>1367</v>
      </c>
      <c r="D776" s="2" t="s">
        <v>42</v>
      </c>
      <c r="E776" s="2" t="s">
        <v>1023</v>
      </c>
      <c r="F776" s="2" t="s">
        <v>1025</v>
      </c>
      <c r="G776" s="4" t="s">
        <v>1492</v>
      </c>
      <c r="H776" s="2">
        <v>16</v>
      </c>
      <c r="I776" s="3" t="s">
        <v>1492</v>
      </c>
      <c r="J776" s="2" t="s">
        <v>1360</v>
      </c>
      <c r="K776" s="2" t="s">
        <v>1015</v>
      </c>
      <c r="L776" s="2" t="s">
        <v>1719</v>
      </c>
      <c r="M776" s="2" t="s">
        <v>1690</v>
      </c>
      <c r="S776" s="6" t="b">
        <f>C776='Plano de Contas'!C776</f>
        <v>1</v>
      </c>
    </row>
    <row r="777" spans="1:19" x14ac:dyDescent="0.2">
      <c r="A777" s="17" t="s">
        <v>2542</v>
      </c>
      <c r="B777" s="1" t="s">
        <v>40</v>
      </c>
      <c r="C777" s="1" t="s">
        <v>1369</v>
      </c>
      <c r="D777" s="2" t="s">
        <v>42</v>
      </c>
      <c r="E777" s="2" t="s">
        <v>1023</v>
      </c>
      <c r="F777" s="2" t="s">
        <v>1025</v>
      </c>
      <c r="G777" s="4" t="s">
        <v>1492</v>
      </c>
      <c r="H777" s="2">
        <v>8</v>
      </c>
      <c r="I777" s="3" t="s">
        <v>1492</v>
      </c>
      <c r="J777" s="2" t="s">
        <v>1369</v>
      </c>
      <c r="K777" s="2" t="s">
        <v>1015</v>
      </c>
      <c r="L777" s="2" t="s">
        <v>1719</v>
      </c>
      <c r="M777" s="2" t="s">
        <v>1583</v>
      </c>
      <c r="S777" s="6" t="b">
        <f>C777='Plano de Contas'!C777</f>
        <v>1</v>
      </c>
    </row>
    <row r="778" spans="1:19" x14ac:dyDescent="0.2">
      <c r="A778" s="17" t="s">
        <v>2543</v>
      </c>
      <c r="B778" s="1" t="s">
        <v>40</v>
      </c>
      <c r="C778" s="1" t="s">
        <v>1369</v>
      </c>
      <c r="D778" s="2" t="s">
        <v>42</v>
      </c>
      <c r="E778" s="2" t="s">
        <v>1023</v>
      </c>
      <c r="F778" s="2" t="s">
        <v>1025</v>
      </c>
      <c r="G778" s="4" t="s">
        <v>1492</v>
      </c>
      <c r="H778" s="2">
        <v>11</v>
      </c>
      <c r="I778" s="3" t="s">
        <v>1370</v>
      </c>
      <c r="J778" s="2" t="s">
        <v>1369</v>
      </c>
      <c r="K778" s="2" t="s">
        <v>1015</v>
      </c>
      <c r="L778" s="2" t="s">
        <v>1719</v>
      </c>
      <c r="M778" s="2" t="s">
        <v>1583</v>
      </c>
      <c r="S778" s="6" t="b">
        <f>C778='Plano de Contas'!C778</f>
        <v>1</v>
      </c>
    </row>
    <row r="779" spans="1:19" x14ac:dyDescent="0.2">
      <c r="A779" s="18" t="s">
        <v>2544</v>
      </c>
      <c r="B779" s="2" t="s">
        <v>54</v>
      </c>
      <c r="C779" s="2" t="s">
        <v>1369</v>
      </c>
      <c r="D779" s="2" t="s">
        <v>42</v>
      </c>
      <c r="E779" s="2" t="s">
        <v>1023</v>
      </c>
      <c r="F779" s="2" t="s">
        <v>1025</v>
      </c>
      <c r="G779" s="4" t="s">
        <v>1492</v>
      </c>
      <c r="H779" s="2">
        <v>16</v>
      </c>
      <c r="I779" s="3" t="s">
        <v>1492</v>
      </c>
      <c r="J779" s="2" t="s">
        <v>1369</v>
      </c>
      <c r="K779" s="2" t="s">
        <v>1015</v>
      </c>
      <c r="L779" s="2" t="s">
        <v>1719</v>
      </c>
      <c r="M779" s="2" t="s">
        <v>1583</v>
      </c>
      <c r="S779" s="6" t="b">
        <f>C779='Plano de Contas'!C779</f>
        <v>1</v>
      </c>
    </row>
    <row r="780" spans="1:19" x14ac:dyDescent="0.2">
      <c r="A780" s="18" t="s">
        <v>2545</v>
      </c>
      <c r="B780" s="2" t="s">
        <v>54</v>
      </c>
      <c r="C780" s="2" t="s">
        <v>1373</v>
      </c>
      <c r="D780" s="2" t="s">
        <v>42</v>
      </c>
      <c r="E780" s="2" t="s">
        <v>1023</v>
      </c>
      <c r="F780" s="2" t="s">
        <v>1025</v>
      </c>
      <c r="G780" s="4" t="s">
        <v>1492</v>
      </c>
      <c r="H780" s="2">
        <v>16</v>
      </c>
      <c r="I780" s="3" t="s">
        <v>1492</v>
      </c>
      <c r="J780" s="2" t="s">
        <v>1369</v>
      </c>
      <c r="K780" s="2" t="s">
        <v>1015</v>
      </c>
      <c r="L780" s="2" t="s">
        <v>1719</v>
      </c>
      <c r="M780" s="2" t="s">
        <v>1583</v>
      </c>
      <c r="S780" s="6" t="b">
        <f>C780='Plano de Contas'!C780</f>
        <v>1</v>
      </c>
    </row>
    <row r="781" spans="1:19" x14ac:dyDescent="0.2">
      <c r="A781" s="40" t="s">
        <v>2546</v>
      </c>
      <c r="B781" s="15" t="s">
        <v>40</v>
      </c>
      <c r="C781" s="15" t="s">
        <v>1375</v>
      </c>
      <c r="D781" s="12" t="s">
        <v>42</v>
      </c>
      <c r="E781" s="12" t="s">
        <v>1023</v>
      </c>
      <c r="F781" s="12" t="s">
        <v>1025</v>
      </c>
      <c r="G781" s="37" t="s">
        <v>1492</v>
      </c>
      <c r="H781" s="12">
        <v>8</v>
      </c>
      <c r="I781" s="38" t="s">
        <v>1492</v>
      </c>
      <c r="J781" s="12" t="s">
        <v>1375</v>
      </c>
      <c r="K781" s="12" t="s">
        <v>1015</v>
      </c>
      <c r="L781" s="12" t="s">
        <v>1582</v>
      </c>
      <c r="M781" s="12" t="s">
        <v>1582</v>
      </c>
      <c r="N781" s="39"/>
      <c r="S781" s="6" t="b">
        <f>C781='Plano de Contas'!C781</f>
        <v>1</v>
      </c>
    </row>
    <row r="782" spans="1:19" x14ac:dyDescent="0.2">
      <c r="A782" s="40" t="s">
        <v>2547</v>
      </c>
      <c r="B782" s="15" t="s">
        <v>40</v>
      </c>
      <c r="C782" s="15" t="s">
        <v>1375</v>
      </c>
      <c r="D782" s="12" t="s">
        <v>42</v>
      </c>
      <c r="E782" s="12" t="s">
        <v>1023</v>
      </c>
      <c r="F782" s="12" t="s">
        <v>1025</v>
      </c>
      <c r="G782" s="37" t="s">
        <v>1492</v>
      </c>
      <c r="H782" s="12">
        <v>11</v>
      </c>
      <c r="I782" s="38" t="s">
        <v>1376</v>
      </c>
      <c r="J782" s="12" t="s">
        <v>1375</v>
      </c>
      <c r="K782" s="12" t="s">
        <v>1015</v>
      </c>
      <c r="L782" s="12" t="s">
        <v>1582</v>
      </c>
      <c r="M782" s="12" t="s">
        <v>1582</v>
      </c>
      <c r="N782" s="39"/>
      <c r="S782" s="6" t="b">
        <f>C782='Plano de Contas'!C782</f>
        <v>1</v>
      </c>
    </row>
    <row r="783" spans="1:19" x14ac:dyDescent="0.2">
      <c r="A783" s="41" t="s">
        <v>2548</v>
      </c>
      <c r="B783" s="12" t="s">
        <v>54</v>
      </c>
      <c r="C783" s="12" t="s">
        <v>1378</v>
      </c>
      <c r="D783" s="12" t="s">
        <v>42</v>
      </c>
      <c r="E783" s="12" t="s">
        <v>1023</v>
      </c>
      <c r="F783" s="12" t="s">
        <v>1025</v>
      </c>
      <c r="G783" s="37" t="s">
        <v>1492</v>
      </c>
      <c r="H783" s="12">
        <v>16</v>
      </c>
      <c r="I783" s="38" t="s">
        <v>1492</v>
      </c>
      <c r="J783" s="12" t="s">
        <v>1375</v>
      </c>
      <c r="K783" s="12" t="s">
        <v>1015</v>
      </c>
      <c r="L783" s="12" t="s">
        <v>1582</v>
      </c>
      <c r="M783" s="12" t="s">
        <v>1679</v>
      </c>
      <c r="N783" s="39"/>
      <c r="S783" s="6" t="b">
        <f>C783='Plano de Contas'!C783</f>
        <v>1</v>
      </c>
    </row>
    <row r="784" spans="1:19" x14ac:dyDescent="0.2">
      <c r="A784" s="41" t="s">
        <v>2549</v>
      </c>
      <c r="B784" s="12" t="s">
        <v>54</v>
      </c>
      <c r="C784" s="12" t="s">
        <v>1380</v>
      </c>
      <c r="D784" s="12" t="s">
        <v>42</v>
      </c>
      <c r="E784" s="12" t="s">
        <v>1023</v>
      </c>
      <c r="F784" s="12" t="s">
        <v>1025</v>
      </c>
      <c r="G784" s="37" t="s">
        <v>1492</v>
      </c>
      <c r="H784" s="12">
        <v>16</v>
      </c>
      <c r="I784" s="38" t="s">
        <v>1492</v>
      </c>
      <c r="J784" s="12" t="s">
        <v>1375</v>
      </c>
      <c r="K784" s="12" t="s">
        <v>1015</v>
      </c>
      <c r="L784" s="12" t="s">
        <v>1582</v>
      </c>
      <c r="M784" s="12" t="s">
        <v>3101</v>
      </c>
      <c r="N784" s="39"/>
      <c r="S784" s="6" t="b">
        <f>C784='Plano de Contas'!C784</f>
        <v>1</v>
      </c>
    </row>
    <row r="785" spans="1:19" x14ac:dyDescent="0.2">
      <c r="A785" s="41" t="s">
        <v>2550</v>
      </c>
      <c r="B785" s="12" t="s">
        <v>54</v>
      </c>
      <c r="C785" s="12" t="s">
        <v>1382</v>
      </c>
      <c r="D785" s="12" t="s">
        <v>42</v>
      </c>
      <c r="E785" s="12" t="s">
        <v>1023</v>
      </c>
      <c r="F785" s="12" t="s">
        <v>1025</v>
      </c>
      <c r="G785" s="37" t="s">
        <v>1492</v>
      </c>
      <c r="H785" s="12">
        <v>16</v>
      </c>
      <c r="I785" s="38" t="s">
        <v>1492</v>
      </c>
      <c r="J785" s="12" t="s">
        <v>1375</v>
      </c>
      <c r="K785" s="12" t="s">
        <v>1015</v>
      </c>
      <c r="L785" s="12" t="s">
        <v>1582</v>
      </c>
      <c r="M785" s="12" t="s">
        <v>3102</v>
      </c>
      <c r="N785" s="39"/>
      <c r="S785" s="6" t="b">
        <f>C785='Plano de Contas'!C785</f>
        <v>1</v>
      </c>
    </row>
    <row r="786" spans="1:19" x14ac:dyDescent="0.2">
      <c r="A786" s="17" t="s">
        <v>2551</v>
      </c>
      <c r="B786" s="1" t="s">
        <v>40</v>
      </c>
      <c r="C786" s="1" t="s">
        <v>1384</v>
      </c>
      <c r="D786" s="2" t="s">
        <v>42</v>
      </c>
      <c r="E786" s="2" t="s">
        <v>1023</v>
      </c>
      <c r="F786" s="2" t="s">
        <v>1025</v>
      </c>
      <c r="G786" s="4" t="s">
        <v>1492</v>
      </c>
      <c r="H786" s="2">
        <v>5</v>
      </c>
      <c r="I786" s="3" t="s">
        <v>1492</v>
      </c>
      <c r="J786" s="2" t="s">
        <v>1384</v>
      </c>
      <c r="K786" s="2" t="s">
        <v>2767</v>
      </c>
      <c r="L786" s="2" t="s">
        <v>1385</v>
      </c>
      <c r="S786" s="6" t="b">
        <f>C786='Plano de Contas'!C786</f>
        <v>1</v>
      </c>
    </row>
    <row r="787" spans="1:19" x14ac:dyDescent="0.2">
      <c r="A787" s="17" t="s">
        <v>2552</v>
      </c>
      <c r="B787" s="1" t="s">
        <v>40</v>
      </c>
      <c r="C787" s="1" t="s">
        <v>1387</v>
      </c>
      <c r="D787" s="2" t="s">
        <v>42</v>
      </c>
      <c r="E787" s="2" t="s">
        <v>1023</v>
      </c>
      <c r="F787" s="2" t="s">
        <v>1025</v>
      </c>
      <c r="G787" s="4" t="s">
        <v>1492</v>
      </c>
      <c r="H787" s="2">
        <v>8</v>
      </c>
      <c r="I787" s="3" t="s">
        <v>1492</v>
      </c>
      <c r="J787" s="2" t="s">
        <v>1387</v>
      </c>
      <c r="K787" s="2" t="s">
        <v>2767</v>
      </c>
      <c r="L787" s="2" t="s">
        <v>1385</v>
      </c>
      <c r="S787" s="6" t="b">
        <f>C787='Plano de Contas'!C787</f>
        <v>1</v>
      </c>
    </row>
    <row r="788" spans="1:19" x14ac:dyDescent="0.2">
      <c r="A788" s="17" t="s">
        <v>2553</v>
      </c>
      <c r="B788" s="1" t="s">
        <v>40</v>
      </c>
      <c r="C788" s="1" t="s">
        <v>169</v>
      </c>
      <c r="D788" s="2" t="s">
        <v>42</v>
      </c>
      <c r="E788" s="2" t="s">
        <v>1023</v>
      </c>
      <c r="F788" s="2" t="s">
        <v>1025</v>
      </c>
      <c r="G788" s="4" t="s">
        <v>1492</v>
      </c>
      <c r="H788" s="2">
        <v>11</v>
      </c>
      <c r="I788" s="3" t="s">
        <v>1388</v>
      </c>
      <c r="J788" s="2" t="s">
        <v>169</v>
      </c>
      <c r="K788" s="2" t="s">
        <v>2767</v>
      </c>
      <c r="L788" s="2" t="s">
        <v>1385</v>
      </c>
      <c r="S788" s="6" t="b">
        <f>C788='Plano de Contas'!C788</f>
        <v>1</v>
      </c>
    </row>
    <row r="789" spans="1:19" x14ac:dyDescent="0.2">
      <c r="A789" s="18" t="s">
        <v>2554</v>
      </c>
      <c r="B789" s="2" t="s">
        <v>54</v>
      </c>
      <c r="C789" s="2" t="s">
        <v>1390</v>
      </c>
      <c r="D789" s="2" t="s">
        <v>42</v>
      </c>
      <c r="E789" s="2" t="s">
        <v>1023</v>
      </c>
      <c r="F789" s="2" t="s">
        <v>1025</v>
      </c>
      <c r="G789" s="4" t="s">
        <v>1492</v>
      </c>
      <c r="H789" s="2">
        <v>16</v>
      </c>
      <c r="I789" s="3" t="s">
        <v>1492</v>
      </c>
      <c r="J789" s="2" t="s">
        <v>169</v>
      </c>
      <c r="K789" s="2" t="s">
        <v>2767</v>
      </c>
      <c r="L789" s="2" t="s">
        <v>1385</v>
      </c>
      <c r="M789" s="10" t="s">
        <v>1568</v>
      </c>
      <c r="S789" s="6" t="b">
        <f>C789='Plano de Contas'!C789</f>
        <v>1</v>
      </c>
    </row>
    <row r="790" spans="1:19" x14ac:dyDescent="0.2">
      <c r="A790" s="18" t="s">
        <v>2555</v>
      </c>
      <c r="B790" s="2" t="s">
        <v>54</v>
      </c>
      <c r="C790" s="2" t="s">
        <v>1392</v>
      </c>
      <c r="D790" s="2" t="s">
        <v>42</v>
      </c>
      <c r="E790" s="2" t="s">
        <v>1023</v>
      </c>
      <c r="F790" s="2" t="s">
        <v>1025</v>
      </c>
      <c r="G790" s="4" t="s">
        <v>1492</v>
      </c>
      <c r="H790" s="2">
        <v>16</v>
      </c>
      <c r="I790" s="3" t="s">
        <v>1492</v>
      </c>
      <c r="J790" s="2" t="s">
        <v>169</v>
      </c>
      <c r="K790" s="2" t="s">
        <v>2767</v>
      </c>
      <c r="L790" s="2" t="s">
        <v>1385</v>
      </c>
      <c r="M790" s="10" t="s">
        <v>1571</v>
      </c>
      <c r="S790" s="6" t="b">
        <f>C790='Plano de Contas'!C790</f>
        <v>1</v>
      </c>
    </row>
    <row r="791" spans="1:19" x14ac:dyDescent="0.2">
      <c r="A791" s="17" t="s">
        <v>2556</v>
      </c>
      <c r="B791" s="1" t="s">
        <v>40</v>
      </c>
      <c r="C791" s="1" t="s">
        <v>1394</v>
      </c>
      <c r="D791" s="2" t="s">
        <v>42</v>
      </c>
      <c r="E791" s="2" t="s">
        <v>1023</v>
      </c>
      <c r="F791" s="2" t="s">
        <v>1025</v>
      </c>
      <c r="G791" s="4" t="s">
        <v>1492</v>
      </c>
      <c r="H791" s="2">
        <v>11</v>
      </c>
      <c r="I791" s="3" t="s">
        <v>1393</v>
      </c>
      <c r="J791" s="2" t="s">
        <v>1394</v>
      </c>
      <c r="K791" s="2" t="s">
        <v>2767</v>
      </c>
      <c r="L791" s="2" t="s">
        <v>1385</v>
      </c>
      <c r="M791" s="10" t="s">
        <v>1570</v>
      </c>
      <c r="S791" s="6" t="b">
        <f>C791='Plano de Contas'!C791</f>
        <v>1</v>
      </c>
    </row>
    <row r="792" spans="1:19" x14ac:dyDescent="0.2">
      <c r="A792" s="18" t="s">
        <v>2557</v>
      </c>
      <c r="B792" s="2" t="s">
        <v>54</v>
      </c>
      <c r="C792" s="2" t="s">
        <v>1396</v>
      </c>
      <c r="D792" s="2" t="s">
        <v>42</v>
      </c>
      <c r="E792" s="2" t="s">
        <v>1023</v>
      </c>
      <c r="F792" s="2" t="s">
        <v>1025</v>
      </c>
      <c r="G792" s="4" t="s">
        <v>1492</v>
      </c>
      <c r="H792" s="2">
        <v>16</v>
      </c>
      <c r="I792" s="3" t="s">
        <v>1492</v>
      </c>
      <c r="J792" s="2" t="s">
        <v>1394</v>
      </c>
      <c r="K792" s="2" t="s">
        <v>2767</v>
      </c>
      <c r="L792" s="2" t="s">
        <v>1385</v>
      </c>
      <c r="M792" s="10" t="s">
        <v>1570</v>
      </c>
      <c r="S792" s="6" t="b">
        <f>C792='Plano de Contas'!C792</f>
        <v>1</v>
      </c>
    </row>
    <row r="793" spans="1:19" x14ac:dyDescent="0.2">
      <c r="A793" s="18" t="s">
        <v>2558</v>
      </c>
      <c r="B793" s="2" t="s">
        <v>54</v>
      </c>
      <c r="C793" s="2" t="s">
        <v>1398</v>
      </c>
      <c r="D793" s="2" t="s">
        <v>42</v>
      </c>
      <c r="E793" s="2" t="s">
        <v>1023</v>
      </c>
      <c r="F793" s="2" t="s">
        <v>1025</v>
      </c>
      <c r="G793" s="4" t="s">
        <v>1492</v>
      </c>
      <c r="H793" s="2">
        <v>16</v>
      </c>
      <c r="I793" s="3" t="s">
        <v>1492</v>
      </c>
      <c r="J793" s="2" t="s">
        <v>1394</v>
      </c>
      <c r="K793" s="2" t="s">
        <v>2767</v>
      </c>
      <c r="L793" s="2" t="s">
        <v>1385</v>
      </c>
      <c r="M793" s="10" t="s">
        <v>1570</v>
      </c>
      <c r="S793" s="6" t="b">
        <f>C793='Plano de Contas'!C793</f>
        <v>1</v>
      </c>
    </row>
    <row r="794" spans="1:19" x14ac:dyDescent="0.2">
      <c r="A794" s="18" t="s">
        <v>2559</v>
      </c>
      <c r="B794" s="2" t="s">
        <v>54</v>
      </c>
      <c r="C794" s="2" t="s">
        <v>1400</v>
      </c>
      <c r="D794" s="2" t="s">
        <v>42</v>
      </c>
      <c r="E794" s="2" t="s">
        <v>1023</v>
      </c>
      <c r="F794" s="2" t="s">
        <v>1025</v>
      </c>
      <c r="G794" s="4" t="s">
        <v>1492</v>
      </c>
      <c r="H794" s="2">
        <v>16</v>
      </c>
      <c r="I794" s="3" t="s">
        <v>1492</v>
      </c>
      <c r="J794" s="2" t="s">
        <v>1394</v>
      </c>
      <c r="K794" s="2" t="s">
        <v>2767</v>
      </c>
      <c r="L794" s="2" t="s">
        <v>1385</v>
      </c>
      <c r="M794" s="10" t="s">
        <v>1570</v>
      </c>
      <c r="S794" s="6" t="b">
        <f>C794='Plano de Contas'!C794</f>
        <v>1</v>
      </c>
    </row>
    <row r="795" spans="1:19" x14ac:dyDescent="0.2">
      <c r="A795" s="18" t="s">
        <v>2560</v>
      </c>
      <c r="B795" s="2" t="s">
        <v>54</v>
      </c>
      <c r="C795" s="2" t="s">
        <v>1402</v>
      </c>
      <c r="D795" s="2" t="s">
        <v>42</v>
      </c>
      <c r="E795" s="2" t="s">
        <v>1023</v>
      </c>
      <c r="F795" s="2" t="s">
        <v>1025</v>
      </c>
      <c r="G795" s="4" t="s">
        <v>1492</v>
      </c>
      <c r="H795" s="2">
        <v>16</v>
      </c>
      <c r="I795" s="3" t="s">
        <v>1492</v>
      </c>
      <c r="J795" s="2" t="s">
        <v>1394</v>
      </c>
      <c r="K795" s="2" t="s">
        <v>2767</v>
      </c>
      <c r="L795" s="2" t="s">
        <v>1385</v>
      </c>
      <c r="M795" s="10" t="s">
        <v>1570</v>
      </c>
      <c r="S795" s="6" t="b">
        <f>C795='Plano de Contas'!C795</f>
        <v>1</v>
      </c>
    </row>
    <row r="796" spans="1:19" x14ac:dyDescent="0.2">
      <c r="A796" s="18" t="s">
        <v>2561</v>
      </c>
      <c r="B796" s="2" t="s">
        <v>54</v>
      </c>
      <c r="C796" s="2" t="s">
        <v>1404</v>
      </c>
      <c r="D796" s="2" t="s">
        <v>42</v>
      </c>
      <c r="E796" s="2" t="s">
        <v>1023</v>
      </c>
      <c r="F796" s="2" t="s">
        <v>1025</v>
      </c>
      <c r="G796" s="4" t="s">
        <v>1492</v>
      </c>
      <c r="H796" s="2">
        <v>16</v>
      </c>
      <c r="I796" s="3" t="s">
        <v>1492</v>
      </c>
      <c r="J796" s="2" t="s">
        <v>1394</v>
      </c>
      <c r="K796" s="2" t="s">
        <v>2767</v>
      </c>
      <c r="L796" s="2" t="s">
        <v>1385</v>
      </c>
      <c r="M796" s="10" t="s">
        <v>1570</v>
      </c>
      <c r="S796" s="6" t="b">
        <f>C796='Plano de Contas'!C796</f>
        <v>1</v>
      </c>
    </row>
    <row r="797" spans="1:19" x14ac:dyDescent="0.2">
      <c r="A797" s="17" t="s">
        <v>2562</v>
      </c>
      <c r="B797" s="1" t="s">
        <v>40</v>
      </c>
      <c r="C797" s="1" t="s">
        <v>1406</v>
      </c>
      <c r="D797" s="2" t="s">
        <v>42</v>
      </c>
      <c r="E797" s="2" t="s">
        <v>1023</v>
      </c>
      <c r="F797" s="2" t="s">
        <v>1025</v>
      </c>
      <c r="G797" s="4" t="s">
        <v>1492</v>
      </c>
      <c r="H797" s="2">
        <v>8</v>
      </c>
      <c r="I797" s="3" t="s">
        <v>1492</v>
      </c>
      <c r="J797" s="2" t="s">
        <v>1406</v>
      </c>
      <c r="K797" s="2" t="s">
        <v>2767</v>
      </c>
      <c r="L797" s="2" t="s">
        <v>1385</v>
      </c>
      <c r="M797" s="10" t="s">
        <v>1571</v>
      </c>
      <c r="S797" s="6" t="b">
        <f>C797='Plano de Contas'!C797</f>
        <v>1</v>
      </c>
    </row>
    <row r="798" spans="1:19" x14ac:dyDescent="0.2">
      <c r="A798" s="17" t="s">
        <v>2563</v>
      </c>
      <c r="B798" s="1" t="s">
        <v>40</v>
      </c>
      <c r="C798" s="1" t="s">
        <v>1406</v>
      </c>
      <c r="D798" s="2" t="s">
        <v>42</v>
      </c>
      <c r="E798" s="2" t="s">
        <v>1023</v>
      </c>
      <c r="F798" s="2" t="s">
        <v>1025</v>
      </c>
      <c r="G798" s="4" t="s">
        <v>1492</v>
      </c>
      <c r="H798" s="2">
        <v>11</v>
      </c>
      <c r="I798" s="3" t="s">
        <v>1407</v>
      </c>
      <c r="J798" s="2" t="s">
        <v>1406</v>
      </c>
      <c r="K798" s="2" t="s">
        <v>2767</v>
      </c>
      <c r="L798" s="2" t="s">
        <v>1385</v>
      </c>
      <c r="M798" s="10" t="s">
        <v>1571</v>
      </c>
      <c r="S798" s="6" t="b">
        <f>C798='Plano de Contas'!C798</f>
        <v>1</v>
      </c>
    </row>
    <row r="799" spans="1:19" x14ac:dyDescent="0.2">
      <c r="A799" s="18" t="s">
        <v>2564</v>
      </c>
      <c r="B799" s="2" t="s">
        <v>54</v>
      </c>
      <c r="C799" s="2" t="s">
        <v>1409</v>
      </c>
      <c r="D799" s="2" t="s">
        <v>42</v>
      </c>
      <c r="E799" s="2" t="s">
        <v>1023</v>
      </c>
      <c r="F799" s="2" t="s">
        <v>1025</v>
      </c>
      <c r="G799" s="4" t="s">
        <v>1492</v>
      </c>
      <c r="H799" s="2">
        <v>16</v>
      </c>
      <c r="I799" s="3" t="s">
        <v>1492</v>
      </c>
      <c r="J799" s="2" t="s">
        <v>1406</v>
      </c>
      <c r="K799" s="2" t="s">
        <v>2767</v>
      </c>
      <c r="L799" s="2" t="s">
        <v>1385</v>
      </c>
      <c r="M799" s="10" t="s">
        <v>1571</v>
      </c>
      <c r="S799" s="6" t="b">
        <f>C799='Plano de Contas'!C799</f>
        <v>1</v>
      </c>
    </row>
    <row r="800" spans="1:19" x14ac:dyDescent="0.2">
      <c r="A800" s="17" t="s">
        <v>2565</v>
      </c>
      <c r="B800" s="1" t="s">
        <v>40</v>
      </c>
      <c r="C800" s="1" t="s">
        <v>1411</v>
      </c>
      <c r="D800" s="2" t="s">
        <v>42</v>
      </c>
      <c r="E800" s="2" t="s">
        <v>1023</v>
      </c>
      <c r="F800" s="2" t="s">
        <v>1025</v>
      </c>
      <c r="G800" s="4" t="s">
        <v>1492</v>
      </c>
      <c r="H800" s="2">
        <v>8</v>
      </c>
      <c r="I800" s="3" t="s">
        <v>1492</v>
      </c>
      <c r="J800" s="2" t="s">
        <v>1411</v>
      </c>
      <c r="K800" s="2" t="s">
        <v>2767</v>
      </c>
      <c r="L800" s="2" t="s">
        <v>1385</v>
      </c>
      <c r="M800" s="10" t="s">
        <v>1571</v>
      </c>
      <c r="S800" s="6" t="b">
        <f>C800='Plano de Contas'!C800</f>
        <v>1</v>
      </c>
    </row>
    <row r="801" spans="1:19" x14ac:dyDescent="0.2">
      <c r="A801" s="17" t="s">
        <v>2566</v>
      </c>
      <c r="B801" s="1" t="s">
        <v>40</v>
      </c>
      <c r="C801" s="1" t="s">
        <v>1411</v>
      </c>
      <c r="D801" s="2" t="s">
        <v>42</v>
      </c>
      <c r="E801" s="2" t="s">
        <v>1023</v>
      </c>
      <c r="F801" s="2" t="s">
        <v>1025</v>
      </c>
      <c r="G801" s="4" t="s">
        <v>1492</v>
      </c>
      <c r="H801" s="2">
        <v>11</v>
      </c>
      <c r="I801" s="3" t="s">
        <v>1412</v>
      </c>
      <c r="J801" s="2" t="s">
        <v>1411</v>
      </c>
      <c r="K801" s="2" t="s">
        <v>2767</v>
      </c>
      <c r="L801" s="2" t="s">
        <v>1385</v>
      </c>
      <c r="M801" s="10" t="s">
        <v>1571</v>
      </c>
      <c r="S801" s="6" t="b">
        <f>C801='Plano de Contas'!C801</f>
        <v>1</v>
      </c>
    </row>
    <row r="802" spans="1:19" x14ac:dyDescent="0.2">
      <c r="A802" s="18" t="s">
        <v>2567</v>
      </c>
      <c r="B802" s="2" t="s">
        <v>54</v>
      </c>
      <c r="C802" s="2" t="s">
        <v>1414</v>
      </c>
      <c r="D802" s="2" t="s">
        <v>42</v>
      </c>
      <c r="E802" s="2" t="s">
        <v>1023</v>
      </c>
      <c r="F802" s="2" t="s">
        <v>1025</v>
      </c>
      <c r="G802" s="4" t="s">
        <v>1492</v>
      </c>
      <c r="H802" s="2">
        <v>16</v>
      </c>
      <c r="I802" s="3" t="s">
        <v>1492</v>
      </c>
      <c r="J802" s="2" t="s">
        <v>1411</v>
      </c>
      <c r="K802" s="2" t="s">
        <v>2767</v>
      </c>
      <c r="L802" s="2" t="s">
        <v>1385</v>
      </c>
      <c r="M802" s="10" t="s">
        <v>1571</v>
      </c>
      <c r="S802" s="6" t="b">
        <f>C802='Plano de Contas'!C802</f>
        <v>1</v>
      </c>
    </row>
    <row r="803" spans="1:19" x14ac:dyDescent="0.2">
      <c r="A803" s="18" t="s">
        <v>2568</v>
      </c>
      <c r="B803" s="2" t="s">
        <v>54</v>
      </c>
      <c r="C803" s="2" t="s">
        <v>1416</v>
      </c>
      <c r="D803" s="2" t="s">
        <v>42</v>
      </c>
      <c r="E803" s="2" t="s">
        <v>1023</v>
      </c>
      <c r="F803" s="2" t="s">
        <v>1025</v>
      </c>
      <c r="G803" s="4" t="s">
        <v>1492</v>
      </c>
      <c r="H803" s="2">
        <v>16</v>
      </c>
      <c r="I803" s="3" t="s">
        <v>1492</v>
      </c>
      <c r="J803" s="2" t="s">
        <v>1411</v>
      </c>
      <c r="K803" s="2" t="s">
        <v>2767</v>
      </c>
      <c r="L803" s="2" t="s">
        <v>1385</v>
      </c>
      <c r="M803" s="10" t="s">
        <v>1571</v>
      </c>
      <c r="S803" s="6" t="b">
        <f>C803='Plano de Contas'!C803</f>
        <v>1</v>
      </c>
    </row>
    <row r="804" spans="1:19" x14ac:dyDescent="0.2">
      <c r="A804" s="18" t="s">
        <v>2569</v>
      </c>
      <c r="B804" s="2" t="s">
        <v>54</v>
      </c>
      <c r="C804" s="2" t="s">
        <v>1418</v>
      </c>
      <c r="D804" s="2" t="s">
        <v>42</v>
      </c>
      <c r="E804" s="2" t="s">
        <v>1023</v>
      </c>
      <c r="F804" s="2" t="s">
        <v>1025</v>
      </c>
      <c r="G804" s="4" t="s">
        <v>1492</v>
      </c>
      <c r="H804" s="2">
        <v>16</v>
      </c>
      <c r="I804" s="3" t="s">
        <v>1492</v>
      </c>
      <c r="J804" s="2" t="s">
        <v>1411</v>
      </c>
      <c r="K804" s="2" t="s">
        <v>2767</v>
      </c>
      <c r="L804" s="2" t="s">
        <v>1385</v>
      </c>
      <c r="M804" s="10" t="s">
        <v>1571</v>
      </c>
      <c r="S804" s="6" t="b">
        <f>C804='Plano de Contas'!C804</f>
        <v>1</v>
      </c>
    </row>
    <row r="805" spans="1:19" x14ac:dyDescent="0.2">
      <c r="A805" s="18" t="s">
        <v>2570</v>
      </c>
      <c r="B805" s="2" t="s">
        <v>54</v>
      </c>
      <c r="C805" s="2" t="s">
        <v>1420</v>
      </c>
      <c r="D805" s="2" t="s">
        <v>42</v>
      </c>
      <c r="E805" s="2" t="s">
        <v>1023</v>
      </c>
      <c r="F805" s="2" t="s">
        <v>1025</v>
      </c>
      <c r="G805" s="4" t="s">
        <v>1492</v>
      </c>
      <c r="H805" s="2">
        <v>16</v>
      </c>
      <c r="I805" s="3" t="s">
        <v>1492</v>
      </c>
      <c r="J805" s="2" t="s">
        <v>1411</v>
      </c>
      <c r="K805" s="2" t="s">
        <v>2767</v>
      </c>
      <c r="L805" s="2" t="s">
        <v>1385</v>
      </c>
      <c r="M805" s="10" t="s">
        <v>1571</v>
      </c>
      <c r="S805" s="6" t="b">
        <f>C805='Plano de Contas'!C805</f>
        <v>1</v>
      </c>
    </row>
    <row r="806" spans="1:19" x14ac:dyDescent="0.2">
      <c r="A806" s="18" t="s">
        <v>2571</v>
      </c>
      <c r="B806" s="2" t="s">
        <v>54</v>
      </c>
      <c r="C806" s="2" t="s">
        <v>1422</v>
      </c>
      <c r="D806" s="2" t="s">
        <v>42</v>
      </c>
      <c r="E806" s="2" t="s">
        <v>1023</v>
      </c>
      <c r="F806" s="2" t="s">
        <v>1025</v>
      </c>
      <c r="G806" s="4" t="s">
        <v>1492</v>
      </c>
      <c r="H806" s="2">
        <v>16</v>
      </c>
      <c r="I806" s="3" t="s">
        <v>1492</v>
      </c>
      <c r="J806" s="2" t="s">
        <v>1411</v>
      </c>
      <c r="K806" s="2" t="s">
        <v>2767</v>
      </c>
      <c r="L806" s="2" t="s">
        <v>1385</v>
      </c>
      <c r="M806" s="6" t="s">
        <v>1572</v>
      </c>
      <c r="S806" s="6" t="b">
        <f>C806='Plano de Contas'!C806</f>
        <v>1</v>
      </c>
    </row>
    <row r="807" spans="1:19" x14ac:dyDescent="0.2">
      <c r="A807" s="18" t="s">
        <v>2572</v>
      </c>
      <c r="B807" s="2" t="s">
        <v>54</v>
      </c>
      <c r="C807" s="2" t="s">
        <v>1424</v>
      </c>
      <c r="D807" s="2" t="s">
        <v>42</v>
      </c>
      <c r="E807" s="2" t="s">
        <v>1023</v>
      </c>
      <c r="F807" s="2" t="s">
        <v>1025</v>
      </c>
      <c r="G807" s="4" t="s">
        <v>1492</v>
      </c>
      <c r="H807" s="2">
        <v>16</v>
      </c>
      <c r="I807" s="3" t="s">
        <v>1492</v>
      </c>
      <c r="J807" s="2" t="s">
        <v>1411</v>
      </c>
      <c r="K807" s="2" t="s">
        <v>2767</v>
      </c>
      <c r="L807" s="2" t="s">
        <v>1385</v>
      </c>
      <c r="M807" s="6" t="s">
        <v>1424</v>
      </c>
      <c r="S807" s="6" t="b">
        <f>C807='Plano de Contas'!C807</f>
        <v>1</v>
      </c>
    </row>
    <row r="808" spans="1:19" x14ac:dyDescent="0.2">
      <c r="A808" s="18" t="s">
        <v>2573</v>
      </c>
      <c r="B808" s="2" t="s">
        <v>54</v>
      </c>
      <c r="C808" s="2" t="s">
        <v>1426</v>
      </c>
      <c r="D808" s="2" t="s">
        <v>42</v>
      </c>
      <c r="E808" s="2" t="s">
        <v>1023</v>
      </c>
      <c r="F808" s="2" t="s">
        <v>1025</v>
      </c>
      <c r="G808" s="4" t="s">
        <v>1492</v>
      </c>
      <c r="H808" s="2">
        <v>16</v>
      </c>
      <c r="I808" s="3" t="s">
        <v>1492</v>
      </c>
      <c r="J808" s="2" t="s">
        <v>1411</v>
      </c>
      <c r="K808" s="2" t="s">
        <v>2767</v>
      </c>
      <c r="L808" s="2" t="s">
        <v>1385</v>
      </c>
      <c r="M808" s="10" t="s">
        <v>1569</v>
      </c>
      <c r="S808" s="6" t="b">
        <f>C808='Plano de Contas'!C808</f>
        <v>1</v>
      </c>
    </row>
    <row r="809" spans="1:19" x14ac:dyDescent="0.2">
      <c r="A809" s="18" t="s">
        <v>2574</v>
      </c>
      <c r="B809" s="2" t="s">
        <v>54</v>
      </c>
      <c r="C809" s="2" t="s">
        <v>1428</v>
      </c>
      <c r="D809" s="2" t="s">
        <v>42</v>
      </c>
      <c r="E809" s="2" t="s">
        <v>1023</v>
      </c>
      <c r="F809" s="2" t="s">
        <v>1025</v>
      </c>
      <c r="G809" s="4" t="s">
        <v>1492</v>
      </c>
      <c r="H809" s="2">
        <v>16</v>
      </c>
      <c r="I809" s="3" t="s">
        <v>1492</v>
      </c>
      <c r="J809" s="2" t="s">
        <v>1411</v>
      </c>
      <c r="K809" s="2" t="s">
        <v>2767</v>
      </c>
      <c r="L809" s="2" t="s">
        <v>1385</v>
      </c>
      <c r="M809" s="10" t="s">
        <v>1573</v>
      </c>
      <c r="S809" s="6" t="b">
        <f>C809='Plano de Contas'!C809</f>
        <v>1</v>
      </c>
    </row>
    <row r="810" spans="1:19" x14ac:dyDescent="0.2">
      <c r="A810" s="18" t="s">
        <v>2575</v>
      </c>
      <c r="B810" s="2" t="s">
        <v>54</v>
      </c>
      <c r="C810" s="2" t="s">
        <v>1411</v>
      </c>
      <c r="D810" s="2" t="s">
        <v>42</v>
      </c>
      <c r="E810" s="2" t="s">
        <v>1023</v>
      </c>
      <c r="F810" s="2" t="s">
        <v>1025</v>
      </c>
      <c r="G810" s="4" t="s">
        <v>1492</v>
      </c>
      <c r="H810" s="2">
        <v>16</v>
      </c>
      <c r="I810" s="3" t="s">
        <v>1492</v>
      </c>
      <c r="J810" s="2" t="s">
        <v>1411</v>
      </c>
      <c r="K810" s="2" t="s">
        <v>2767</v>
      </c>
      <c r="L810" s="2" t="s">
        <v>1385</v>
      </c>
      <c r="M810" s="10" t="s">
        <v>1571</v>
      </c>
      <c r="S810" s="6" t="b">
        <f>C810='Plano de Contas'!C810</f>
        <v>1</v>
      </c>
    </row>
    <row r="811" spans="1:19" x14ac:dyDescent="0.2">
      <c r="A811" s="17" t="s">
        <v>2576</v>
      </c>
      <c r="B811" s="1" t="s">
        <v>40</v>
      </c>
      <c r="C811" s="1" t="s">
        <v>1431</v>
      </c>
      <c r="D811" s="2" t="s">
        <v>42</v>
      </c>
      <c r="E811" s="2" t="s">
        <v>1023</v>
      </c>
      <c r="F811" s="2" t="s">
        <v>1025</v>
      </c>
      <c r="G811" s="4" t="s">
        <v>1492</v>
      </c>
      <c r="H811" s="2">
        <v>8</v>
      </c>
      <c r="I811" s="3" t="s">
        <v>1492</v>
      </c>
      <c r="J811" s="2" t="s">
        <v>1431</v>
      </c>
      <c r="K811" s="2" t="s">
        <v>2767</v>
      </c>
      <c r="L811" s="2" t="s">
        <v>1385</v>
      </c>
      <c r="M811" s="10" t="s">
        <v>1571</v>
      </c>
      <c r="S811" s="6" t="b">
        <f>C811='Plano de Contas'!C811</f>
        <v>1</v>
      </c>
    </row>
    <row r="812" spans="1:19" x14ac:dyDescent="0.2">
      <c r="A812" s="17" t="s">
        <v>2577</v>
      </c>
      <c r="B812" s="1" t="s">
        <v>40</v>
      </c>
      <c r="C812" s="1" t="s">
        <v>1431</v>
      </c>
      <c r="D812" s="2" t="s">
        <v>42</v>
      </c>
      <c r="E812" s="2" t="s">
        <v>1023</v>
      </c>
      <c r="F812" s="2" t="s">
        <v>1025</v>
      </c>
      <c r="G812" s="4" t="s">
        <v>1492</v>
      </c>
      <c r="H812" s="2">
        <v>11</v>
      </c>
      <c r="I812" s="3" t="s">
        <v>1432</v>
      </c>
      <c r="J812" s="2" t="s">
        <v>1431</v>
      </c>
      <c r="K812" s="2" t="s">
        <v>2767</v>
      </c>
      <c r="L812" s="2" t="s">
        <v>1385</v>
      </c>
      <c r="M812" s="10" t="s">
        <v>1571</v>
      </c>
      <c r="S812" s="6" t="b">
        <f>C812='Plano de Contas'!C812</f>
        <v>1</v>
      </c>
    </row>
    <row r="813" spans="1:19" x14ac:dyDescent="0.2">
      <c r="A813" s="18" t="s">
        <v>2578</v>
      </c>
      <c r="B813" s="2" t="s">
        <v>54</v>
      </c>
      <c r="C813" s="2" t="s">
        <v>1434</v>
      </c>
      <c r="D813" s="2" t="s">
        <v>42</v>
      </c>
      <c r="E813" s="2" t="s">
        <v>1023</v>
      </c>
      <c r="F813" s="2" t="s">
        <v>1025</v>
      </c>
      <c r="G813" s="4" t="s">
        <v>1492</v>
      </c>
      <c r="H813" s="2">
        <v>16</v>
      </c>
      <c r="I813" s="3" t="s">
        <v>1492</v>
      </c>
      <c r="J813" s="2" t="s">
        <v>1431</v>
      </c>
      <c r="K813" s="2" t="s">
        <v>2767</v>
      </c>
      <c r="L813" s="2" t="s">
        <v>1385</v>
      </c>
      <c r="M813" s="10" t="s">
        <v>1571</v>
      </c>
      <c r="S813" s="6" t="b">
        <f>C813='Plano de Contas'!C813</f>
        <v>1</v>
      </c>
    </row>
    <row r="814" spans="1:19" x14ac:dyDescent="0.2">
      <c r="A814" s="18" t="s">
        <v>2579</v>
      </c>
      <c r="B814" s="2" t="s">
        <v>54</v>
      </c>
      <c r="C814" s="2" t="s">
        <v>1436</v>
      </c>
      <c r="D814" s="2" t="s">
        <v>42</v>
      </c>
      <c r="E814" s="2" t="s">
        <v>1023</v>
      </c>
      <c r="F814" s="2" t="s">
        <v>1025</v>
      </c>
      <c r="G814" s="4" t="s">
        <v>1492</v>
      </c>
      <c r="H814" s="2">
        <v>16</v>
      </c>
      <c r="I814" s="3" t="s">
        <v>1492</v>
      </c>
      <c r="J814" s="2" t="s">
        <v>1431</v>
      </c>
      <c r="K814" s="2" t="s">
        <v>2767</v>
      </c>
      <c r="L814" s="2" t="s">
        <v>1385</v>
      </c>
      <c r="M814" s="10" t="s">
        <v>1571</v>
      </c>
      <c r="S814" s="6" t="b">
        <f>C814='Plano de Contas'!C814</f>
        <v>1</v>
      </c>
    </row>
    <row r="815" spans="1:19" x14ac:dyDescent="0.2">
      <c r="A815" s="21" t="s">
        <v>2580</v>
      </c>
      <c r="B815" s="8" t="s">
        <v>40</v>
      </c>
      <c r="C815" s="8" t="s">
        <v>1438</v>
      </c>
      <c r="D815" s="3" t="s">
        <v>42</v>
      </c>
      <c r="E815" s="2" t="s">
        <v>1023</v>
      </c>
      <c r="F815" s="2" t="s">
        <v>1025</v>
      </c>
      <c r="G815" s="4" t="s">
        <v>1492</v>
      </c>
      <c r="H815" s="2">
        <v>8</v>
      </c>
      <c r="I815" s="3" t="s">
        <v>1492</v>
      </c>
      <c r="J815" s="2" t="s">
        <v>1438</v>
      </c>
      <c r="K815" s="2" t="s">
        <v>2767</v>
      </c>
      <c r="L815" s="2" t="s">
        <v>1385</v>
      </c>
      <c r="M815" s="10" t="s">
        <v>1571</v>
      </c>
      <c r="S815" s="6" t="b">
        <f>C815='Plano de Contas'!C815</f>
        <v>1</v>
      </c>
    </row>
    <row r="816" spans="1:19" x14ac:dyDescent="0.2">
      <c r="A816" s="21" t="s">
        <v>2581</v>
      </c>
      <c r="B816" s="8" t="s">
        <v>40</v>
      </c>
      <c r="C816" s="8" t="s">
        <v>1438</v>
      </c>
      <c r="D816" s="3" t="s">
        <v>42</v>
      </c>
      <c r="E816" s="2" t="s">
        <v>1023</v>
      </c>
      <c r="F816" s="2" t="s">
        <v>1025</v>
      </c>
      <c r="G816" s="4" t="s">
        <v>1492</v>
      </c>
      <c r="H816" s="2">
        <v>11</v>
      </c>
      <c r="I816" s="3" t="s">
        <v>1439</v>
      </c>
      <c r="J816" s="2" t="s">
        <v>1438</v>
      </c>
      <c r="K816" s="2" t="s">
        <v>2767</v>
      </c>
      <c r="L816" s="2" t="s">
        <v>1385</v>
      </c>
      <c r="M816" s="10" t="s">
        <v>1571</v>
      </c>
      <c r="S816" s="6" t="b">
        <f>C816='Plano de Contas'!C816</f>
        <v>1</v>
      </c>
    </row>
    <row r="817" spans="1:19" x14ac:dyDescent="0.2">
      <c r="A817" s="19" t="s">
        <v>2582</v>
      </c>
      <c r="B817" s="3" t="s">
        <v>54</v>
      </c>
      <c r="C817" s="3" t="s">
        <v>1441</v>
      </c>
      <c r="D817" s="3" t="s">
        <v>42</v>
      </c>
      <c r="E817" s="2" t="s">
        <v>1023</v>
      </c>
      <c r="F817" s="2" t="s">
        <v>1025</v>
      </c>
      <c r="G817" s="4" t="s">
        <v>1492</v>
      </c>
      <c r="H817" s="2">
        <v>16</v>
      </c>
      <c r="I817" s="3" t="s">
        <v>1492</v>
      </c>
      <c r="J817" s="2" t="s">
        <v>1438</v>
      </c>
      <c r="K817" s="2" t="s">
        <v>2767</v>
      </c>
      <c r="L817" s="2" t="s">
        <v>1385</v>
      </c>
      <c r="M817" s="10" t="s">
        <v>1571</v>
      </c>
      <c r="S817" s="6" t="b">
        <f>C817='Plano de Contas'!C817</f>
        <v>1</v>
      </c>
    </row>
    <row r="818" spans="1:19" x14ac:dyDescent="0.2">
      <c r="A818" s="22" t="s">
        <v>2583</v>
      </c>
      <c r="B818" s="8" t="s">
        <v>40</v>
      </c>
      <c r="C818" s="8" t="s">
        <v>1443</v>
      </c>
      <c r="D818" s="3" t="s">
        <v>42</v>
      </c>
      <c r="E818" s="2" t="s">
        <v>1023</v>
      </c>
      <c r="F818" s="2" t="s">
        <v>1025</v>
      </c>
      <c r="G818" s="4" t="s">
        <v>1492</v>
      </c>
      <c r="H818" s="2">
        <v>5</v>
      </c>
      <c r="I818" s="3" t="s">
        <v>1492</v>
      </c>
      <c r="J818" s="2" t="s">
        <v>1443</v>
      </c>
      <c r="K818" s="2" t="s">
        <v>926</v>
      </c>
      <c r="S818" s="6" t="b">
        <f>C818='Plano de Contas'!C818</f>
        <v>1</v>
      </c>
    </row>
    <row r="819" spans="1:19" x14ac:dyDescent="0.2">
      <c r="A819" s="22" t="s">
        <v>2584</v>
      </c>
      <c r="B819" s="8" t="s">
        <v>40</v>
      </c>
      <c r="C819" s="8" t="s">
        <v>925</v>
      </c>
      <c r="D819" s="3" t="s">
        <v>42</v>
      </c>
      <c r="E819" s="2" t="s">
        <v>1023</v>
      </c>
      <c r="F819" s="2" t="s">
        <v>1025</v>
      </c>
      <c r="G819" s="4" t="s">
        <v>1492</v>
      </c>
      <c r="H819" s="2">
        <v>8</v>
      </c>
      <c r="I819" s="3" t="s">
        <v>1492</v>
      </c>
      <c r="J819" s="2" t="s">
        <v>925</v>
      </c>
      <c r="K819" s="2" t="s">
        <v>926</v>
      </c>
      <c r="S819" s="6" t="b">
        <f>C819='Plano de Contas'!C819</f>
        <v>1</v>
      </c>
    </row>
    <row r="820" spans="1:19" x14ac:dyDescent="0.2">
      <c r="A820" s="22" t="s">
        <v>2585</v>
      </c>
      <c r="B820" s="8" t="s">
        <v>40</v>
      </c>
      <c r="C820" s="8" t="s">
        <v>925</v>
      </c>
      <c r="D820" s="3" t="s">
        <v>42</v>
      </c>
      <c r="E820" s="2" t="s">
        <v>1023</v>
      </c>
      <c r="F820" s="2" t="s">
        <v>1025</v>
      </c>
      <c r="G820" s="4" t="s">
        <v>1492</v>
      </c>
      <c r="H820" s="2">
        <v>11</v>
      </c>
      <c r="I820" s="3" t="s">
        <v>1445</v>
      </c>
      <c r="J820" s="2" t="s">
        <v>925</v>
      </c>
      <c r="K820" s="2" t="s">
        <v>926</v>
      </c>
      <c r="S820" s="6" t="b">
        <f>C820='Plano de Contas'!C820</f>
        <v>1</v>
      </c>
    </row>
    <row r="821" spans="1:19" x14ac:dyDescent="0.2">
      <c r="A821" s="23" t="s">
        <v>2586</v>
      </c>
      <c r="B821" s="3" t="s">
        <v>54</v>
      </c>
      <c r="C821" s="3" t="s">
        <v>925</v>
      </c>
      <c r="D821" s="3" t="s">
        <v>42</v>
      </c>
      <c r="E821" s="2" t="s">
        <v>1023</v>
      </c>
      <c r="F821" s="2" t="s">
        <v>1025</v>
      </c>
      <c r="G821" s="4" t="s">
        <v>1492</v>
      </c>
      <c r="H821" s="2">
        <v>16</v>
      </c>
      <c r="I821" s="3" t="s">
        <v>1492</v>
      </c>
      <c r="J821" s="2" t="s">
        <v>925</v>
      </c>
      <c r="K821" s="2" t="s">
        <v>926</v>
      </c>
      <c r="S821" s="6" t="b">
        <f>C821='Plano de Contas'!C821</f>
        <v>1</v>
      </c>
    </row>
    <row r="822" spans="1:19" x14ac:dyDescent="0.2">
      <c r="A822" s="17" t="s">
        <v>2587</v>
      </c>
      <c r="B822" s="1" t="s">
        <v>40</v>
      </c>
      <c r="C822" s="1" t="s">
        <v>1448</v>
      </c>
      <c r="D822" s="2" t="s">
        <v>42</v>
      </c>
      <c r="E822" s="2" t="s">
        <v>1023</v>
      </c>
      <c r="F822" s="2" t="s">
        <v>1025</v>
      </c>
      <c r="G822" s="4" t="s">
        <v>1492</v>
      </c>
      <c r="H822" s="2">
        <v>3</v>
      </c>
      <c r="I822" s="3" t="s">
        <v>1492</v>
      </c>
      <c r="J822" s="2" t="s">
        <v>1448</v>
      </c>
      <c r="K822" s="2" t="s">
        <v>963</v>
      </c>
      <c r="S822" s="6" t="b">
        <f>C822='Plano de Contas'!C822</f>
        <v>1</v>
      </c>
    </row>
    <row r="823" spans="1:19" x14ac:dyDescent="0.2">
      <c r="A823" s="17" t="s">
        <v>2588</v>
      </c>
      <c r="B823" s="1" t="s">
        <v>40</v>
      </c>
      <c r="C823" s="1" t="s">
        <v>1448</v>
      </c>
      <c r="D823" s="2" t="s">
        <v>42</v>
      </c>
      <c r="E823" s="2" t="s">
        <v>1023</v>
      </c>
      <c r="F823" s="2" t="s">
        <v>1025</v>
      </c>
      <c r="G823" s="4" t="s">
        <v>1492</v>
      </c>
      <c r="H823" s="2">
        <v>5</v>
      </c>
      <c r="I823" s="3" t="s">
        <v>1492</v>
      </c>
      <c r="J823" s="2" t="s">
        <v>1448</v>
      </c>
      <c r="K823" s="2" t="s">
        <v>963</v>
      </c>
      <c r="S823" s="6" t="b">
        <f>C823='Plano de Contas'!C823</f>
        <v>1</v>
      </c>
    </row>
    <row r="824" spans="1:19" x14ac:dyDescent="0.2">
      <c r="A824" s="17" t="s">
        <v>2589</v>
      </c>
      <c r="B824" s="1" t="s">
        <v>40</v>
      </c>
      <c r="C824" s="1" t="s">
        <v>1448</v>
      </c>
      <c r="D824" s="2" t="s">
        <v>42</v>
      </c>
      <c r="E824" s="2" t="s">
        <v>1023</v>
      </c>
      <c r="F824" s="2" t="s">
        <v>1025</v>
      </c>
      <c r="G824" s="4" t="s">
        <v>1492</v>
      </c>
      <c r="H824" s="2">
        <v>8</v>
      </c>
      <c r="I824" s="3" t="s">
        <v>1492</v>
      </c>
      <c r="J824" s="2" t="s">
        <v>1448</v>
      </c>
      <c r="K824" s="2" t="s">
        <v>963</v>
      </c>
      <c r="S824" s="6" t="b">
        <f>C824='Plano de Contas'!C824</f>
        <v>1</v>
      </c>
    </row>
    <row r="825" spans="1:19" x14ac:dyDescent="0.2">
      <c r="A825" s="17" t="s">
        <v>2590</v>
      </c>
      <c r="B825" s="1" t="s">
        <v>40</v>
      </c>
      <c r="C825" s="1" t="s">
        <v>1448</v>
      </c>
      <c r="D825" s="2" t="s">
        <v>42</v>
      </c>
      <c r="E825" s="2" t="s">
        <v>1023</v>
      </c>
      <c r="F825" s="2" t="s">
        <v>1025</v>
      </c>
      <c r="G825" s="4" t="s">
        <v>1492</v>
      </c>
      <c r="H825" s="2">
        <v>11</v>
      </c>
      <c r="I825" s="3" t="s">
        <v>1451</v>
      </c>
      <c r="J825" s="2" t="s">
        <v>1448</v>
      </c>
      <c r="K825" s="2" t="s">
        <v>963</v>
      </c>
      <c r="S825" s="6" t="b">
        <f>C825='Plano de Contas'!C825</f>
        <v>1</v>
      </c>
    </row>
    <row r="826" spans="1:19" x14ac:dyDescent="0.2">
      <c r="A826" s="18" t="s">
        <v>2591</v>
      </c>
      <c r="B826" s="2" t="s">
        <v>54</v>
      </c>
      <c r="C826" s="2" t="s">
        <v>1453</v>
      </c>
      <c r="D826" s="2" t="s">
        <v>42</v>
      </c>
      <c r="E826" s="2" t="s">
        <v>1023</v>
      </c>
      <c r="F826" s="2" t="s">
        <v>1025</v>
      </c>
      <c r="G826" s="4" t="s">
        <v>1492</v>
      </c>
      <c r="H826" s="2">
        <v>16</v>
      </c>
      <c r="I826" s="3" t="s">
        <v>1492</v>
      </c>
      <c r="J826" s="2" t="s">
        <v>1448</v>
      </c>
      <c r="K826" s="2" t="s">
        <v>963</v>
      </c>
      <c r="S826" s="6" t="b">
        <f>C826='Plano de Contas'!C826</f>
        <v>1</v>
      </c>
    </row>
    <row r="827" spans="1:19" x14ac:dyDescent="0.2">
      <c r="A827" s="18" t="s">
        <v>2592</v>
      </c>
      <c r="B827" s="2" t="s">
        <v>54</v>
      </c>
      <c r="C827" s="2" t="s">
        <v>1455</v>
      </c>
      <c r="D827" s="2" t="s">
        <v>42</v>
      </c>
      <c r="E827" s="2" t="s">
        <v>1023</v>
      </c>
      <c r="F827" s="2" t="s">
        <v>1025</v>
      </c>
      <c r="G827" s="4" t="s">
        <v>1492</v>
      </c>
      <c r="H827" s="2">
        <v>16</v>
      </c>
      <c r="I827" s="3" t="s">
        <v>1492</v>
      </c>
      <c r="J827" s="2" t="s">
        <v>1448</v>
      </c>
      <c r="K827" s="2" t="s">
        <v>963</v>
      </c>
      <c r="S827" s="6" t="b">
        <f>C827='Plano de Contas'!C827</f>
        <v>1</v>
      </c>
    </row>
    <row r="828" spans="1:19" x14ac:dyDescent="0.2">
      <c r="A828" s="18" t="s">
        <v>2593</v>
      </c>
      <c r="B828" s="2" t="s">
        <v>54</v>
      </c>
      <c r="C828" s="2" t="s">
        <v>1457</v>
      </c>
      <c r="D828" s="2" t="s">
        <v>42</v>
      </c>
      <c r="E828" s="2" t="s">
        <v>1023</v>
      </c>
      <c r="F828" s="2" t="s">
        <v>1025</v>
      </c>
      <c r="G828" s="4" t="s">
        <v>1492</v>
      </c>
      <c r="H828" s="2">
        <v>16</v>
      </c>
      <c r="I828" s="3" t="s">
        <v>1492</v>
      </c>
      <c r="J828" s="2" t="s">
        <v>1448</v>
      </c>
      <c r="K828" s="2" t="s">
        <v>963</v>
      </c>
      <c r="S828" s="6" t="b">
        <f>C828='Plano de Contas'!C828</f>
        <v>1</v>
      </c>
    </row>
    <row r="829" spans="1:19" x14ac:dyDescent="0.2">
      <c r="A829" s="17" t="s">
        <v>2594</v>
      </c>
      <c r="B829" s="1" t="s">
        <v>40</v>
      </c>
      <c r="C829" s="1" t="s">
        <v>1459</v>
      </c>
      <c r="D829" s="2" t="s">
        <v>42</v>
      </c>
      <c r="E829" s="2" t="s">
        <v>1023</v>
      </c>
      <c r="F829" s="2" t="s">
        <v>1025</v>
      </c>
      <c r="G829" s="4" t="s">
        <v>1492</v>
      </c>
      <c r="H829" s="2">
        <v>3</v>
      </c>
      <c r="I829" s="3" t="s">
        <v>1492</v>
      </c>
      <c r="J829" s="2" t="s">
        <v>1459</v>
      </c>
      <c r="K829" s="2" t="s">
        <v>1460</v>
      </c>
      <c r="S829" s="6" t="b">
        <f>C829='Plano de Contas'!C829</f>
        <v>1</v>
      </c>
    </row>
    <row r="830" spans="1:19" x14ac:dyDescent="0.2">
      <c r="A830" s="17" t="s">
        <v>2595</v>
      </c>
      <c r="B830" s="1" t="s">
        <v>40</v>
      </c>
      <c r="C830" s="1" t="s">
        <v>1462</v>
      </c>
      <c r="D830" s="2" t="s">
        <v>42</v>
      </c>
      <c r="E830" s="2" t="s">
        <v>1023</v>
      </c>
      <c r="F830" s="2" t="s">
        <v>1025</v>
      </c>
      <c r="G830" s="4" t="s">
        <v>1492</v>
      </c>
      <c r="H830" s="2">
        <v>5</v>
      </c>
      <c r="I830" s="3" t="s">
        <v>1492</v>
      </c>
      <c r="J830" s="2" t="s">
        <v>1462</v>
      </c>
      <c r="K830" s="2" t="s">
        <v>1460</v>
      </c>
      <c r="S830" s="6" t="b">
        <f>C830='Plano de Contas'!C830</f>
        <v>1</v>
      </c>
    </row>
    <row r="831" spans="1:19" x14ac:dyDescent="0.2">
      <c r="A831" s="17" t="s">
        <v>2596</v>
      </c>
      <c r="B831" s="1" t="s">
        <v>40</v>
      </c>
      <c r="C831" s="1" t="s">
        <v>1462</v>
      </c>
      <c r="D831" s="2" t="s">
        <v>42</v>
      </c>
      <c r="E831" s="2" t="s">
        <v>1023</v>
      </c>
      <c r="F831" s="2" t="s">
        <v>1025</v>
      </c>
      <c r="G831" s="4" t="s">
        <v>1492</v>
      </c>
      <c r="H831" s="2">
        <v>8</v>
      </c>
      <c r="I831" s="3" t="s">
        <v>1492</v>
      </c>
      <c r="J831" s="2" t="s">
        <v>1462</v>
      </c>
      <c r="K831" s="2" t="s">
        <v>1460</v>
      </c>
      <c r="S831" s="6" t="b">
        <f>C831='Plano de Contas'!C831</f>
        <v>1</v>
      </c>
    </row>
    <row r="832" spans="1:19" x14ac:dyDescent="0.2">
      <c r="A832" s="17" t="s">
        <v>2597</v>
      </c>
      <c r="B832" s="1" t="s">
        <v>40</v>
      </c>
      <c r="C832" s="1" t="s">
        <v>1462</v>
      </c>
      <c r="D832" s="2" t="s">
        <v>42</v>
      </c>
      <c r="E832" s="2" t="s">
        <v>1023</v>
      </c>
      <c r="F832" s="2" t="s">
        <v>1025</v>
      </c>
      <c r="G832" s="4" t="s">
        <v>1492</v>
      </c>
      <c r="H832" s="2">
        <v>11</v>
      </c>
      <c r="I832" s="3" t="s">
        <v>1464</v>
      </c>
      <c r="J832" s="2" t="s">
        <v>1462</v>
      </c>
      <c r="K832" s="2" t="s">
        <v>1460</v>
      </c>
      <c r="S832" s="6" t="b">
        <f>C832='Plano de Contas'!C832</f>
        <v>1</v>
      </c>
    </row>
    <row r="833" spans="1:19" x14ac:dyDescent="0.2">
      <c r="A833" s="18" t="s">
        <v>2598</v>
      </c>
      <c r="B833" s="2" t="s">
        <v>54</v>
      </c>
      <c r="C833" s="2" t="s">
        <v>563</v>
      </c>
      <c r="D833" s="2" t="s">
        <v>42</v>
      </c>
      <c r="E833" s="2" t="s">
        <v>1023</v>
      </c>
      <c r="F833" s="2" t="s">
        <v>1025</v>
      </c>
      <c r="G833" s="4" t="s">
        <v>1492</v>
      </c>
      <c r="H833" s="2">
        <v>16</v>
      </c>
      <c r="I833" s="3" t="s">
        <v>1492</v>
      </c>
      <c r="J833" s="2" t="s">
        <v>1462</v>
      </c>
      <c r="K833" s="2" t="s">
        <v>1460</v>
      </c>
      <c r="S833" s="6" t="b">
        <f>C833='Plano de Contas'!C833</f>
        <v>1</v>
      </c>
    </row>
    <row r="834" spans="1:19" x14ac:dyDescent="0.2">
      <c r="A834" s="18" t="s">
        <v>2599</v>
      </c>
      <c r="B834" s="2" t="s">
        <v>54</v>
      </c>
      <c r="C834" s="2" t="s">
        <v>566</v>
      </c>
      <c r="D834" s="2" t="s">
        <v>42</v>
      </c>
      <c r="E834" s="2" t="s">
        <v>1023</v>
      </c>
      <c r="F834" s="2" t="s">
        <v>1025</v>
      </c>
      <c r="G834" s="4" t="s">
        <v>1492</v>
      </c>
      <c r="H834" s="2">
        <v>16</v>
      </c>
      <c r="I834" s="3" t="s">
        <v>1492</v>
      </c>
      <c r="J834" s="2" t="s">
        <v>1462</v>
      </c>
      <c r="K834" s="2" t="s">
        <v>1460</v>
      </c>
      <c r="S834" s="6" t="b">
        <f>C834='Plano de Contas'!C834</f>
        <v>1</v>
      </c>
    </row>
    <row r="835" spans="1:19" x14ac:dyDescent="0.2">
      <c r="A835" s="17" t="s">
        <v>2600</v>
      </c>
      <c r="B835" s="1" t="s">
        <v>40</v>
      </c>
      <c r="C835" s="1" t="s">
        <v>1468</v>
      </c>
      <c r="D835" s="2" t="s">
        <v>42</v>
      </c>
      <c r="E835" s="2" t="s">
        <v>1023</v>
      </c>
      <c r="F835" s="2" t="s">
        <v>1025</v>
      </c>
      <c r="G835" s="4" t="s">
        <v>1492</v>
      </c>
      <c r="H835" s="2">
        <v>5</v>
      </c>
      <c r="I835" s="3" t="s">
        <v>1492</v>
      </c>
      <c r="J835" s="2" t="s">
        <v>1468</v>
      </c>
      <c r="K835" s="2" t="s">
        <v>1469</v>
      </c>
      <c r="S835" s="6" t="b">
        <f>C835='Plano de Contas'!C835</f>
        <v>1</v>
      </c>
    </row>
    <row r="836" spans="1:19" x14ac:dyDescent="0.2">
      <c r="A836" s="17" t="s">
        <v>2601</v>
      </c>
      <c r="B836" s="1" t="s">
        <v>40</v>
      </c>
      <c r="C836" s="1" t="s">
        <v>1471</v>
      </c>
      <c r="D836" s="2" t="s">
        <v>42</v>
      </c>
      <c r="E836" s="2" t="s">
        <v>1023</v>
      </c>
      <c r="F836" s="2" t="s">
        <v>1025</v>
      </c>
      <c r="G836" s="4" t="s">
        <v>1492</v>
      </c>
      <c r="H836" s="2">
        <v>8</v>
      </c>
      <c r="I836" s="3" t="s">
        <v>1492</v>
      </c>
      <c r="J836" s="2" t="s">
        <v>1471</v>
      </c>
      <c r="K836" s="2" t="s">
        <v>1469</v>
      </c>
      <c r="S836" s="6" t="b">
        <f>C836='Plano de Contas'!C836</f>
        <v>1</v>
      </c>
    </row>
    <row r="837" spans="1:19" x14ac:dyDescent="0.2">
      <c r="A837" s="17" t="s">
        <v>2602</v>
      </c>
      <c r="B837" s="1" t="s">
        <v>40</v>
      </c>
      <c r="C837" s="1" t="s">
        <v>1471</v>
      </c>
      <c r="D837" s="2" t="s">
        <v>42</v>
      </c>
      <c r="E837" s="2" t="s">
        <v>1023</v>
      </c>
      <c r="F837" s="2" t="s">
        <v>1025</v>
      </c>
      <c r="G837" s="4" t="s">
        <v>1492</v>
      </c>
      <c r="H837" s="2">
        <v>11</v>
      </c>
      <c r="I837" s="3" t="s">
        <v>1472</v>
      </c>
      <c r="J837" s="2" t="s">
        <v>1471</v>
      </c>
      <c r="K837" s="2" t="s">
        <v>1469</v>
      </c>
      <c r="S837" s="6" t="b">
        <f>C837='Plano de Contas'!C837</f>
        <v>1</v>
      </c>
    </row>
    <row r="838" spans="1:19" x14ac:dyDescent="0.2">
      <c r="A838" s="18" t="s">
        <v>2603</v>
      </c>
      <c r="B838" s="2" t="s">
        <v>54</v>
      </c>
      <c r="C838" s="2" t="s">
        <v>1474</v>
      </c>
      <c r="D838" s="2" t="s">
        <v>42</v>
      </c>
      <c r="E838" s="2" t="s">
        <v>1023</v>
      </c>
      <c r="F838" s="2" t="s">
        <v>1025</v>
      </c>
      <c r="G838" s="4" t="s">
        <v>1492</v>
      </c>
      <c r="H838" s="2">
        <v>16</v>
      </c>
      <c r="I838" s="3" t="s">
        <v>1492</v>
      </c>
      <c r="J838" s="2" t="s">
        <v>1471</v>
      </c>
      <c r="K838" s="2" t="s">
        <v>1469</v>
      </c>
      <c r="S838" s="6" t="b">
        <f>C838='Plano de Contas'!C838</f>
        <v>1</v>
      </c>
    </row>
    <row r="839" spans="1:19" x14ac:dyDescent="0.2">
      <c r="A839" s="18" t="s">
        <v>2604</v>
      </c>
      <c r="B839" s="2" t="s">
        <v>54</v>
      </c>
      <c r="C839" s="2" t="s">
        <v>1476</v>
      </c>
      <c r="D839" s="2" t="s">
        <v>42</v>
      </c>
      <c r="E839" s="2" t="s">
        <v>1023</v>
      </c>
      <c r="F839" s="2" t="s">
        <v>1025</v>
      </c>
      <c r="G839" s="4" t="s">
        <v>1492</v>
      </c>
      <c r="H839" s="2">
        <v>16</v>
      </c>
      <c r="I839" s="3" t="s">
        <v>1492</v>
      </c>
      <c r="J839" s="2" t="s">
        <v>1471</v>
      </c>
      <c r="K839" s="2" t="s">
        <v>1469</v>
      </c>
      <c r="S839" s="6" t="b">
        <f>C839='Plano de Contas'!C839</f>
        <v>1</v>
      </c>
    </row>
    <row r="840" spans="1:19" x14ac:dyDescent="0.2">
      <c r="A840" s="18" t="s">
        <v>2605</v>
      </c>
      <c r="B840" s="2" t="s">
        <v>54</v>
      </c>
      <c r="C840" s="2" t="s">
        <v>1478</v>
      </c>
      <c r="D840" s="2" t="s">
        <v>42</v>
      </c>
      <c r="E840" s="2" t="s">
        <v>1023</v>
      </c>
      <c r="F840" s="2" t="s">
        <v>1025</v>
      </c>
      <c r="G840" s="4" t="s">
        <v>1492</v>
      </c>
      <c r="H840" s="2">
        <v>16</v>
      </c>
      <c r="I840" s="3" t="s">
        <v>1492</v>
      </c>
      <c r="J840" s="2" t="s">
        <v>1471</v>
      </c>
      <c r="K840" s="2" t="s">
        <v>1469</v>
      </c>
      <c r="S840" s="6" t="b">
        <f>C840='Plano de Contas'!C840</f>
        <v>1</v>
      </c>
    </row>
    <row r="841" spans="1:19" x14ac:dyDescent="0.2">
      <c r="A841" s="17" t="s">
        <v>1699</v>
      </c>
      <c r="B841" s="1" t="s">
        <v>40</v>
      </c>
      <c r="C841" s="1" t="s">
        <v>1479</v>
      </c>
      <c r="D841" s="2" t="s">
        <v>793</v>
      </c>
      <c r="E841" s="2" t="s">
        <v>1699</v>
      </c>
      <c r="F841" s="2" t="s">
        <v>1480</v>
      </c>
      <c r="G841" s="4" t="s">
        <v>1492</v>
      </c>
      <c r="H841" s="2">
        <v>1</v>
      </c>
      <c r="I841" s="3" t="s">
        <v>1492</v>
      </c>
      <c r="J841" s="2" t="s">
        <v>1479</v>
      </c>
      <c r="K841" s="2" t="s">
        <v>440</v>
      </c>
      <c r="S841" s="6" t="b">
        <f>C841='Plano de Contas'!C841</f>
        <v>1</v>
      </c>
    </row>
    <row r="842" spans="1:19" x14ac:dyDescent="0.2">
      <c r="A842" s="17" t="s">
        <v>2606</v>
      </c>
      <c r="B842" s="1" t="s">
        <v>40</v>
      </c>
      <c r="C842" s="1" t="s">
        <v>1479</v>
      </c>
      <c r="D842" s="2" t="s">
        <v>793</v>
      </c>
      <c r="E842" s="2" t="s">
        <v>1699</v>
      </c>
      <c r="F842" s="2" t="s">
        <v>1480</v>
      </c>
      <c r="G842" s="4" t="s">
        <v>1492</v>
      </c>
      <c r="H842" s="2">
        <v>3</v>
      </c>
      <c r="I842" s="3" t="s">
        <v>1492</v>
      </c>
      <c r="J842" s="2" t="s">
        <v>1479</v>
      </c>
      <c r="K842" s="2" t="s">
        <v>440</v>
      </c>
      <c r="S842" s="6" t="b">
        <f>C842='Plano de Contas'!C842</f>
        <v>1</v>
      </c>
    </row>
    <row r="843" spans="1:19" x14ac:dyDescent="0.2">
      <c r="A843" s="17" t="s">
        <v>2607</v>
      </c>
      <c r="B843" s="1" t="s">
        <v>40</v>
      </c>
      <c r="C843" s="1" t="s">
        <v>1479</v>
      </c>
      <c r="D843" s="2" t="s">
        <v>793</v>
      </c>
      <c r="E843" s="2" t="s">
        <v>1699</v>
      </c>
      <c r="F843" s="2" t="s">
        <v>1480</v>
      </c>
      <c r="G843" s="4" t="s">
        <v>1492</v>
      </c>
      <c r="H843" s="2">
        <v>5</v>
      </c>
      <c r="I843" s="3" t="s">
        <v>1492</v>
      </c>
      <c r="J843" s="2" t="s">
        <v>1479</v>
      </c>
      <c r="K843" s="2" t="s">
        <v>440</v>
      </c>
      <c r="S843" s="6" t="b">
        <f>C843='Plano de Contas'!C843</f>
        <v>1</v>
      </c>
    </row>
    <row r="844" spans="1:19" x14ac:dyDescent="0.2">
      <c r="A844" s="17" t="s">
        <v>2608</v>
      </c>
      <c r="B844" s="1" t="s">
        <v>40</v>
      </c>
      <c r="C844" s="1" t="s">
        <v>1479</v>
      </c>
      <c r="D844" s="2" t="s">
        <v>793</v>
      </c>
      <c r="E844" s="2" t="s">
        <v>1699</v>
      </c>
      <c r="F844" s="2" t="s">
        <v>1480</v>
      </c>
      <c r="G844" s="4" t="s">
        <v>1492</v>
      </c>
      <c r="H844" s="2">
        <v>8</v>
      </c>
      <c r="I844" s="3" t="s">
        <v>1492</v>
      </c>
      <c r="J844" s="2" t="s">
        <v>1479</v>
      </c>
      <c r="K844" s="2" t="s">
        <v>440</v>
      </c>
      <c r="S844" s="6" t="b">
        <f>C844='Plano de Contas'!C844</f>
        <v>1</v>
      </c>
    </row>
    <row r="845" spans="1:19" x14ac:dyDescent="0.2">
      <c r="A845" s="17" t="s">
        <v>2609</v>
      </c>
      <c r="B845" s="1" t="s">
        <v>40</v>
      </c>
      <c r="C845" s="1" t="s">
        <v>1479</v>
      </c>
      <c r="D845" s="2" t="s">
        <v>793</v>
      </c>
      <c r="E845" s="2" t="s">
        <v>1699</v>
      </c>
      <c r="F845" s="2" t="s">
        <v>1480</v>
      </c>
      <c r="G845" s="4" t="s">
        <v>1492</v>
      </c>
      <c r="H845" s="2">
        <v>11</v>
      </c>
      <c r="I845" s="3" t="s">
        <v>1484</v>
      </c>
      <c r="J845" s="2" t="s">
        <v>1479</v>
      </c>
      <c r="K845" s="2" t="s">
        <v>440</v>
      </c>
      <c r="S845" s="6" t="b">
        <f>C845='Plano de Contas'!C845</f>
        <v>1</v>
      </c>
    </row>
    <row r="846" spans="1:19" x14ac:dyDescent="0.2">
      <c r="A846" s="18" t="s">
        <v>2610</v>
      </c>
      <c r="B846" s="2" t="s">
        <v>54</v>
      </c>
      <c r="C846" s="2" t="s">
        <v>1486</v>
      </c>
      <c r="D846" s="2" t="s">
        <v>793</v>
      </c>
      <c r="E846" s="2" t="s">
        <v>1699</v>
      </c>
      <c r="F846" s="2" t="s">
        <v>1480</v>
      </c>
      <c r="G846" s="4" t="s">
        <v>1492</v>
      </c>
      <c r="H846" s="2">
        <v>16</v>
      </c>
      <c r="I846" s="3" t="s">
        <v>1492</v>
      </c>
      <c r="J846" s="2" t="s">
        <v>1479</v>
      </c>
      <c r="K846" s="2" t="s">
        <v>440</v>
      </c>
      <c r="S846" s="6" t="b">
        <f>C846='Plano de Contas'!C846</f>
        <v>1</v>
      </c>
    </row>
    <row r="847" spans="1:19" x14ac:dyDescent="0.2">
      <c r="A847" s="18" t="s">
        <v>2611</v>
      </c>
      <c r="B847" s="2" t="s">
        <v>54</v>
      </c>
      <c r="C847" s="2" t="s">
        <v>1488</v>
      </c>
      <c r="D847" s="2" t="s">
        <v>793</v>
      </c>
      <c r="E847" s="2" t="s">
        <v>1699</v>
      </c>
      <c r="F847" s="2" t="s">
        <v>1480</v>
      </c>
      <c r="G847" s="4" t="s">
        <v>1492</v>
      </c>
      <c r="H847" s="2">
        <v>16</v>
      </c>
      <c r="I847" s="3" t="s">
        <v>1492</v>
      </c>
      <c r="J847" s="2" t="s">
        <v>1479</v>
      </c>
      <c r="K847" s="2" t="s">
        <v>440</v>
      </c>
      <c r="S847" s="6" t="b">
        <f>C847='Plano de Contas'!C847</f>
        <v>1</v>
      </c>
    </row>
  </sheetData>
  <autoFilter ref="A1:S847" xr:uid="{00000000-0001-0000-0100-000000000000}"/>
  <pageMargins left="0.511811024" right="0.511811024" top="0.78740157499999996" bottom="0.78740157499999996" header="0.31496062000000002" footer="0.31496062000000002"/>
  <pageSetup paperSize="9" orientation="portrait" verticalDpi="0" r:id="rId1"/>
  <ignoredErrors>
    <ignoredError sqref="A605:A623 A2:A61 A64:A102 A105:A133 A288:A379 A382:A399 A494:A603 A401:A492 A139:A286 A721:A847 A626:A717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J177"/>
  <sheetViews>
    <sheetView showGridLines="0" zoomScale="89" zoomScaleNormal="89" workbookViewId="0">
      <pane ySplit="1" topLeftCell="A102" activePane="bottomLeft" state="frozen"/>
      <selection pane="bottomLeft" activeCell="B114" sqref="B114"/>
    </sheetView>
  </sheetViews>
  <sheetFormatPr defaultColWidth="54.54296875" defaultRowHeight="14" x14ac:dyDescent="0.35"/>
  <cols>
    <col min="1" max="1" width="19.1796875" style="50" bestFit="1" customWidth="1"/>
    <col min="2" max="2" width="65.90625" style="53" bestFit="1" customWidth="1"/>
    <col min="3" max="4" width="70.453125" style="53" bestFit="1" customWidth="1"/>
    <col min="5" max="5" width="65.90625" style="53" bestFit="1" customWidth="1"/>
    <col min="6" max="6" width="32.08984375" style="56" bestFit="1" customWidth="1"/>
    <col min="7" max="7" width="16.26953125" style="50" bestFit="1" customWidth="1"/>
    <col min="8" max="8" width="22.26953125" style="50" bestFit="1" customWidth="1"/>
    <col min="9" max="9" width="25.6328125" style="50" bestFit="1" customWidth="1"/>
    <col min="10" max="10" width="20.453125" style="50" bestFit="1" customWidth="1"/>
    <col min="11" max="22" width="12.26953125" style="50" customWidth="1"/>
    <col min="23" max="256" width="54.54296875" style="50"/>
    <col min="257" max="257" width="18.26953125" style="50" customWidth="1"/>
    <col min="258" max="258" width="67.26953125" style="50" customWidth="1"/>
    <col min="259" max="259" width="0" style="50" hidden="1" customWidth="1"/>
    <col min="260" max="512" width="54.54296875" style="50"/>
    <col min="513" max="513" width="18.26953125" style="50" customWidth="1"/>
    <col min="514" max="514" width="67.26953125" style="50" customWidth="1"/>
    <col min="515" max="515" width="0" style="50" hidden="1" customWidth="1"/>
    <col min="516" max="768" width="54.54296875" style="50"/>
    <col min="769" max="769" width="18.26953125" style="50" customWidth="1"/>
    <col min="770" max="770" width="67.26953125" style="50" customWidth="1"/>
    <col min="771" max="771" width="0" style="50" hidden="1" customWidth="1"/>
    <col min="772" max="1024" width="54.54296875" style="50"/>
    <col min="1025" max="1025" width="18.26953125" style="50" customWidth="1"/>
    <col min="1026" max="1026" width="67.26953125" style="50" customWidth="1"/>
    <col min="1027" max="1027" width="0" style="50" hidden="1" customWidth="1"/>
    <col min="1028" max="1280" width="54.54296875" style="50"/>
    <col min="1281" max="1281" width="18.26953125" style="50" customWidth="1"/>
    <col min="1282" max="1282" width="67.26953125" style="50" customWidth="1"/>
    <col min="1283" max="1283" width="0" style="50" hidden="1" customWidth="1"/>
    <col min="1284" max="1536" width="54.54296875" style="50"/>
    <col min="1537" max="1537" width="18.26953125" style="50" customWidth="1"/>
    <col min="1538" max="1538" width="67.26953125" style="50" customWidth="1"/>
    <col min="1539" max="1539" width="0" style="50" hidden="1" customWidth="1"/>
    <col min="1540" max="1792" width="54.54296875" style="50"/>
    <col min="1793" max="1793" width="18.26953125" style="50" customWidth="1"/>
    <col min="1794" max="1794" width="67.26953125" style="50" customWidth="1"/>
    <col min="1795" max="1795" width="0" style="50" hidden="1" customWidth="1"/>
    <col min="1796" max="2048" width="54.54296875" style="50"/>
    <col min="2049" max="2049" width="18.26953125" style="50" customWidth="1"/>
    <col min="2050" max="2050" width="67.26953125" style="50" customWidth="1"/>
    <col min="2051" max="2051" width="0" style="50" hidden="1" customWidth="1"/>
    <col min="2052" max="2304" width="54.54296875" style="50"/>
    <col min="2305" max="2305" width="18.26953125" style="50" customWidth="1"/>
    <col min="2306" max="2306" width="67.26953125" style="50" customWidth="1"/>
    <col min="2307" max="2307" width="0" style="50" hidden="1" customWidth="1"/>
    <col min="2308" max="2560" width="54.54296875" style="50"/>
    <col min="2561" max="2561" width="18.26953125" style="50" customWidth="1"/>
    <col min="2562" max="2562" width="67.26953125" style="50" customWidth="1"/>
    <col min="2563" max="2563" width="0" style="50" hidden="1" customWidth="1"/>
    <col min="2564" max="2816" width="54.54296875" style="50"/>
    <col min="2817" max="2817" width="18.26953125" style="50" customWidth="1"/>
    <col min="2818" max="2818" width="67.26953125" style="50" customWidth="1"/>
    <col min="2819" max="2819" width="0" style="50" hidden="1" customWidth="1"/>
    <col min="2820" max="3072" width="54.54296875" style="50"/>
    <col min="3073" max="3073" width="18.26953125" style="50" customWidth="1"/>
    <col min="3074" max="3074" width="67.26953125" style="50" customWidth="1"/>
    <col min="3075" max="3075" width="0" style="50" hidden="1" customWidth="1"/>
    <col min="3076" max="3328" width="54.54296875" style="50"/>
    <col min="3329" max="3329" width="18.26953125" style="50" customWidth="1"/>
    <col min="3330" max="3330" width="67.26953125" style="50" customWidth="1"/>
    <col min="3331" max="3331" width="0" style="50" hidden="1" customWidth="1"/>
    <col min="3332" max="3584" width="54.54296875" style="50"/>
    <col min="3585" max="3585" width="18.26953125" style="50" customWidth="1"/>
    <col min="3586" max="3586" width="67.26953125" style="50" customWidth="1"/>
    <col min="3587" max="3587" width="0" style="50" hidden="1" customWidth="1"/>
    <col min="3588" max="3840" width="54.54296875" style="50"/>
    <col min="3841" max="3841" width="18.26953125" style="50" customWidth="1"/>
    <col min="3842" max="3842" width="67.26953125" style="50" customWidth="1"/>
    <col min="3843" max="3843" width="0" style="50" hidden="1" customWidth="1"/>
    <col min="3844" max="4096" width="54.54296875" style="50"/>
    <col min="4097" max="4097" width="18.26953125" style="50" customWidth="1"/>
    <col min="4098" max="4098" width="67.26953125" style="50" customWidth="1"/>
    <col min="4099" max="4099" width="0" style="50" hidden="1" customWidth="1"/>
    <col min="4100" max="4352" width="54.54296875" style="50"/>
    <col min="4353" max="4353" width="18.26953125" style="50" customWidth="1"/>
    <col min="4354" max="4354" width="67.26953125" style="50" customWidth="1"/>
    <col min="4355" max="4355" width="0" style="50" hidden="1" customWidth="1"/>
    <col min="4356" max="4608" width="54.54296875" style="50"/>
    <col min="4609" max="4609" width="18.26953125" style="50" customWidth="1"/>
    <col min="4610" max="4610" width="67.26953125" style="50" customWidth="1"/>
    <col min="4611" max="4611" width="0" style="50" hidden="1" customWidth="1"/>
    <col min="4612" max="4864" width="54.54296875" style="50"/>
    <col min="4865" max="4865" width="18.26953125" style="50" customWidth="1"/>
    <col min="4866" max="4866" width="67.26953125" style="50" customWidth="1"/>
    <col min="4867" max="4867" width="0" style="50" hidden="1" customWidth="1"/>
    <col min="4868" max="5120" width="54.54296875" style="50"/>
    <col min="5121" max="5121" width="18.26953125" style="50" customWidth="1"/>
    <col min="5122" max="5122" width="67.26953125" style="50" customWidth="1"/>
    <col min="5123" max="5123" width="0" style="50" hidden="1" customWidth="1"/>
    <col min="5124" max="5376" width="54.54296875" style="50"/>
    <col min="5377" max="5377" width="18.26953125" style="50" customWidth="1"/>
    <col min="5378" max="5378" width="67.26953125" style="50" customWidth="1"/>
    <col min="5379" max="5379" width="0" style="50" hidden="1" customWidth="1"/>
    <col min="5380" max="5632" width="54.54296875" style="50"/>
    <col min="5633" max="5633" width="18.26953125" style="50" customWidth="1"/>
    <col min="5634" max="5634" width="67.26953125" style="50" customWidth="1"/>
    <col min="5635" max="5635" width="0" style="50" hidden="1" customWidth="1"/>
    <col min="5636" max="5888" width="54.54296875" style="50"/>
    <col min="5889" max="5889" width="18.26953125" style="50" customWidth="1"/>
    <col min="5890" max="5890" width="67.26953125" style="50" customWidth="1"/>
    <col min="5891" max="5891" width="0" style="50" hidden="1" customWidth="1"/>
    <col min="5892" max="6144" width="54.54296875" style="50"/>
    <col min="6145" max="6145" width="18.26953125" style="50" customWidth="1"/>
    <col min="6146" max="6146" width="67.26953125" style="50" customWidth="1"/>
    <col min="6147" max="6147" width="0" style="50" hidden="1" customWidth="1"/>
    <col min="6148" max="6400" width="54.54296875" style="50"/>
    <col min="6401" max="6401" width="18.26953125" style="50" customWidth="1"/>
    <col min="6402" max="6402" width="67.26953125" style="50" customWidth="1"/>
    <col min="6403" max="6403" width="0" style="50" hidden="1" customWidth="1"/>
    <col min="6404" max="6656" width="54.54296875" style="50"/>
    <col min="6657" max="6657" width="18.26953125" style="50" customWidth="1"/>
    <col min="6658" max="6658" width="67.26953125" style="50" customWidth="1"/>
    <col min="6659" max="6659" width="0" style="50" hidden="1" customWidth="1"/>
    <col min="6660" max="6912" width="54.54296875" style="50"/>
    <col min="6913" max="6913" width="18.26953125" style="50" customWidth="1"/>
    <col min="6914" max="6914" width="67.26953125" style="50" customWidth="1"/>
    <col min="6915" max="6915" width="0" style="50" hidden="1" customWidth="1"/>
    <col min="6916" max="7168" width="54.54296875" style="50"/>
    <col min="7169" max="7169" width="18.26953125" style="50" customWidth="1"/>
    <col min="7170" max="7170" width="67.26953125" style="50" customWidth="1"/>
    <col min="7171" max="7171" width="0" style="50" hidden="1" customWidth="1"/>
    <col min="7172" max="7424" width="54.54296875" style="50"/>
    <col min="7425" max="7425" width="18.26953125" style="50" customWidth="1"/>
    <col min="7426" max="7426" width="67.26953125" style="50" customWidth="1"/>
    <col min="7427" max="7427" width="0" style="50" hidden="1" customWidth="1"/>
    <col min="7428" max="7680" width="54.54296875" style="50"/>
    <col min="7681" max="7681" width="18.26953125" style="50" customWidth="1"/>
    <col min="7682" max="7682" width="67.26953125" style="50" customWidth="1"/>
    <col min="7683" max="7683" width="0" style="50" hidden="1" customWidth="1"/>
    <col min="7684" max="7936" width="54.54296875" style="50"/>
    <col min="7937" max="7937" width="18.26953125" style="50" customWidth="1"/>
    <col min="7938" max="7938" width="67.26953125" style="50" customWidth="1"/>
    <col min="7939" max="7939" width="0" style="50" hidden="1" customWidth="1"/>
    <col min="7940" max="8192" width="54.54296875" style="50"/>
    <col min="8193" max="8193" width="18.26953125" style="50" customWidth="1"/>
    <col min="8194" max="8194" width="67.26953125" style="50" customWidth="1"/>
    <col min="8195" max="8195" width="0" style="50" hidden="1" customWidth="1"/>
    <col min="8196" max="8448" width="54.54296875" style="50"/>
    <col min="8449" max="8449" width="18.26953125" style="50" customWidth="1"/>
    <col min="8450" max="8450" width="67.26953125" style="50" customWidth="1"/>
    <col min="8451" max="8451" width="0" style="50" hidden="1" customWidth="1"/>
    <col min="8452" max="8704" width="54.54296875" style="50"/>
    <col min="8705" max="8705" width="18.26953125" style="50" customWidth="1"/>
    <col min="8706" max="8706" width="67.26953125" style="50" customWidth="1"/>
    <col min="8707" max="8707" width="0" style="50" hidden="1" customWidth="1"/>
    <col min="8708" max="8960" width="54.54296875" style="50"/>
    <col min="8961" max="8961" width="18.26953125" style="50" customWidth="1"/>
    <col min="8962" max="8962" width="67.26953125" style="50" customWidth="1"/>
    <col min="8963" max="8963" width="0" style="50" hidden="1" customWidth="1"/>
    <col min="8964" max="9216" width="54.54296875" style="50"/>
    <col min="9217" max="9217" width="18.26953125" style="50" customWidth="1"/>
    <col min="9218" max="9218" width="67.26953125" style="50" customWidth="1"/>
    <col min="9219" max="9219" width="0" style="50" hidden="1" customWidth="1"/>
    <col min="9220" max="9472" width="54.54296875" style="50"/>
    <col min="9473" max="9473" width="18.26953125" style="50" customWidth="1"/>
    <col min="9474" max="9474" width="67.26953125" style="50" customWidth="1"/>
    <col min="9475" max="9475" width="0" style="50" hidden="1" customWidth="1"/>
    <col min="9476" max="9728" width="54.54296875" style="50"/>
    <col min="9729" max="9729" width="18.26953125" style="50" customWidth="1"/>
    <col min="9730" max="9730" width="67.26953125" style="50" customWidth="1"/>
    <col min="9731" max="9731" width="0" style="50" hidden="1" customWidth="1"/>
    <col min="9732" max="9984" width="54.54296875" style="50"/>
    <col min="9985" max="9985" width="18.26953125" style="50" customWidth="1"/>
    <col min="9986" max="9986" width="67.26953125" style="50" customWidth="1"/>
    <col min="9987" max="9987" width="0" style="50" hidden="1" customWidth="1"/>
    <col min="9988" max="10240" width="54.54296875" style="50"/>
    <col min="10241" max="10241" width="18.26953125" style="50" customWidth="1"/>
    <col min="10242" max="10242" width="67.26953125" style="50" customWidth="1"/>
    <col min="10243" max="10243" width="0" style="50" hidden="1" customWidth="1"/>
    <col min="10244" max="10496" width="54.54296875" style="50"/>
    <col min="10497" max="10497" width="18.26953125" style="50" customWidth="1"/>
    <col min="10498" max="10498" width="67.26953125" style="50" customWidth="1"/>
    <col min="10499" max="10499" width="0" style="50" hidden="1" customWidth="1"/>
    <col min="10500" max="10752" width="54.54296875" style="50"/>
    <col min="10753" max="10753" width="18.26953125" style="50" customWidth="1"/>
    <col min="10754" max="10754" width="67.26953125" style="50" customWidth="1"/>
    <col min="10755" max="10755" width="0" style="50" hidden="1" customWidth="1"/>
    <col min="10756" max="11008" width="54.54296875" style="50"/>
    <col min="11009" max="11009" width="18.26953125" style="50" customWidth="1"/>
    <col min="11010" max="11010" width="67.26953125" style="50" customWidth="1"/>
    <col min="11011" max="11011" width="0" style="50" hidden="1" customWidth="1"/>
    <col min="11012" max="11264" width="54.54296875" style="50"/>
    <col min="11265" max="11265" width="18.26953125" style="50" customWidth="1"/>
    <col min="11266" max="11266" width="67.26953125" style="50" customWidth="1"/>
    <col min="11267" max="11267" width="0" style="50" hidden="1" customWidth="1"/>
    <col min="11268" max="11520" width="54.54296875" style="50"/>
    <col min="11521" max="11521" width="18.26953125" style="50" customWidth="1"/>
    <col min="11522" max="11522" width="67.26953125" style="50" customWidth="1"/>
    <col min="11523" max="11523" width="0" style="50" hidden="1" customWidth="1"/>
    <col min="11524" max="11776" width="54.54296875" style="50"/>
    <col min="11777" max="11777" width="18.26953125" style="50" customWidth="1"/>
    <col min="11778" max="11778" width="67.26953125" style="50" customWidth="1"/>
    <col min="11779" max="11779" width="0" style="50" hidden="1" customWidth="1"/>
    <col min="11780" max="12032" width="54.54296875" style="50"/>
    <col min="12033" max="12033" width="18.26953125" style="50" customWidth="1"/>
    <col min="12034" max="12034" width="67.26953125" style="50" customWidth="1"/>
    <col min="12035" max="12035" width="0" style="50" hidden="1" customWidth="1"/>
    <col min="12036" max="12288" width="54.54296875" style="50"/>
    <col min="12289" max="12289" width="18.26953125" style="50" customWidth="1"/>
    <col min="12290" max="12290" width="67.26953125" style="50" customWidth="1"/>
    <col min="12291" max="12291" width="0" style="50" hidden="1" customWidth="1"/>
    <col min="12292" max="12544" width="54.54296875" style="50"/>
    <col min="12545" max="12545" width="18.26953125" style="50" customWidth="1"/>
    <col min="12546" max="12546" width="67.26953125" style="50" customWidth="1"/>
    <col min="12547" max="12547" width="0" style="50" hidden="1" customWidth="1"/>
    <col min="12548" max="12800" width="54.54296875" style="50"/>
    <col min="12801" max="12801" width="18.26953125" style="50" customWidth="1"/>
    <col min="12802" max="12802" width="67.26953125" style="50" customWidth="1"/>
    <col min="12803" max="12803" width="0" style="50" hidden="1" customWidth="1"/>
    <col min="12804" max="13056" width="54.54296875" style="50"/>
    <col min="13057" max="13057" width="18.26953125" style="50" customWidth="1"/>
    <col min="13058" max="13058" width="67.26953125" style="50" customWidth="1"/>
    <col min="13059" max="13059" width="0" style="50" hidden="1" customWidth="1"/>
    <col min="13060" max="13312" width="54.54296875" style="50"/>
    <col min="13313" max="13313" width="18.26953125" style="50" customWidth="1"/>
    <col min="13314" max="13314" width="67.26953125" style="50" customWidth="1"/>
    <col min="13315" max="13315" width="0" style="50" hidden="1" customWidth="1"/>
    <col min="13316" max="13568" width="54.54296875" style="50"/>
    <col min="13569" max="13569" width="18.26953125" style="50" customWidth="1"/>
    <col min="13570" max="13570" width="67.26953125" style="50" customWidth="1"/>
    <col min="13571" max="13571" width="0" style="50" hidden="1" customWidth="1"/>
    <col min="13572" max="13824" width="54.54296875" style="50"/>
    <col min="13825" max="13825" width="18.26953125" style="50" customWidth="1"/>
    <col min="13826" max="13826" width="67.26953125" style="50" customWidth="1"/>
    <col min="13827" max="13827" width="0" style="50" hidden="1" customWidth="1"/>
    <col min="13828" max="14080" width="54.54296875" style="50"/>
    <col min="14081" max="14081" width="18.26953125" style="50" customWidth="1"/>
    <col min="14082" max="14082" width="67.26953125" style="50" customWidth="1"/>
    <col min="14083" max="14083" width="0" style="50" hidden="1" customWidth="1"/>
    <col min="14084" max="14336" width="54.54296875" style="50"/>
    <col min="14337" max="14337" width="18.26953125" style="50" customWidth="1"/>
    <col min="14338" max="14338" width="67.26953125" style="50" customWidth="1"/>
    <col min="14339" max="14339" width="0" style="50" hidden="1" customWidth="1"/>
    <col min="14340" max="14592" width="54.54296875" style="50"/>
    <col min="14593" max="14593" width="18.26953125" style="50" customWidth="1"/>
    <col min="14594" max="14594" width="67.26953125" style="50" customWidth="1"/>
    <col min="14595" max="14595" width="0" style="50" hidden="1" customWidth="1"/>
    <col min="14596" max="14848" width="54.54296875" style="50"/>
    <col min="14849" max="14849" width="18.26953125" style="50" customWidth="1"/>
    <col min="14850" max="14850" width="67.26953125" style="50" customWidth="1"/>
    <col min="14851" max="14851" width="0" style="50" hidden="1" customWidth="1"/>
    <col min="14852" max="15104" width="54.54296875" style="50"/>
    <col min="15105" max="15105" width="18.26953125" style="50" customWidth="1"/>
    <col min="15106" max="15106" width="67.26953125" style="50" customWidth="1"/>
    <col min="15107" max="15107" width="0" style="50" hidden="1" customWidth="1"/>
    <col min="15108" max="15360" width="54.54296875" style="50"/>
    <col min="15361" max="15361" width="18.26953125" style="50" customWidth="1"/>
    <col min="15362" max="15362" width="67.26953125" style="50" customWidth="1"/>
    <col min="15363" max="15363" width="0" style="50" hidden="1" customWidth="1"/>
    <col min="15364" max="15616" width="54.54296875" style="50"/>
    <col min="15617" max="15617" width="18.26953125" style="50" customWidth="1"/>
    <col min="15618" max="15618" width="67.26953125" style="50" customWidth="1"/>
    <col min="15619" max="15619" width="0" style="50" hidden="1" customWidth="1"/>
    <col min="15620" max="15872" width="54.54296875" style="50"/>
    <col min="15873" max="15873" width="18.26953125" style="50" customWidth="1"/>
    <col min="15874" max="15874" width="67.26953125" style="50" customWidth="1"/>
    <col min="15875" max="15875" width="0" style="50" hidden="1" customWidth="1"/>
    <col min="15876" max="16128" width="54.54296875" style="50"/>
    <col min="16129" max="16129" width="18.26953125" style="50" customWidth="1"/>
    <col min="16130" max="16130" width="67.26953125" style="50" customWidth="1"/>
    <col min="16131" max="16131" width="0" style="50" hidden="1" customWidth="1"/>
    <col min="16132" max="16384" width="54.54296875" style="50"/>
  </cols>
  <sheetData>
    <row r="1" spans="1:10" s="48" customFormat="1" ht="33.75" customHeight="1" x14ac:dyDescent="0.35">
      <c r="A1" s="47" t="s">
        <v>1731</v>
      </c>
      <c r="B1" s="47" t="s">
        <v>2874</v>
      </c>
      <c r="C1" s="47" t="s">
        <v>1733</v>
      </c>
      <c r="D1" s="47" t="s">
        <v>1734</v>
      </c>
      <c r="E1" s="47" t="s">
        <v>1735</v>
      </c>
      <c r="F1" s="47" t="s">
        <v>1736</v>
      </c>
      <c r="G1" s="67" t="s">
        <v>3014</v>
      </c>
      <c r="H1" s="68" t="s">
        <v>2964</v>
      </c>
      <c r="I1" s="69" t="s">
        <v>2965</v>
      </c>
      <c r="J1" s="69" t="s">
        <v>2966</v>
      </c>
    </row>
    <row r="2" spans="1:10" x14ac:dyDescent="0.35">
      <c r="A2" s="63" t="s">
        <v>2774</v>
      </c>
      <c r="B2" s="49" t="s">
        <v>2775</v>
      </c>
      <c r="C2" s="49" t="s">
        <v>2775</v>
      </c>
      <c r="D2" s="49" t="s">
        <v>2775</v>
      </c>
      <c r="E2" s="49" t="s">
        <v>2775</v>
      </c>
      <c r="F2" s="49">
        <v>0</v>
      </c>
      <c r="G2" s="66"/>
      <c r="H2" s="49" t="s">
        <v>3052</v>
      </c>
      <c r="I2" s="49" t="s">
        <v>3052</v>
      </c>
      <c r="J2" s="49" t="s">
        <v>3052</v>
      </c>
    </row>
    <row r="3" spans="1:10" x14ac:dyDescent="0.35">
      <c r="A3" s="49" t="s">
        <v>1615</v>
      </c>
      <c r="B3" s="49" t="s">
        <v>0</v>
      </c>
      <c r="C3" s="49" t="s">
        <v>0</v>
      </c>
      <c r="D3" s="57" t="s">
        <v>0</v>
      </c>
      <c r="E3" s="57" t="s">
        <v>0</v>
      </c>
      <c r="F3" s="49">
        <v>0</v>
      </c>
      <c r="G3" s="66"/>
      <c r="H3" s="49" t="s">
        <v>0</v>
      </c>
      <c r="I3" s="57" t="s">
        <v>0</v>
      </c>
      <c r="J3" s="57" t="s">
        <v>0</v>
      </c>
    </row>
    <row r="4" spans="1:10" ht="15" customHeight="1" x14ac:dyDescent="0.35">
      <c r="A4" s="49" t="s">
        <v>1616</v>
      </c>
      <c r="B4" s="49" t="s">
        <v>1</v>
      </c>
      <c r="C4" s="49" t="s">
        <v>2</v>
      </c>
      <c r="D4" s="57" t="s">
        <v>2</v>
      </c>
      <c r="E4" s="57" t="s">
        <v>2</v>
      </c>
      <c r="F4" s="49" t="s">
        <v>1614</v>
      </c>
      <c r="G4" s="50" t="s">
        <v>2977</v>
      </c>
      <c r="H4" s="49" t="s">
        <v>2945</v>
      </c>
      <c r="I4" s="57" t="s">
        <v>2945</v>
      </c>
      <c r="J4" s="57" t="s">
        <v>2945</v>
      </c>
    </row>
    <row r="5" spans="1:10" ht="15" customHeight="1" x14ac:dyDescent="0.35">
      <c r="A5" s="49" t="s">
        <v>2785</v>
      </c>
      <c r="B5" s="49" t="s">
        <v>2903</v>
      </c>
      <c r="C5" s="49" t="s">
        <v>2904</v>
      </c>
      <c r="D5" s="49" t="s">
        <v>2904</v>
      </c>
      <c r="E5" s="57" t="s">
        <v>2905</v>
      </c>
      <c r="F5" s="49">
        <v>0</v>
      </c>
      <c r="G5" s="50" t="s">
        <v>2978</v>
      </c>
      <c r="H5" s="49" t="s">
        <v>2954</v>
      </c>
      <c r="I5" s="49" t="s">
        <v>2954</v>
      </c>
      <c r="J5" s="49" t="s">
        <v>2962</v>
      </c>
    </row>
    <row r="6" spans="1:10" ht="15" customHeight="1" x14ac:dyDescent="0.35">
      <c r="A6" s="49" t="s">
        <v>2820</v>
      </c>
      <c r="B6" s="49" t="s">
        <v>2817</v>
      </c>
      <c r="C6" s="49" t="s">
        <v>2817</v>
      </c>
      <c r="D6" s="57" t="s">
        <v>2</v>
      </c>
      <c r="E6" s="57" t="s">
        <v>2</v>
      </c>
      <c r="F6" s="49">
        <v>0</v>
      </c>
      <c r="G6" s="66"/>
      <c r="H6" s="49" t="s">
        <v>2967</v>
      </c>
      <c r="I6" s="57" t="s">
        <v>2945</v>
      </c>
      <c r="J6" s="57" t="s">
        <v>2945</v>
      </c>
    </row>
    <row r="7" spans="1:10" ht="15" customHeight="1" x14ac:dyDescent="0.35">
      <c r="A7" s="49" t="s">
        <v>2842</v>
      </c>
      <c r="B7" s="49" t="s">
        <v>2907</v>
      </c>
      <c r="C7" s="49" t="s">
        <v>2905</v>
      </c>
      <c r="D7" s="57" t="s">
        <v>2905</v>
      </c>
      <c r="E7" s="57" t="s">
        <v>2905</v>
      </c>
      <c r="F7" s="49">
        <v>0</v>
      </c>
      <c r="G7" s="50" t="s">
        <v>2976</v>
      </c>
      <c r="H7" s="49" t="s">
        <v>2962</v>
      </c>
      <c r="I7" s="57" t="s">
        <v>2962</v>
      </c>
      <c r="J7" s="57" t="s">
        <v>2962</v>
      </c>
    </row>
    <row r="8" spans="1:10" ht="15" customHeight="1" x14ac:dyDescent="0.35">
      <c r="A8" s="49" t="s">
        <v>1617</v>
      </c>
      <c r="B8" s="49" t="s">
        <v>2906</v>
      </c>
      <c r="C8" s="49" t="s">
        <v>2908</v>
      </c>
      <c r="D8" s="49" t="s">
        <v>2908</v>
      </c>
      <c r="E8" s="57" t="s">
        <v>2908</v>
      </c>
      <c r="F8" s="49">
        <v>0</v>
      </c>
      <c r="G8" s="50" t="s">
        <v>2975</v>
      </c>
      <c r="H8" s="49" t="s">
        <v>2946</v>
      </c>
      <c r="I8" s="49" t="s">
        <v>2946</v>
      </c>
      <c r="J8" s="49" t="s">
        <v>2946</v>
      </c>
    </row>
    <row r="9" spans="1:10" ht="15" customHeight="1" x14ac:dyDescent="0.35">
      <c r="A9" s="49" t="s">
        <v>2768</v>
      </c>
      <c r="B9" s="49" t="s">
        <v>2769</v>
      </c>
      <c r="C9" s="49" t="s">
        <v>2776</v>
      </c>
      <c r="D9" s="49" t="s">
        <v>2908</v>
      </c>
      <c r="E9" s="57" t="s">
        <v>2908</v>
      </c>
      <c r="F9" s="49">
        <v>0</v>
      </c>
      <c r="G9" s="66"/>
      <c r="H9" s="49" t="s">
        <v>3053</v>
      </c>
      <c r="I9" s="49" t="s">
        <v>2946</v>
      </c>
      <c r="J9" s="49" t="s">
        <v>2946</v>
      </c>
    </row>
    <row r="10" spans="1:10" ht="15" customHeight="1" x14ac:dyDescent="0.35">
      <c r="A10" s="49" t="s">
        <v>2773</v>
      </c>
      <c r="B10" s="49" t="s">
        <v>28</v>
      </c>
      <c r="C10" s="49" t="s">
        <v>28</v>
      </c>
      <c r="D10" s="49" t="s">
        <v>2908</v>
      </c>
      <c r="E10" s="57" t="s">
        <v>2908</v>
      </c>
      <c r="F10" s="49">
        <v>0</v>
      </c>
      <c r="G10" s="66"/>
      <c r="H10" s="49" t="s">
        <v>3046</v>
      </c>
      <c r="I10" s="49" t="s">
        <v>2946</v>
      </c>
      <c r="J10" s="49" t="s">
        <v>2946</v>
      </c>
    </row>
    <row r="11" spans="1:10" ht="15" customHeight="1" x14ac:dyDescent="0.35">
      <c r="A11" s="49" t="s">
        <v>2781</v>
      </c>
      <c r="B11" s="49" t="s">
        <v>2924</v>
      </c>
      <c r="C11" s="49" t="s">
        <v>2924</v>
      </c>
      <c r="D11" s="49" t="s">
        <v>2908</v>
      </c>
      <c r="E11" s="57" t="s">
        <v>2908</v>
      </c>
      <c r="F11" s="49">
        <v>0</v>
      </c>
      <c r="G11" s="50" t="s">
        <v>2973</v>
      </c>
      <c r="H11" s="49" t="s">
        <v>3057</v>
      </c>
      <c r="I11" s="49" t="s">
        <v>2946</v>
      </c>
      <c r="J11" s="49" t="s">
        <v>2946</v>
      </c>
    </row>
    <row r="12" spans="1:10" ht="15" customHeight="1" x14ac:dyDescent="0.35">
      <c r="A12" s="63" t="s">
        <v>2782</v>
      </c>
      <c r="B12" s="49" t="s">
        <v>2873</v>
      </c>
      <c r="C12" s="49" t="s">
        <v>2875</v>
      </c>
      <c r="D12" s="49" t="s">
        <v>2908</v>
      </c>
      <c r="E12" s="57" t="s">
        <v>2908</v>
      </c>
      <c r="F12" s="49">
        <v>0</v>
      </c>
      <c r="G12" s="50" t="s">
        <v>2969</v>
      </c>
      <c r="H12" s="49" t="s">
        <v>2969</v>
      </c>
      <c r="I12" s="49" t="s">
        <v>2946</v>
      </c>
      <c r="J12" s="49" t="s">
        <v>2946</v>
      </c>
    </row>
    <row r="13" spans="1:10" ht="15" customHeight="1" x14ac:dyDescent="0.35">
      <c r="A13" s="49" t="s">
        <v>2900</v>
      </c>
      <c r="B13" s="49" t="s">
        <v>2901</v>
      </c>
      <c r="C13" s="49" t="s">
        <v>2901</v>
      </c>
      <c r="D13" s="49" t="s">
        <v>2908</v>
      </c>
      <c r="E13" s="57" t="s">
        <v>2908</v>
      </c>
      <c r="F13" s="49">
        <v>0</v>
      </c>
      <c r="G13" s="50" t="s">
        <v>2974</v>
      </c>
      <c r="H13" s="49" t="s">
        <v>3019</v>
      </c>
      <c r="I13" s="49" t="s">
        <v>2946</v>
      </c>
      <c r="J13" s="49" t="s">
        <v>2946</v>
      </c>
    </row>
    <row r="14" spans="1:10" ht="15" customHeight="1" x14ac:dyDescent="0.35">
      <c r="A14" s="49" t="s">
        <v>1737</v>
      </c>
      <c r="B14" s="49" t="s">
        <v>3096</v>
      </c>
      <c r="C14" s="49" t="s">
        <v>3096</v>
      </c>
      <c r="D14" s="49" t="s">
        <v>3096</v>
      </c>
      <c r="E14" s="49" t="s">
        <v>3096</v>
      </c>
      <c r="F14" s="49">
        <v>0</v>
      </c>
      <c r="G14" s="50" t="s">
        <v>2972</v>
      </c>
      <c r="H14" s="49" t="s">
        <v>3097</v>
      </c>
      <c r="I14" s="49" t="s">
        <v>3097</v>
      </c>
      <c r="J14" s="49" t="s">
        <v>3097</v>
      </c>
    </row>
    <row r="15" spans="1:10" ht="15" customHeight="1" x14ac:dyDescent="0.35">
      <c r="A15" s="49" t="s">
        <v>1618</v>
      </c>
      <c r="B15" s="49" t="s">
        <v>2863</v>
      </c>
      <c r="C15" s="49" t="s">
        <v>2878</v>
      </c>
      <c r="D15" s="49" t="s">
        <v>2878</v>
      </c>
      <c r="E15" s="49" t="s">
        <v>3096</v>
      </c>
      <c r="F15" s="49">
        <v>0</v>
      </c>
      <c r="G15" s="50" t="s">
        <v>2971</v>
      </c>
      <c r="H15" s="49" t="s">
        <v>2947</v>
      </c>
      <c r="I15" s="49" t="s">
        <v>2947</v>
      </c>
      <c r="J15" s="49" t="s">
        <v>3097</v>
      </c>
    </row>
    <row r="16" spans="1:10" ht="15" customHeight="1" x14ac:dyDescent="0.35">
      <c r="A16" s="63" t="s">
        <v>1619</v>
      </c>
      <c r="B16" s="57" t="s">
        <v>3051</v>
      </c>
      <c r="C16" s="49" t="s">
        <v>2878</v>
      </c>
      <c r="D16" s="57" t="s">
        <v>2878</v>
      </c>
      <c r="E16" s="49" t="s">
        <v>3096</v>
      </c>
      <c r="F16" s="49">
        <v>0</v>
      </c>
      <c r="G16" s="66"/>
      <c r="H16" s="49" t="s">
        <v>2947</v>
      </c>
      <c r="I16" s="57" t="s">
        <v>2947</v>
      </c>
      <c r="J16" s="49" t="s">
        <v>3097</v>
      </c>
    </row>
    <row r="17" spans="1:10" ht="15" customHeight="1" x14ac:dyDescent="0.35">
      <c r="A17" s="49" t="s">
        <v>2824</v>
      </c>
      <c r="B17" s="57" t="s">
        <v>2828</v>
      </c>
      <c r="C17" s="57" t="s">
        <v>2879</v>
      </c>
      <c r="D17" s="49" t="s">
        <v>2878</v>
      </c>
      <c r="E17" s="49" t="s">
        <v>3096</v>
      </c>
      <c r="F17" s="49">
        <v>0</v>
      </c>
      <c r="G17" s="50" t="s">
        <v>2970</v>
      </c>
      <c r="H17" s="57" t="s">
        <v>3059</v>
      </c>
      <c r="I17" s="49" t="s">
        <v>2947</v>
      </c>
      <c r="J17" s="49" t="s">
        <v>3097</v>
      </c>
    </row>
    <row r="18" spans="1:10" ht="15" customHeight="1" x14ac:dyDescent="0.35">
      <c r="A18" s="49" t="s">
        <v>2825</v>
      </c>
      <c r="B18" s="57" t="s">
        <v>2829</v>
      </c>
      <c r="C18" s="57" t="s">
        <v>2829</v>
      </c>
      <c r="D18" s="57" t="s">
        <v>2878</v>
      </c>
      <c r="E18" s="49" t="s">
        <v>3096</v>
      </c>
      <c r="F18" s="49">
        <v>0</v>
      </c>
      <c r="G18" s="50" t="s">
        <v>2979</v>
      </c>
      <c r="H18" s="57" t="s">
        <v>3060</v>
      </c>
      <c r="I18" s="57" t="s">
        <v>2947</v>
      </c>
      <c r="J18" s="49" t="s">
        <v>3097</v>
      </c>
    </row>
    <row r="19" spans="1:10" ht="15" customHeight="1" x14ac:dyDescent="0.35">
      <c r="A19" s="49" t="s">
        <v>2826</v>
      </c>
      <c r="B19" s="57" t="s">
        <v>2830</v>
      </c>
      <c r="C19" s="57" t="s">
        <v>2830</v>
      </c>
      <c r="D19" s="57" t="s">
        <v>2878</v>
      </c>
      <c r="E19" s="49" t="s">
        <v>3096</v>
      </c>
      <c r="F19" s="49">
        <v>0</v>
      </c>
      <c r="G19" s="50" t="s">
        <v>2980</v>
      </c>
      <c r="H19" s="57" t="s">
        <v>3061</v>
      </c>
      <c r="I19" s="57" t="s">
        <v>2947</v>
      </c>
      <c r="J19" s="49" t="s">
        <v>3097</v>
      </c>
    </row>
    <row r="20" spans="1:10" ht="15" customHeight="1" x14ac:dyDescent="0.35">
      <c r="A20" s="49" t="s">
        <v>2827</v>
      </c>
      <c r="B20" s="57" t="s">
        <v>2831</v>
      </c>
      <c r="C20" s="57" t="s">
        <v>2878</v>
      </c>
      <c r="D20" s="57" t="s">
        <v>2878</v>
      </c>
      <c r="E20" s="49" t="s">
        <v>3096</v>
      </c>
      <c r="F20" s="49">
        <v>0</v>
      </c>
      <c r="G20" s="66"/>
      <c r="H20" s="57" t="s">
        <v>2947</v>
      </c>
      <c r="I20" s="57" t="s">
        <v>2947</v>
      </c>
      <c r="J20" s="49" t="s">
        <v>3097</v>
      </c>
    </row>
    <row r="21" spans="1:10" ht="15" customHeight="1" x14ac:dyDescent="0.35">
      <c r="A21" s="49" t="s">
        <v>1620</v>
      </c>
      <c r="B21" s="49" t="s">
        <v>2816</v>
      </c>
      <c r="C21" s="49" t="s">
        <v>2816</v>
      </c>
      <c r="D21" s="49" t="s">
        <v>2816</v>
      </c>
      <c r="E21" s="57" t="s">
        <v>2816</v>
      </c>
      <c r="F21" s="49">
        <v>0</v>
      </c>
      <c r="G21" s="50" t="s">
        <v>2981</v>
      </c>
      <c r="H21" s="49" t="s">
        <v>2948</v>
      </c>
      <c r="I21" s="49" t="s">
        <v>2948</v>
      </c>
      <c r="J21" s="49" t="s">
        <v>2948</v>
      </c>
    </row>
    <row r="22" spans="1:10" x14ac:dyDescent="0.35">
      <c r="A22" s="49" t="s">
        <v>1621</v>
      </c>
      <c r="B22" s="49" t="s">
        <v>3</v>
      </c>
      <c r="C22" s="49" t="s">
        <v>3</v>
      </c>
      <c r="D22" s="57" t="s">
        <v>3</v>
      </c>
      <c r="E22" s="57" t="s">
        <v>2816</v>
      </c>
      <c r="F22" s="49">
        <v>0</v>
      </c>
      <c r="G22" s="50" t="s">
        <v>2982</v>
      </c>
      <c r="H22" s="49" t="s">
        <v>2949</v>
      </c>
      <c r="I22" s="57" t="s">
        <v>2949</v>
      </c>
      <c r="J22" s="49" t="s">
        <v>2948</v>
      </c>
    </row>
    <row r="23" spans="1:10" ht="13.5" customHeight="1" x14ac:dyDescent="0.35">
      <c r="A23" s="63" t="s">
        <v>1622</v>
      </c>
      <c r="B23" s="49" t="s">
        <v>1708</v>
      </c>
      <c r="C23" s="49" t="s">
        <v>1708</v>
      </c>
      <c r="D23" s="57" t="s">
        <v>3</v>
      </c>
      <c r="E23" s="57" t="s">
        <v>2816</v>
      </c>
      <c r="F23" s="49">
        <v>0</v>
      </c>
      <c r="G23" s="66"/>
      <c r="H23" s="49" t="s">
        <v>1708</v>
      </c>
      <c r="I23" s="57" t="s">
        <v>2949</v>
      </c>
      <c r="J23" s="49" t="s">
        <v>2948</v>
      </c>
    </row>
    <row r="24" spans="1:10" ht="13.5" customHeight="1" x14ac:dyDescent="0.35">
      <c r="A24" s="49" t="s">
        <v>1623</v>
      </c>
      <c r="B24" s="49" t="s">
        <v>4</v>
      </c>
      <c r="C24" s="49" t="s">
        <v>4</v>
      </c>
      <c r="D24" s="57" t="s">
        <v>3</v>
      </c>
      <c r="E24" s="57" t="s">
        <v>2816</v>
      </c>
      <c r="F24" s="49">
        <v>0</v>
      </c>
      <c r="G24" s="50" t="s">
        <v>2983</v>
      </c>
      <c r="H24" s="49" t="s">
        <v>3055</v>
      </c>
      <c r="I24" s="57" t="s">
        <v>2949</v>
      </c>
      <c r="J24" s="49" t="s">
        <v>2948</v>
      </c>
    </row>
    <row r="25" spans="1:10" ht="15" customHeight="1" x14ac:dyDescent="0.35">
      <c r="A25" s="64" t="s">
        <v>1624</v>
      </c>
      <c r="B25" s="49" t="s">
        <v>5</v>
      </c>
      <c r="C25" s="49" t="s">
        <v>5</v>
      </c>
      <c r="D25" s="57" t="s">
        <v>3</v>
      </c>
      <c r="E25" s="57" t="s">
        <v>2816</v>
      </c>
      <c r="F25" s="49" t="s">
        <v>1592</v>
      </c>
      <c r="G25" s="50" t="s">
        <v>2984</v>
      </c>
      <c r="H25" s="49" t="s">
        <v>3015</v>
      </c>
      <c r="I25" s="57" t="s">
        <v>2949</v>
      </c>
      <c r="J25" s="49" t="s">
        <v>2948</v>
      </c>
    </row>
    <row r="26" spans="1:10" ht="15" customHeight="1" x14ac:dyDescent="0.35">
      <c r="A26" s="64" t="s">
        <v>3048</v>
      </c>
      <c r="B26" s="49" t="s">
        <v>3050</v>
      </c>
      <c r="C26" s="49" t="s">
        <v>3050</v>
      </c>
      <c r="D26" s="57" t="s">
        <v>3</v>
      </c>
      <c r="E26" s="57" t="s">
        <v>2816</v>
      </c>
      <c r="F26" s="49" t="s">
        <v>1592</v>
      </c>
      <c r="G26" s="50" t="s">
        <v>3049</v>
      </c>
      <c r="H26" s="49" t="s">
        <v>3058</v>
      </c>
      <c r="I26" s="57" t="s">
        <v>2949</v>
      </c>
      <c r="J26" s="49" t="s">
        <v>2948</v>
      </c>
    </row>
    <row r="27" spans="1:10" ht="12" customHeight="1" x14ac:dyDescent="0.35">
      <c r="A27" s="49" t="s">
        <v>1625</v>
      </c>
      <c r="B27" s="57" t="s">
        <v>2909</v>
      </c>
      <c r="C27" s="57" t="s">
        <v>2909</v>
      </c>
      <c r="D27" s="57" t="s">
        <v>2909</v>
      </c>
      <c r="E27" s="57" t="s">
        <v>2909</v>
      </c>
      <c r="F27" s="49">
        <v>0</v>
      </c>
      <c r="G27" s="50" t="s">
        <v>3037</v>
      </c>
      <c r="H27" s="57" t="s">
        <v>2950</v>
      </c>
      <c r="I27" s="57" t="s">
        <v>2950</v>
      </c>
      <c r="J27" s="57" t="s">
        <v>2950</v>
      </c>
    </row>
    <row r="28" spans="1:10" ht="15" customHeight="1" x14ac:dyDescent="0.35">
      <c r="A28" s="49" t="s">
        <v>1626</v>
      </c>
      <c r="B28" s="49" t="s">
        <v>6</v>
      </c>
      <c r="C28" s="49" t="s">
        <v>6</v>
      </c>
      <c r="D28" s="57" t="s">
        <v>6</v>
      </c>
      <c r="E28" s="57" t="s">
        <v>2905</v>
      </c>
      <c r="F28" s="49" t="s">
        <v>1592</v>
      </c>
      <c r="G28" s="50" t="s">
        <v>2986</v>
      </c>
      <c r="H28" s="49" t="s">
        <v>2951</v>
      </c>
      <c r="I28" s="57" t="s">
        <v>2951</v>
      </c>
      <c r="J28" s="57" t="s">
        <v>2962</v>
      </c>
    </row>
    <row r="29" spans="1:10" ht="15" customHeight="1" x14ac:dyDescent="0.35">
      <c r="A29" s="49" t="s">
        <v>1627</v>
      </c>
      <c r="B29" s="49" t="s">
        <v>7</v>
      </c>
      <c r="C29" s="49" t="s">
        <v>7</v>
      </c>
      <c r="D29" s="57" t="s">
        <v>6</v>
      </c>
      <c r="E29" s="57" t="s">
        <v>2905</v>
      </c>
      <c r="F29" s="49">
        <v>0</v>
      </c>
      <c r="G29" s="50" t="s">
        <v>2987</v>
      </c>
      <c r="H29" s="49" t="s">
        <v>3056</v>
      </c>
      <c r="I29" s="57" t="s">
        <v>2951</v>
      </c>
      <c r="J29" s="57" t="s">
        <v>2962</v>
      </c>
    </row>
    <row r="30" spans="1:10" ht="15" customHeight="1" x14ac:dyDescent="0.35">
      <c r="A30" s="49" t="s">
        <v>3026</v>
      </c>
      <c r="B30" s="49" t="s">
        <v>3027</v>
      </c>
      <c r="C30" s="49" t="s">
        <v>3027</v>
      </c>
      <c r="D30" s="57" t="s">
        <v>6</v>
      </c>
      <c r="E30" s="57" t="s">
        <v>2905</v>
      </c>
      <c r="F30" s="49">
        <v>0</v>
      </c>
      <c r="G30" s="50" t="s">
        <v>3028</v>
      </c>
      <c r="H30" s="49" t="s">
        <v>3029</v>
      </c>
      <c r="I30" s="57" t="s">
        <v>2951</v>
      </c>
      <c r="J30" s="57" t="s">
        <v>2962</v>
      </c>
    </row>
    <row r="31" spans="1:10" ht="15" customHeight="1" x14ac:dyDescent="0.35">
      <c r="A31" s="49" t="s">
        <v>1628</v>
      </c>
      <c r="B31" s="49" t="s">
        <v>3115</v>
      </c>
      <c r="C31" s="49" t="s">
        <v>3103</v>
      </c>
      <c r="D31" s="49" t="s">
        <v>3103</v>
      </c>
      <c r="E31" s="49" t="s">
        <v>3103</v>
      </c>
      <c r="F31" s="49">
        <v>0</v>
      </c>
      <c r="G31" s="50" t="s">
        <v>2988</v>
      </c>
      <c r="H31" s="49" t="s">
        <v>2952</v>
      </c>
      <c r="I31" s="49" t="s">
        <v>2952</v>
      </c>
      <c r="J31" s="49" t="s">
        <v>2952</v>
      </c>
    </row>
    <row r="32" spans="1:10" ht="15" customHeight="1" x14ac:dyDescent="0.35">
      <c r="A32" s="57" t="s">
        <v>1629</v>
      </c>
      <c r="B32" s="57" t="s">
        <v>2815</v>
      </c>
      <c r="C32" s="57" t="s">
        <v>2815</v>
      </c>
      <c r="D32" s="57" t="s">
        <v>2815</v>
      </c>
      <c r="E32" s="57" t="s">
        <v>2815</v>
      </c>
      <c r="F32" s="58"/>
      <c r="G32" s="50" t="s">
        <v>3038</v>
      </c>
      <c r="H32" s="57" t="s">
        <v>2953</v>
      </c>
      <c r="I32" s="57" t="s">
        <v>2953</v>
      </c>
      <c r="J32" s="57" t="s">
        <v>2953</v>
      </c>
    </row>
    <row r="33" spans="1:10" ht="15" customHeight="1" x14ac:dyDescent="0.35">
      <c r="A33" s="81" t="s">
        <v>3186</v>
      </c>
      <c r="B33" s="81" t="s">
        <v>3191</v>
      </c>
      <c r="C33" s="49" t="s">
        <v>3191</v>
      </c>
      <c r="D33" s="57" t="s">
        <v>2815</v>
      </c>
      <c r="E33" s="57" t="s">
        <v>2815</v>
      </c>
      <c r="F33" s="49"/>
      <c r="G33" s="66"/>
      <c r="H33" s="49" t="s">
        <v>3187</v>
      </c>
      <c r="I33" s="57" t="s">
        <v>2953</v>
      </c>
      <c r="J33" s="57" t="s">
        <v>2953</v>
      </c>
    </row>
    <row r="34" spans="1:10" ht="15" customHeight="1" x14ac:dyDescent="0.35">
      <c r="A34" s="49" t="s">
        <v>1630</v>
      </c>
      <c r="B34" s="49" t="s">
        <v>1711</v>
      </c>
      <c r="C34" s="49" t="s">
        <v>1711</v>
      </c>
      <c r="D34" s="57" t="s">
        <v>3108</v>
      </c>
      <c r="E34" s="57" t="s">
        <v>2815</v>
      </c>
      <c r="F34" s="49" t="s">
        <v>1673</v>
      </c>
      <c r="G34" s="50" t="s">
        <v>3070</v>
      </c>
      <c r="H34" s="49" t="s">
        <v>3017</v>
      </c>
      <c r="I34" s="57" t="s">
        <v>3109</v>
      </c>
      <c r="J34" s="57" t="s">
        <v>2953</v>
      </c>
    </row>
    <row r="35" spans="1:10" ht="15" customHeight="1" x14ac:dyDescent="0.35">
      <c r="A35" s="49" t="s">
        <v>1797</v>
      </c>
      <c r="B35" s="49" t="s">
        <v>1798</v>
      </c>
      <c r="C35" s="49" t="s">
        <v>1711</v>
      </c>
      <c r="D35" s="57" t="s">
        <v>3108</v>
      </c>
      <c r="E35" s="57" t="s">
        <v>2815</v>
      </c>
      <c r="F35" s="49" t="s">
        <v>1614</v>
      </c>
      <c r="G35" s="50" t="s">
        <v>3070</v>
      </c>
      <c r="H35" s="49" t="s">
        <v>3039</v>
      </c>
      <c r="I35" s="57" t="s">
        <v>3109</v>
      </c>
      <c r="J35" s="57" t="s">
        <v>2953</v>
      </c>
    </row>
    <row r="36" spans="1:10" ht="15" customHeight="1" x14ac:dyDescent="0.35">
      <c r="A36" s="49" t="s">
        <v>3033</v>
      </c>
      <c r="B36" s="49" t="s">
        <v>3034</v>
      </c>
      <c r="C36" s="49" t="s">
        <v>1711</v>
      </c>
      <c r="D36" s="57" t="s">
        <v>3108</v>
      </c>
      <c r="E36" s="57" t="s">
        <v>2815</v>
      </c>
      <c r="F36" s="49" t="s">
        <v>1614</v>
      </c>
      <c r="G36" s="50" t="s">
        <v>3070</v>
      </c>
      <c r="H36" s="49" t="s">
        <v>3040</v>
      </c>
      <c r="I36" s="57" t="s">
        <v>3109</v>
      </c>
      <c r="J36" s="57" t="s">
        <v>2953</v>
      </c>
    </row>
    <row r="37" spans="1:10" s="52" customFormat="1" ht="15" customHeight="1" x14ac:dyDescent="0.35">
      <c r="A37" s="49" t="s">
        <v>3035</v>
      </c>
      <c r="B37" s="49" t="s">
        <v>3036</v>
      </c>
      <c r="C37" s="49" t="s">
        <v>1711</v>
      </c>
      <c r="D37" s="57" t="s">
        <v>3108</v>
      </c>
      <c r="E37" s="57" t="s">
        <v>2815</v>
      </c>
      <c r="F37" s="49" t="s">
        <v>1614</v>
      </c>
      <c r="G37" s="50" t="s">
        <v>3070</v>
      </c>
      <c r="H37" s="49" t="s">
        <v>3041</v>
      </c>
      <c r="I37" s="57" t="s">
        <v>3109</v>
      </c>
      <c r="J37" s="57" t="s">
        <v>2953</v>
      </c>
    </row>
    <row r="38" spans="1:10" s="52" customFormat="1" ht="15" customHeight="1" x14ac:dyDescent="0.35">
      <c r="A38" s="49" t="s">
        <v>3064</v>
      </c>
      <c r="B38" s="49" t="s">
        <v>3067</v>
      </c>
      <c r="C38" s="49" t="s">
        <v>1711</v>
      </c>
      <c r="D38" s="57" t="s">
        <v>3108</v>
      </c>
      <c r="E38" s="57" t="s">
        <v>2815</v>
      </c>
      <c r="F38" s="49" t="s">
        <v>1614</v>
      </c>
      <c r="G38" s="50" t="s">
        <v>3070</v>
      </c>
      <c r="H38" s="49" t="s">
        <v>3041</v>
      </c>
      <c r="I38" s="57" t="s">
        <v>3109</v>
      </c>
      <c r="J38" s="57" t="s">
        <v>2953</v>
      </c>
    </row>
    <row r="39" spans="1:10" s="52" customFormat="1" ht="15" customHeight="1" x14ac:dyDescent="0.35">
      <c r="A39" s="49" t="s">
        <v>3065</v>
      </c>
      <c r="B39" s="49" t="s">
        <v>3068</v>
      </c>
      <c r="C39" s="49" t="s">
        <v>1711</v>
      </c>
      <c r="D39" s="57" t="s">
        <v>3108</v>
      </c>
      <c r="E39" s="57" t="s">
        <v>2815</v>
      </c>
      <c r="F39" s="49" t="s">
        <v>1614</v>
      </c>
      <c r="G39" s="50" t="s">
        <v>3070</v>
      </c>
      <c r="H39" s="49" t="s">
        <v>3041</v>
      </c>
      <c r="I39" s="57" t="s">
        <v>3109</v>
      </c>
      <c r="J39" s="57" t="s">
        <v>2953</v>
      </c>
    </row>
    <row r="40" spans="1:10" s="52" customFormat="1" ht="15" customHeight="1" x14ac:dyDescent="0.35">
      <c r="A40" s="49" t="s">
        <v>3066</v>
      </c>
      <c r="B40" s="49" t="s">
        <v>3069</v>
      </c>
      <c r="C40" s="49" t="s">
        <v>1711</v>
      </c>
      <c r="D40" s="57" t="s">
        <v>3108</v>
      </c>
      <c r="E40" s="57" t="s">
        <v>2815</v>
      </c>
      <c r="F40" s="49" t="s">
        <v>1614</v>
      </c>
      <c r="G40" s="50" t="s">
        <v>3070</v>
      </c>
      <c r="H40" s="49" t="s">
        <v>3041</v>
      </c>
      <c r="I40" s="57" t="s">
        <v>3109</v>
      </c>
      <c r="J40" s="57" t="s">
        <v>2953</v>
      </c>
    </row>
    <row r="41" spans="1:10" s="52" customFormat="1" ht="15" customHeight="1" x14ac:dyDescent="0.35">
      <c r="A41" s="49" t="s">
        <v>3072</v>
      </c>
      <c r="B41" s="49" t="s">
        <v>3084</v>
      </c>
      <c r="C41" s="49" t="s">
        <v>1711</v>
      </c>
      <c r="D41" s="57" t="s">
        <v>3108</v>
      </c>
      <c r="E41" s="57" t="s">
        <v>2815</v>
      </c>
      <c r="F41" s="49" t="s">
        <v>1614</v>
      </c>
      <c r="G41" s="50" t="s">
        <v>3070</v>
      </c>
      <c r="H41" s="49" t="s">
        <v>3041</v>
      </c>
      <c r="I41" s="57" t="s">
        <v>3109</v>
      </c>
      <c r="J41" s="57" t="s">
        <v>2953</v>
      </c>
    </row>
    <row r="42" spans="1:10" s="52" customFormat="1" ht="15" customHeight="1" x14ac:dyDescent="0.35">
      <c r="A42" s="49" t="s">
        <v>3073</v>
      </c>
      <c r="B42" s="49" t="s">
        <v>3085</v>
      </c>
      <c r="C42" s="49" t="s">
        <v>1711</v>
      </c>
      <c r="D42" s="57" t="s">
        <v>3108</v>
      </c>
      <c r="E42" s="57" t="s">
        <v>2815</v>
      </c>
      <c r="F42" s="49" t="s">
        <v>1614</v>
      </c>
      <c r="G42" s="50" t="s">
        <v>3070</v>
      </c>
      <c r="H42" s="49" t="s">
        <v>3041</v>
      </c>
      <c r="I42" s="57" t="s">
        <v>3109</v>
      </c>
      <c r="J42" s="57" t="s">
        <v>2953</v>
      </c>
    </row>
    <row r="43" spans="1:10" s="52" customFormat="1" ht="15" customHeight="1" x14ac:dyDescent="0.35">
      <c r="A43" s="49" t="s">
        <v>3074</v>
      </c>
      <c r="B43" s="49" t="s">
        <v>3086</v>
      </c>
      <c r="C43" s="49" t="s">
        <v>1711</v>
      </c>
      <c r="D43" s="57" t="s">
        <v>3108</v>
      </c>
      <c r="E43" s="57" t="s">
        <v>2815</v>
      </c>
      <c r="F43" s="49" t="s">
        <v>1614</v>
      </c>
      <c r="G43" s="50" t="s">
        <v>3070</v>
      </c>
      <c r="H43" s="49" t="s">
        <v>3041</v>
      </c>
      <c r="I43" s="57" t="s">
        <v>3109</v>
      </c>
      <c r="J43" s="57" t="s">
        <v>2953</v>
      </c>
    </row>
    <row r="44" spans="1:10" s="52" customFormat="1" ht="15" customHeight="1" x14ac:dyDescent="0.35">
      <c r="A44" s="49" t="s">
        <v>3075</v>
      </c>
      <c r="B44" s="49" t="s">
        <v>3087</v>
      </c>
      <c r="C44" s="49" t="s">
        <v>1711</v>
      </c>
      <c r="D44" s="57" t="s">
        <v>3108</v>
      </c>
      <c r="E44" s="57" t="s">
        <v>2815</v>
      </c>
      <c r="F44" s="49" t="s">
        <v>1614</v>
      </c>
      <c r="G44" s="50" t="s">
        <v>3070</v>
      </c>
      <c r="H44" s="49" t="s">
        <v>3041</v>
      </c>
      <c r="I44" s="57" t="s">
        <v>3109</v>
      </c>
      <c r="J44" s="57" t="s">
        <v>2953</v>
      </c>
    </row>
    <row r="45" spans="1:10" s="52" customFormat="1" ht="15" customHeight="1" x14ac:dyDescent="0.35">
      <c r="A45" s="49" t="s">
        <v>3076</v>
      </c>
      <c r="B45" s="49" t="s">
        <v>3088</v>
      </c>
      <c r="C45" s="49" t="s">
        <v>1711</v>
      </c>
      <c r="D45" s="57" t="s">
        <v>3108</v>
      </c>
      <c r="E45" s="57" t="s">
        <v>2815</v>
      </c>
      <c r="F45" s="49" t="s">
        <v>1614</v>
      </c>
      <c r="G45" s="50" t="s">
        <v>3070</v>
      </c>
      <c r="H45" s="49" t="s">
        <v>3041</v>
      </c>
      <c r="I45" s="57" t="s">
        <v>3109</v>
      </c>
      <c r="J45" s="57" t="s">
        <v>2953</v>
      </c>
    </row>
    <row r="46" spans="1:10" s="52" customFormat="1" ht="15" customHeight="1" x14ac:dyDescent="0.35">
      <c r="A46" s="49" t="s">
        <v>3077</v>
      </c>
      <c r="B46" s="49" t="s">
        <v>3089</v>
      </c>
      <c r="C46" s="49" t="s">
        <v>1711</v>
      </c>
      <c r="D46" s="57" t="s">
        <v>3108</v>
      </c>
      <c r="E46" s="57" t="s">
        <v>2815</v>
      </c>
      <c r="F46" s="49" t="s">
        <v>1614</v>
      </c>
      <c r="G46" s="50" t="s">
        <v>3070</v>
      </c>
      <c r="H46" s="49" t="s">
        <v>3041</v>
      </c>
      <c r="I46" s="57" t="s">
        <v>3109</v>
      </c>
      <c r="J46" s="57" t="s">
        <v>2953</v>
      </c>
    </row>
    <row r="47" spans="1:10" s="52" customFormat="1" ht="15" customHeight="1" x14ac:dyDescent="0.35">
      <c r="A47" s="49" t="s">
        <v>3078</v>
      </c>
      <c r="B47" s="49" t="s">
        <v>3090</v>
      </c>
      <c r="C47" s="49" t="s">
        <v>1711</v>
      </c>
      <c r="D47" s="57" t="s">
        <v>3108</v>
      </c>
      <c r="E47" s="57" t="s">
        <v>2815</v>
      </c>
      <c r="F47" s="49" t="s">
        <v>1614</v>
      </c>
      <c r="G47" s="50" t="s">
        <v>3070</v>
      </c>
      <c r="H47" s="49" t="s">
        <v>3041</v>
      </c>
      <c r="I47" s="57" t="s">
        <v>3109</v>
      </c>
      <c r="J47" s="57" t="s">
        <v>2953</v>
      </c>
    </row>
    <row r="48" spans="1:10" s="52" customFormat="1" ht="15" customHeight="1" x14ac:dyDescent="0.35">
      <c r="A48" s="49" t="s">
        <v>3079</v>
      </c>
      <c r="B48" s="49" t="s">
        <v>3091</v>
      </c>
      <c r="C48" s="49" t="s">
        <v>1711</v>
      </c>
      <c r="D48" s="57" t="s">
        <v>3108</v>
      </c>
      <c r="E48" s="57" t="s">
        <v>2815</v>
      </c>
      <c r="F48" s="49" t="s">
        <v>1614</v>
      </c>
      <c r="G48" s="50" t="s">
        <v>3070</v>
      </c>
      <c r="H48" s="49" t="s">
        <v>3041</v>
      </c>
      <c r="I48" s="57" t="s">
        <v>3109</v>
      </c>
      <c r="J48" s="57" t="s">
        <v>2953</v>
      </c>
    </row>
    <row r="49" spans="1:10" s="52" customFormat="1" ht="15" customHeight="1" x14ac:dyDescent="0.35">
      <c r="A49" s="49" t="s">
        <v>3080</v>
      </c>
      <c r="B49" s="49" t="s">
        <v>3092</v>
      </c>
      <c r="C49" s="49" t="s">
        <v>1711</v>
      </c>
      <c r="D49" s="57" t="s">
        <v>3108</v>
      </c>
      <c r="E49" s="57" t="s">
        <v>2815</v>
      </c>
      <c r="F49" s="49" t="s">
        <v>1614</v>
      </c>
      <c r="G49" s="50" t="s">
        <v>3070</v>
      </c>
      <c r="H49" s="49" t="s">
        <v>3041</v>
      </c>
      <c r="I49" s="57" t="s">
        <v>3109</v>
      </c>
      <c r="J49" s="57" t="s">
        <v>2953</v>
      </c>
    </row>
    <row r="50" spans="1:10" s="52" customFormat="1" ht="15" customHeight="1" x14ac:dyDescent="0.35">
      <c r="A50" s="49" t="s">
        <v>3081</v>
      </c>
      <c r="B50" s="49" t="s">
        <v>3093</v>
      </c>
      <c r="C50" s="49" t="s">
        <v>1711</v>
      </c>
      <c r="D50" s="57" t="s">
        <v>3108</v>
      </c>
      <c r="E50" s="57" t="s">
        <v>2815</v>
      </c>
      <c r="F50" s="49" t="s">
        <v>1614</v>
      </c>
      <c r="G50" s="50" t="s">
        <v>3070</v>
      </c>
      <c r="H50" s="49" t="s">
        <v>3041</v>
      </c>
      <c r="I50" s="57" t="s">
        <v>3109</v>
      </c>
      <c r="J50" s="57" t="s">
        <v>2953</v>
      </c>
    </row>
    <row r="51" spans="1:10" s="52" customFormat="1" ht="15" customHeight="1" x14ac:dyDescent="0.35">
      <c r="A51" s="49" t="s">
        <v>3082</v>
      </c>
      <c r="B51" s="49" t="s">
        <v>3094</v>
      </c>
      <c r="C51" s="49" t="s">
        <v>1711</v>
      </c>
      <c r="D51" s="57" t="s">
        <v>3108</v>
      </c>
      <c r="E51" s="57" t="s">
        <v>2815</v>
      </c>
      <c r="F51" s="49" t="s">
        <v>1614</v>
      </c>
      <c r="G51" s="50" t="s">
        <v>3070</v>
      </c>
      <c r="H51" s="49" t="s">
        <v>3041</v>
      </c>
      <c r="I51" s="57" t="s">
        <v>3109</v>
      </c>
      <c r="J51" s="57" t="s">
        <v>2953</v>
      </c>
    </row>
    <row r="52" spans="1:10" s="52" customFormat="1" ht="15" customHeight="1" x14ac:dyDescent="0.35">
      <c r="A52" s="49" t="s">
        <v>3083</v>
      </c>
      <c r="B52" s="49" t="s">
        <v>3095</v>
      </c>
      <c r="C52" s="49" t="s">
        <v>1711</v>
      </c>
      <c r="D52" s="57" t="s">
        <v>3108</v>
      </c>
      <c r="E52" s="57" t="s">
        <v>2815</v>
      </c>
      <c r="F52" s="49" t="s">
        <v>1614</v>
      </c>
      <c r="G52" s="50" t="s">
        <v>3070</v>
      </c>
      <c r="H52" s="49" t="s">
        <v>3041</v>
      </c>
      <c r="I52" s="57" t="s">
        <v>3109</v>
      </c>
      <c r="J52" s="57" t="s">
        <v>2953</v>
      </c>
    </row>
    <row r="53" spans="1:10" s="52" customFormat="1" ht="15" customHeight="1" x14ac:dyDescent="0.35">
      <c r="A53" s="49" t="s">
        <v>3116</v>
      </c>
      <c r="B53" s="49" t="s">
        <v>3117</v>
      </c>
      <c r="C53" s="49" t="s">
        <v>1711</v>
      </c>
      <c r="D53" s="57" t="s">
        <v>3108</v>
      </c>
      <c r="E53" s="57" t="s">
        <v>2815</v>
      </c>
      <c r="F53" s="49" t="s">
        <v>1614</v>
      </c>
      <c r="G53" s="50" t="s">
        <v>3070</v>
      </c>
      <c r="H53" s="49" t="s">
        <v>3041</v>
      </c>
      <c r="I53" s="57" t="s">
        <v>3109</v>
      </c>
      <c r="J53" s="57" t="s">
        <v>2953</v>
      </c>
    </row>
    <row r="54" spans="1:10" s="52" customFormat="1" ht="15" customHeight="1" x14ac:dyDescent="0.35">
      <c r="A54" s="49" t="s">
        <v>3131</v>
      </c>
      <c r="B54" s="49" t="s">
        <v>3166</v>
      </c>
      <c r="C54" s="49" t="s">
        <v>1711</v>
      </c>
      <c r="D54" s="57" t="s">
        <v>3108</v>
      </c>
      <c r="E54" s="57" t="s">
        <v>2815</v>
      </c>
      <c r="F54" s="49" t="s">
        <v>1614</v>
      </c>
      <c r="G54" s="50" t="s">
        <v>3070</v>
      </c>
      <c r="H54" s="49" t="s">
        <v>3041</v>
      </c>
      <c r="I54" s="57" t="s">
        <v>3109</v>
      </c>
      <c r="J54" s="57" t="s">
        <v>2953</v>
      </c>
    </row>
    <row r="55" spans="1:10" s="52" customFormat="1" ht="15" customHeight="1" x14ac:dyDescent="0.35">
      <c r="A55" s="49" t="s">
        <v>3147</v>
      </c>
      <c r="B55" s="49" t="s">
        <v>3148</v>
      </c>
      <c r="C55" s="49" t="s">
        <v>1711</v>
      </c>
      <c r="D55" s="57" t="s">
        <v>3108</v>
      </c>
      <c r="E55" s="57" t="s">
        <v>2815</v>
      </c>
      <c r="F55" s="49" t="s">
        <v>1614</v>
      </c>
      <c r="G55" s="50" t="s">
        <v>3070</v>
      </c>
      <c r="H55" s="49" t="s">
        <v>3041</v>
      </c>
      <c r="I55" s="57" t="s">
        <v>3109</v>
      </c>
      <c r="J55" s="57" t="s">
        <v>2953</v>
      </c>
    </row>
    <row r="56" spans="1:10" s="52" customFormat="1" ht="15" customHeight="1" x14ac:dyDescent="0.35">
      <c r="A56" s="49" t="s">
        <v>3149</v>
      </c>
      <c r="B56" s="49" t="s">
        <v>3150</v>
      </c>
      <c r="C56" s="49" t="s">
        <v>1711</v>
      </c>
      <c r="D56" s="57" t="s">
        <v>3108</v>
      </c>
      <c r="E56" s="57" t="s">
        <v>2815</v>
      </c>
      <c r="F56" s="49" t="s">
        <v>1614</v>
      </c>
      <c r="G56" s="50" t="s">
        <v>3070</v>
      </c>
      <c r="H56" s="49" t="s">
        <v>3041</v>
      </c>
      <c r="I56" s="57" t="s">
        <v>3109</v>
      </c>
      <c r="J56" s="57" t="s">
        <v>2953</v>
      </c>
    </row>
    <row r="57" spans="1:10" s="52" customFormat="1" ht="15" customHeight="1" x14ac:dyDescent="0.35">
      <c r="A57" s="49" t="s">
        <v>3118</v>
      </c>
      <c r="B57" s="49" t="s">
        <v>3119</v>
      </c>
      <c r="C57" s="49" t="s">
        <v>3119</v>
      </c>
      <c r="D57" s="49" t="s">
        <v>3119</v>
      </c>
      <c r="E57" s="57" t="s">
        <v>2815</v>
      </c>
      <c r="F57" s="49" t="s">
        <v>1614</v>
      </c>
      <c r="G57" s="50" t="s">
        <v>3120</v>
      </c>
      <c r="H57" s="49" t="s">
        <v>3121</v>
      </c>
      <c r="I57" s="49" t="s">
        <v>3121</v>
      </c>
      <c r="J57" s="57" t="s">
        <v>2953</v>
      </c>
    </row>
    <row r="58" spans="1:10" s="52" customFormat="1" ht="15" customHeight="1" x14ac:dyDescent="0.35">
      <c r="A58" s="49" t="s">
        <v>1631</v>
      </c>
      <c r="B58" s="49" t="s">
        <v>3108</v>
      </c>
      <c r="C58" s="49" t="s">
        <v>3108</v>
      </c>
      <c r="D58" s="57" t="s">
        <v>3108</v>
      </c>
      <c r="E58" s="57" t="s">
        <v>2815</v>
      </c>
      <c r="F58" s="49" t="s">
        <v>1614</v>
      </c>
      <c r="G58" s="50" t="s">
        <v>3110</v>
      </c>
      <c r="H58" s="49" t="s">
        <v>3109</v>
      </c>
      <c r="I58" s="57" t="s">
        <v>3109</v>
      </c>
      <c r="J58" s="57" t="s">
        <v>2953</v>
      </c>
    </row>
    <row r="59" spans="1:10" ht="15" customHeight="1" x14ac:dyDescent="0.35">
      <c r="A59" s="63" t="s">
        <v>2886</v>
      </c>
      <c r="B59" s="49" t="s">
        <v>2887</v>
      </c>
      <c r="C59" s="49" t="s">
        <v>3108</v>
      </c>
      <c r="D59" s="57" t="s">
        <v>3108</v>
      </c>
      <c r="E59" s="57" t="s">
        <v>2815</v>
      </c>
      <c r="F59" s="49" t="s">
        <v>1614</v>
      </c>
      <c r="G59" s="50" t="s">
        <v>2991</v>
      </c>
      <c r="H59" s="49" t="s">
        <v>3109</v>
      </c>
      <c r="I59" s="57" t="s">
        <v>3109</v>
      </c>
      <c r="J59" s="57" t="s">
        <v>2953</v>
      </c>
    </row>
    <row r="60" spans="1:10" ht="15" customHeight="1" x14ac:dyDescent="0.35">
      <c r="A60" s="63" t="s">
        <v>2888</v>
      </c>
      <c r="B60" s="49" t="s">
        <v>2889</v>
      </c>
      <c r="C60" s="49" t="s">
        <v>3108</v>
      </c>
      <c r="D60" s="57" t="s">
        <v>3108</v>
      </c>
      <c r="E60" s="57" t="s">
        <v>2815</v>
      </c>
      <c r="F60" s="49" t="s">
        <v>1614</v>
      </c>
      <c r="G60" s="50" t="s">
        <v>2991</v>
      </c>
      <c r="H60" s="49" t="s">
        <v>3109</v>
      </c>
      <c r="I60" s="57" t="s">
        <v>3109</v>
      </c>
      <c r="J60" s="57" t="s">
        <v>2953</v>
      </c>
    </row>
    <row r="61" spans="1:10" ht="15" customHeight="1" x14ac:dyDescent="0.35">
      <c r="A61" s="49" t="s">
        <v>1632</v>
      </c>
      <c r="B61" s="49" t="s">
        <v>8</v>
      </c>
      <c r="C61" s="49" t="s">
        <v>3108</v>
      </c>
      <c r="D61" s="57" t="s">
        <v>3108</v>
      </c>
      <c r="E61" s="57" t="s">
        <v>2815</v>
      </c>
      <c r="F61" s="49" t="s">
        <v>1614</v>
      </c>
      <c r="G61" s="50" t="s">
        <v>2991</v>
      </c>
      <c r="H61" s="49" t="s">
        <v>3109</v>
      </c>
      <c r="I61" s="57" t="s">
        <v>3109</v>
      </c>
      <c r="J61" s="57" t="s">
        <v>2953</v>
      </c>
    </row>
    <row r="62" spans="1:10" ht="15" customHeight="1" x14ac:dyDescent="0.35">
      <c r="A62" s="49" t="s">
        <v>1633</v>
      </c>
      <c r="B62" s="49" t="s">
        <v>1738</v>
      </c>
      <c r="C62" s="49" t="s">
        <v>3108</v>
      </c>
      <c r="D62" s="57" t="s">
        <v>3108</v>
      </c>
      <c r="E62" s="57" t="s">
        <v>2815</v>
      </c>
      <c r="F62" s="49" t="s">
        <v>1614</v>
      </c>
      <c r="G62" s="50" t="s">
        <v>2991</v>
      </c>
      <c r="H62" s="49" t="s">
        <v>3109</v>
      </c>
      <c r="I62" s="57" t="s">
        <v>3109</v>
      </c>
      <c r="J62" s="57" t="s">
        <v>2953</v>
      </c>
    </row>
    <row r="63" spans="1:10" ht="15" customHeight="1" x14ac:dyDescent="0.35">
      <c r="A63" s="49" t="s">
        <v>1634</v>
      </c>
      <c r="B63" s="49" t="s">
        <v>2925</v>
      </c>
      <c r="C63" s="49" t="s">
        <v>3108</v>
      </c>
      <c r="D63" s="57" t="s">
        <v>3108</v>
      </c>
      <c r="E63" s="57" t="s">
        <v>2815</v>
      </c>
      <c r="F63" s="49" t="s">
        <v>1614</v>
      </c>
      <c r="G63" s="50" t="s">
        <v>2991</v>
      </c>
      <c r="H63" s="49" t="s">
        <v>3109</v>
      </c>
      <c r="I63" s="57" t="s">
        <v>3109</v>
      </c>
      <c r="J63" s="57" t="s">
        <v>2953</v>
      </c>
    </row>
    <row r="64" spans="1:10" s="53" customFormat="1" ht="15" customHeight="1" x14ac:dyDescent="0.35">
      <c r="A64" s="49" t="s">
        <v>1635</v>
      </c>
      <c r="B64" s="49" t="s">
        <v>9</v>
      </c>
      <c r="C64" s="49" t="s">
        <v>3108</v>
      </c>
      <c r="D64" s="57" t="s">
        <v>3108</v>
      </c>
      <c r="E64" s="57" t="s">
        <v>2815</v>
      </c>
      <c r="F64" s="49" t="s">
        <v>1614</v>
      </c>
      <c r="G64" s="50" t="s">
        <v>2991</v>
      </c>
      <c r="H64" s="49" t="s">
        <v>3109</v>
      </c>
      <c r="I64" s="57" t="s">
        <v>3109</v>
      </c>
      <c r="J64" s="57" t="s">
        <v>2953</v>
      </c>
    </row>
    <row r="65" spans="1:10" s="53" customFormat="1" ht="15" customHeight="1" x14ac:dyDescent="0.35">
      <c r="A65" s="49" t="s">
        <v>1636</v>
      </c>
      <c r="B65" s="49" t="s">
        <v>2895</v>
      </c>
      <c r="C65" s="49" t="s">
        <v>3108</v>
      </c>
      <c r="D65" s="57" t="s">
        <v>3108</v>
      </c>
      <c r="E65" s="57" t="s">
        <v>2815</v>
      </c>
      <c r="F65" s="49" t="s">
        <v>1614</v>
      </c>
      <c r="G65" s="50" t="s">
        <v>2991</v>
      </c>
      <c r="H65" s="49" t="s">
        <v>3109</v>
      </c>
      <c r="I65" s="57" t="s">
        <v>3109</v>
      </c>
      <c r="J65" s="57" t="s">
        <v>2953</v>
      </c>
    </row>
    <row r="66" spans="1:10" ht="15" customHeight="1" x14ac:dyDescent="0.35">
      <c r="A66" s="49" t="s">
        <v>1637</v>
      </c>
      <c r="B66" s="49" t="s">
        <v>10</v>
      </c>
      <c r="C66" s="49" t="s">
        <v>3108</v>
      </c>
      <c r="D66" s="57" t="s">
        <v>3108</v>
      </c>
      <c r="E66" s="57" t="s">
        <v>2815</v>
      </c>
      <c r="F66" s="49" t="s">
        <v>1614</v>
      </c>
      <c r="G66" s="50" t="s">
        <v>2991</v>
      </c>
      <c r="H66" s="49" t="s">
        <v>3109</v>
      </c>
      <c r="I66" s="57" t="s">
        <v>3109</v>
      </c>
      <c r="J66" s="57" t="s">
        <v>2953</v>
      </c>
    </row>
    <row r="67" spans="1:10" ht="15" customHeight="1" x14ac:dyDescent="0.35">
      <c r="A67" s="49" t="s">
        <v>1638</v>
      </c>
      <c r="B67" s="49" t="s">
        <v>11</v>
      </c>
      <c r="C67" s="49" t="s">
        <v>3108</v>
      </c>
      <c r="D67" s="57" t="s">
        <v>3108</v>
      </c>
      <c r="E67" s="57" t="s">
        <v>2815</v>
      </c>
      <c r="F67" s="49" t="s">
        <v>1614</v>
      </c>
      <c r="G67" s="50" t="s">
        <v>2991</v>
      </c>
      <c r="H67" s="49" t="s">
        <v>3109</v>
      </c>
      <c r="I67" s="57" t="s">
        <v>3109</v>
      </c>
      <c r="J67" s="57" t="s">
        <v>2953</v>
      </c>
    </row>
    <row r="68" spans="1:10" s="53" customFormat="1" ht="15" customHeight="1" x14ac:dyDescent="0.35">
      <c r="A68" s="49" t="s">
        <v>1639</v>
      </c>
      <c r="B68" s="49" t="s">
        <v>12</v>
      </c>
      <c r="C68" s="49" t="s">
        <v>3108</v>
      </c>
      <c r="D68" s="57" t="s">
        <v>3108</v>
      </c>
      <c r="E68" s="57" t="s">
        <v>2815</v>
      </c>
      <c r="F68" s="49" t="s">
        <v>1614</v>
      </c>
      <c r="G68" s="50" t="s">
        <v>2991</v>
      </c>
      <c r="H68" s="49" t="s">
        <v>3109</v>
      </c>
      <c r="I68" s="57" t="s">
        <v>3109</v>
      </c>
      <c r="J68" s="57" t="s">
        <v>2953</v>
      </c>
    </row>
    <row r="69" spans="1:10" ht="15" customHeight="1" x14ac:dyDescent="0.35">
      <c r="A69" s="49" t="s">
        <v>1640</v>
      </c>
      <c r="B69" s="49" t="s">
        <v>13</v>
      </c>
      <c r="C69" s="49" t="s">
        <v>3108</v>
      </c>
      <c r="D69" s="57" t="s">
        <v>3108</v>
      </c>
      <c r="E69" s="57" t="s">
        <v>2815</v>
      </c>
      <c r="F69" s="49" t="s">
        <v>1614</v>
      </c>
      <c r="G69" s="50" t="s">
        <v>2991</v>
      </c>
      <c r="H69" s="49" t="s">
        <v>3109</v>
      </c>
      <c r="I69" s="57" t="s">
        <v>3109</v>
      </c>
      <c r="J69" s="57" t="s">
        <v>2953</v>
      </c>
    </row>
    <row r="70" spans="1:10" s="53" customFormat="1" ht="15" customHeight="1" x14ac:dyDescent="0.35">
      <c r="A70" s="49" t="s">
        <v>1641</v>
      </c>
      <c r="B70" s="49" t="s">
        <v>14</v>
      </c>
      <c r="C70" s="49" t="s">
        <v>3108</v>
      </c>
      <c r="D70" s="57" t="s">
        <v>3108</v>
      </c>
      <c r="E70" s="57" t="s">
        <v>2815</v>
      </c>
      <c r="F70" s="49" t="s">
        <v>1614</v>
      </c>
      <c r="G70" s="50" t="s">
        <v>2991</v>
      </c>
      <c r="H70" s="49" t="s">
        <v>3109</v>
      </c>
      <c r="I70" s="57" t="s">
        <v>3109</v>
      </c>
      <c r="J70" s="57" t="s">
        <v>2953</v>
      </c>
    </row>
    <row r="71" spans="1:10" ht="15" customHeight="1" x14ac:dyDescent="0.35">
      <c r="A71" s="49" t="s">
        <v>1642</v>
      </c>
      <c r="B71" s="49" t="s">
        <v>15</v>
      </c>
      <c r="C71" s="49" t="s">
        <v>3108</v>
      </c>
      <c r="D71" s="57" t="s">
        <v>3108</v>
      </c>
      <c r="E71" s="57" t="s">
        <v>2815</v>
      </c>
      <c r="F71" s="49" t="s">
        <v>1614</v>
      </c>
      <c r="G71" s="50" t="s">
        <v>2991</v>
      </c>
      <c r="H71" s="49" t="s">
        <v>3109</v>
      </c>
      <c r="I71" s="57" t="s">
        <v>3109</v>
      </c>
      <c r="J71" s="57" t="s">
        <v>2953</v>
      </c>
    </row>
    <row r="72" spans="1:10" s="52" customFormat="1" ht="15" customHeight="1" x14ac:dyDescent="0.35">
      <c r="A72" s="49" t="s">
        <v>1643</v>
      </c>
      <c r="B72" s="49" t="s">
        <v>2622</v>
      </c>
      <c r="C72" s="49" t="s">
        <v>3108</v>
      </c>
      <c r="D72" s="57" t="s">
        <v>3108</v>
      </c>
      <c r="E72" s="57" t="s">
        <v>2815</v>
      </c>
      <c r="F72" s="49" t="s">
        <v>1614</v>
      </c>
      <c r="G72" s="50" t="s">
        <v>2991</v>
      </c>
      <c r="H72" s="49" t="s">
        <v>3109</v>
      </c>
      <c r="I72" s="57" t="s">
        <v>3109</v>
      </c>
      <c r="J72" s="57" t="s">
        <v>2953</v>
      </c>
    </row>
    <row r="73" spans="1:10" ht="15" customHeight="1" x14ac:dyDescent="0.35">
      <c r="A73" s="49" t="s">
        <v>1644</v>
      </c>
      <c r="B73" s="49" t="s">
        <v>2890</v>
      </c>
      <c r="C73" s="49" t="s">
        <v>3108</v>
      </c>
      <c r="D73" s="57" t="s">
        <v>3108</v>
      </c>
      <c r="E73" s="57" t="s">
        <v>2815</v>
      </c>
      <c r="F73" s="49" t="s">
        <v>1614</v>
      </c>
      <c r="G73" s="50" t="s">
        <v>2991</v>
      </c>
      <c r="H73" s="49" t="s">
        <v>3109</v>
      </c>
      <c r="I73" s="57" t="s">
        <v>3109</v>
      </c>
      <c r="J73" s="57" t="s">
        <v>2953</v>
      </c>
    </row>
    <row r="74" spans="1:10" ht="15" customHeight="1" x14ac:dyDescent="0.35">
      <c r="A74" s="63" t="s">
        <v>2891</v>
      </c>
      <c r="B74" s="49" t="s">
        <v>2892</v>
      </c>
      <c r="C74" s="49" t="s">
        <v>3108</v>
      </c>
      <c r="D74" s="57" t="s">
        <v>3108</v>
      </c>
      <c r="E74" s="57" t="s">
        <v>2815</v>
      </c>
      <c r="F74" s="49" t="s">
        <v>1614</v>
      </c>
      <c r="G74" s="50" t="s">
        <v>2991</v>
      </c>
      <c r="H74" s="49" t="s">
        <v>3109</v>
      </c>
      <c r="I74" s="57" t="s">
        <v>3109</v>
      </c>
      <c r="J74" s="57" t="s">
        <v>2953</v>
      </c>
    </row>
    <row r="75" spans="1:10" ht="15" customHeight="1" x14ac:dyDescent="0.35">
      <c r="A75" s="49" t="s">
        <v>1645</v>
      </c>
      <c r="B75" s="49" t="s">
        <v>16</v>
      </c>
      <c r="C75" s="49" t="s">
        <v>3108</v>
      </c>
      <c r="D75" s="57" t="s">
        <v>3108</v>
      </c>
      <c r="E75" s="57" t="s">
        <v>2815</v>
      </c>
      <c r="F75" s="49" t="s">
        <v>1614</v>
      </c>
      <c r="G75" s="50" t="s">
        <v>2991</v>
      </c>
      <c r="H75" s="49" t="s">
        <v>3109</v>
      </c>
      <c r="I75" s="57" t="s">
        <v>3109</v>
      </c>
      <c r="J75" s="57" t="s">
        <v>2953</v>
      </c>
    </row>
    <row r="76" spans="1:10" ht="15" customHeight="1" x14ac:dyDescent="0.35">
      <c r="A76" s="49" t="s">
        <v>1646</v>
      </c>
      <c r="B76" s="49" t="s">
        <v>17</v>
      </c>
      <c r="C76" s="49" t="s">
        <v>3108</v>
      </c>
      <c r="D76" s="57" t="s">
        <v>3108</v>
      </c>
      <c r="E76" s="57" t="s">
        <v>2815</v>
      </c>
      <c r="F76" s="49" t="s">
        <v>1614</v>
      </c>
      <c r="G76" s="50" t="s">
        <v>2991</v>
      </c>
      <c r="H76" s="49" t="s">
        <v>3109</v>
      </c>
      <c r="I76" s="57" t="s">
        <v>3109</v>
      </c>
      <c r="J76" s="57" t="s">
        <v>2953</v>
      </c>
    </row>
    <row r="77" spans="1:10" ht="15" customHeight="1" x14ac:dyDescent="0.35">
      <c r="A77" s="63" t="s">
        <v>2779</v>
      </c>
      <c r="B77" s="49" t="s">
        <v>2780</v>
      </c>
      <c r="C77" s="49" t="s">
        <v>3108</v>
      </c>
      <c r="D77" s="57" t="s">
        <v>3108</v>
      </c>
      <c r="E77" s="57" t="s">
        <v>2815</v>
      </c>
      <c r="F77" s="49" t="s">
        <v>1614</v>
      </c>
      <c r="G77" s="50" t="s">
        <v>2991</v>
      </c>
      <c r="H77" s="49" t="s">
        <v>3109</v>
      </c>
      <c r="I77" s="57" t="s">
        <v>3109</v>
      </c>
      <c r="J77" s="57" t="s">
        <v>2953</v>
      </c>
    </row>
    <row r="78" spans="1:10" ht="15" customHeight="1" x14ac:dyDescent="0.35">
      <c r="A78" s="63" t="s">
        <v>1647</v>
      </c>
      <c r="B78" s="49" t="s">
        <v>18</v>
      </c>
      <c r="C78" s="49" t="s">
        <v>3108</v>
      </c>
      <c r="D78" s="57" t="s">
        <v>3108</v>
      </c>
      <c r="E78" s="57" t="s">
        <v>2815</v>
      </c>
      <c r="F78" s="49" t="s">
        <v>1614</v>
      </c>
      <c r="G78" s="50" t="s">
        <v>2991</v>
      </c>
      <c r="H78" s="49" t="s">
        <v>3109</v>
      </c>
      <c r="I78" s="57" t="s">
        <v>3109</v>
      </c>
      <c r="J78" s="57" t="s">
        <v>2953</v>
      </c>
    </row>
    <row r="79" spans="1:10" s="52" customFormat="1" ht="15" customHeight="1" x14ac:dyDescent="0.35">
      <c r="A79" s="49" t="s">
        <v>1648</v>
      </c>
      <c r="B79" s="49" t="s">
        <v>2926</v>
      </c>
      <c r="C79" s="49" t="s">
        <v>3108</v>
      </c>
      <c r="D79" s="57" t="s">
        <v>3108</v>
      </c>
      <c r="E79" s="57" t="s">
        <v>2815</v>
      </c>
      <c r="F79" s="49" t="s">
        <v>1614</v>
      </c>
      <c r="G79" s="50" t="s">
        <v>2991</v>
      </c>
      <c r="H79" s="49" t="s">
        <v>3109</v>
      </c>
      <c r="I79" s="57" t="s">
        <v>3109</v>
      </c>
      <c r="J79" s="57" t="s">
        <v>2953</v>
      </c>
    </row>
    <row r="80" spans="1:10" s="52" customFormat="1" ht="15" customHeight="1" x14ac:dyDescent="0.35">
      <c r="A80" s="49" t="s">
        <v>1729</v>
      </c>
      <c r="B80" s="49" t="s">
        <v>1730</v>
      </c>
      <c r="C80" s="49" t="s">
        <v>3108</v>
      </c>
      <c r="D80" s="57" t="s">
        <v>3108</v>
      </c>
      <c r="E80" s="57" t="s">
        <v>2815</v>
      </c>
      <c r="F80" s="49" t="s">
        <v>1614</v>
      </c>
      <c r="G80" s="50" t="s">
        <v>2991</v>
      </c>
      <c r="H80" s="49" t="s">
        <v>3109</v>
      </c>
      <c r="I80" s="57" t="s">
        <v>3109</v>
      </c>
      <c r="J80" s="57" t="s">
        <v>2953</v>
      </c>
    </row>
    <row r="81" spans="1:10" ht="15" customHeight="1" x14ac:dyDescent="0.35">
      <c r="A81" s="63" t="s">
        <v>2885</v>
      </c>
      <c r="B81" s="49" t="s">
        <v>2791</v>
      </c>
      <c r="C81" s="49" t="s">
        <v>3108</v>
      </c>
      <c r="D81" s="57" t="s">
        <v>3108</v>
      </c>
      <c r="E81" s="57" t="s">
        <v>2815</v>
      </c>
      <c r="F81" s="49" t="s">
        <v>1614</v>
      </c>
      <c r="G81" s="50" t="s">
        <v>2991</v>
      </c>
      <c r="H81" s="49" t="s">
        <v>3109</v>
      </c>
      <c r="I81" s="57" t="s">
        <v>3109</v>
      </c>
      <c r="J81" s="57" t="s">
        <v>2953</v>
      </c>
    </row>
    <row r="82" spans="1:10" ht="15" customHeight="1" x14ac:dyDescent="0.35">
      <c r="A82" s="63" t="s">
        <v>2893</v>
      </c>
      <c r="B82" s="49" t="s">
        <v>2894</v>
      </c>
      <c r="C82" s="49" t="s">
        <v>3108</v>
      </c>
      <c r="D82" s="57" t="s">
        <v>3108</v>
      </c>
      <c r="E82" s="57" t="s">
        <v>2815</v>
      </c>
      <c r="F82" s="49" t="s">
        <v>1614</v>
      </c>
      <c r="G82" s="50" t="s">
        <v>2991</v>
      </c>
      <c r="H82" s="49" t="s">
        <v>3109</v>
      </c>
      <c r="I82" s="57" t="s">
        <v>3109</v>
      </c>
      <c r="J82" s="57" t="s">
        <v>2953</v>
      </c>
    </row>
    <row r="83" spans="1:10" ht="15" customHeight="1" x14ac:dyDescent="0.35">
      <c r="A83" s="63" t="s">
        <v>2883</v>
      </c>
      <c r="B83" s="49" t="s">
        <v>2884</v>
      </c>
      <c r="C83" s="49" t="s">
        <v>3108</v>
      </c>
      <c r="D83" s="57" t="s">
        <v>3108</v>
      </c>
      <c r="E83" s="57" t="s">
        <v>2815</v>
      </c>
      <c r="F83" s="49" t="s">
        <v>1614</v>
      </c>
      <c r="G83" s="50" t="s">
        <v>2991</v>
      </c>
      <c r="H83" s="49" t="s">
        <v>3109</v>
      </c>
      <c r="I83" s="57" t="s">
        <v>3109</v>
      </c>
      <c r="J83" s="57" t="s">
        <v>2953</v>
      </c>
    </row>
    <row r="84" spans="1:10" s="54" customFormat="1" ht="15" customHeight="1" x14ac:dyDescent="0.35">
      <c r="A84" s="49" t="s">
        <v>1649</v>
      </c>
      <c r="B84" s="49" t="s">
        <v>19</v>
      </c>
      <c r="C84" s="49" t="s">
        <v>3108</v>
      </c>
      <c r="D84" s="57" t="s">
        <v>3108</v>
      </c>
      <c r="E84" s="57" t="s">
        <v>2815</v>
      </c>
      <c r="F84" s="49" t="s">
        <v>1614</v>
      </c>
      <c r="G84" s="50" t="s">
        <v>2991</v>
      </c>
      <c r="H84" s="49" t="s">
        <v>3109</v>
      </c>
      <c r="I84" s="57" t="s">
        <v>3109</v>
      </c>
      <c r="J84" s="57" t="s">
        <v>2953</v>
      </c>
    </row>
    <row r="85" spans="1:10" s="54" customFormat="1" ht="15" customHeight="1" x14ac:dyDescent="0.35">
      <c r="A85" s="49" t="s">
        <v>2612</v>
      </c>
      <c r="B85" s="49" t="s">
        <v>2927</v>
      </c>
      <c r="C85" s="49" t="s">
        <v>3108</v>
      </c>
      <c r="D85" s="57" t="s">
        <v>3108</v>
      </c>
      <c r="E85" s="57" t="s">
        <v>2815</v>
      </c>
      <c r="F85" s="49" t="s">
        <v>1614</v>
      </c>
      <c r="G85" s="50" t="s">
        <v>2991</v>
      </c>
      <c r="H85" s="49" t="s">
        <v>3109</v>
      </c>
      <c r="I85" s="57" t="s">
        <v>3109</v>
      </c>
      <c r="J85" s="57" t="s">
        <v>2953</v>
      </c>
    </row>
    <row r="86" spans="1:10" s="54" customFormat="1" ht="15" customHeight="1" x14ac:dyDescent="0.35">
      <c r="A86" s="49" t="s">
        <v>2772</v>
      </c>
      <c r="B86" s="49" t="s">
        <v>2899</v>
      </c>
      <c r="C86" s="49" t="s">
        <v>3108</v>
      </c>
      <c r="D86" s="57" t="s">
        <v>3108</v>
      </c>
      <c r="E86" s="57" t="s">
        <v>2815</v>
      </c>
      <c r="F86" s="57" t="s">
        <v>1614</v>
      </c>
      <c r="G86" s="50" t="s">
        <v>2991</v>
      </c>
      <c r="H86" s="49" t="s">
        <v>3109</v>
      </c>
      <c r="I86" s="57" t="s">
        <v>3109</v>
      </c>
      <c r="J86" s="57" t="s">
        <v>2953</v>
      </c>
    </row>
    <row r="87" spans="1:10" s="54" customFormat="1" ht="15" customHeight="1" x14ac:dyDescent="0.35">
      <c r="A87" s="63" t="s">
        <v>2860</v>
      </c>
      <c r="B87" s="49" t="s">
        <v>2861</v>
      </c>
      <c r="C87" s="49" t="s">
        <v>3108</v>
      </c>
      <c r="D87" s="57" t="s">
        <v>3108</v>
      </c>
      <c r="E87" s="57" t="s">
        <v>2815</v>
      </c>
      <c r="F87" s="49" t="s">
        <v>1614</v>
      </c>
      <c r="G87" s="50" t="s">
        <v>2991</v>
      </c>
      <c r="H87" s="49" t="s">
        <v>3109</v>
      </c>
      <c r="I87" s="57" t="s">
        <v>3109</v>
      </c>
      <c r="J87" s="57" t="s">
        <v>2953</v>
      </c>
    </row>
    <row r="88" spans="1:10" s="54" customFormat="1" ht="15" customHeight="1" x14ac:dyDescent="0.35">
      <c r="A88" s="49" t="s">
        <v>2796</v>
      </c>
      <c r="B88" s="49" t="s">
        <v>2786</v>
      </c>
      <c r="C88" s="49" t="s">
        <v>3108</v>
      </c>
      <c r="D88" s="57" t="s">
        <v>3108</v>
      </c>
      <c r="E88" s="57" t="s">
        <v>2815</v>
      </c>
      <c r="F88" s="49" t="s">
        <v>1614</v>
      </c>
      <c r="G88" s="50" t="s">
        <v>2991</v>
      </c>
      <c r="H88" s="49" t="s">
        <v>3109</v>
      </c>
      <c r="I88" s="57" t="s">
        <v>3109</v>
      </c>
      <c r="J88" s="57" t="s">
        <v>2953</v>
      </c>
    </row>
    <row r="89" spans="1:10" s="54" customFormat="1" ht="15" customHeight="1" x14ac:dyDescent="0.35">
      <c r="A89" s="49" t="s">
        <v>2812</v>
      </c>
      <c r="B89" s="49" t="s">
        <v>2787</v>
      </c>
      <c r="C89" s="49" t="s">
        <v>3108</v>
      </c>
      <c r="D89" s="57" t="s">
        <v>3108</v>
      </c>
      <c r="E89" s="57" t="s">
        <v>2815</v>
      </c>
      <c r="F89" s="49" t="s">
        <v>1614</v>
      </c>
      <c r="G89" s="50" t="s">
        <v>2991</v>
      </c>
      <c r="H89" s="49" t="s">
        <v>3109</v>
      </c>
      <c r="I89" s="57" t="s">
        <v>3109</v>
      </c>
      <c r="J89" s="57" t="s">
        <v>2953</v>
      </c>
    </row>
    <row r="90" spans="1:10" s="54" customFormat="1" ht="15" customHeight="1" x14ac:dyDescent="0.35">
      <c r="A90" s="49" t="s">
        <v>2813</v>
      </c>
      <c r="B90" s="49" t="s">
        <v>2788</v>
      </c>
      <c r="C90" s="49" t="s">
        <v>3108</v>
      </c>
      <c r="D90" s="57" t="s">
        <v>3108</v>
      </c>
      <c r="E90" s="57" t="s">
        <v>2815</v>
      </c>
      <c r="F90" s="49" t="s">
        <v>1614</v>
      </c>
      <c r="G90" s="50" t="s">
        <v>2991</v>
      </c>
      <c r="H90" s="49" t="s">
        <v>3109</v>
      </c>
      <c r="I90" s="57" t="s">
        <v>3109</v>
      </c>
      <c r="J90" s="57" t="s">
        <v>2953</v>
      </c>
    </row>
    <row r="91" spans="1:10" s="54" customFormat="1" ht="15" customHeight="1" x14ac:dyDescent="0.35">
      <c r="A91" s="49" t="s">
        <v>2797</v>
      </c>
      <c r="B91" s="49" t="s">
        <v>2780</v>
      </c>
      <c r="C91" s="49" t="s">
        <v>3108</v>
      </c>
      <c r="D91" s="57" t="s">
        <v>3108</v>
      </c>
      <c r="E91" s="57" t="s">
        <v>2815</v>
      </c>
      <c r="F91" s="49" t="s">
        <v>1614</v>
      </c>
      <c r="G91" s="50" t="s">
        <v>2991</v>
      </c>
      <c r="H91" s="49" t="s">
        <v>3109</v>
      </c>
      <c r="I91" s="57" t="s">
        <v>3109</v>
      </c>
      <c r="J91" s="57" t="s">
        <v>2953</v>
      </c>
    </row>
    <row r="92" spans="1:10" s="54" customFormat="1" ht="15" customHeight="1" x14ac:dyDescent="0.35">
      <c r="A92" s="49" t="s">
        <v>2798</v>
      </c>
      <c r="B92" s="49" t="s">
        <v>2789</v>
      </c>
      <c r="C92" s="49" t="s">
        <v>3108</v>
      </c>
      <c r="D92" s="57" t="s">
        <v>3108</v>
      </c>
      <c r="E92" s="57" t="s">
        <v>2815</v>
      </c>
      <c r="F92" s="49" t="s">
        <v>1614</v>
      </c>
      <c r="G92" s="50" t="s">
        <v>2991</v>
      </c>
      <c r="H92" s="49" t="s">
        <v>3109</v>
      </c>
      <c r="I92" s="57" t="s">
        <v>3109</v>
      </c>
      <c r="J92" s="57" t="s">
        <v>2953</v>
      </c>
    </row>
    <row r="93" spans="1:10" s="54" customFormat="1" ht="15" customHeight="1" x14ac:dyDescent="0.35">
      <c r="A93" s="49" t="s">
        <v>2799</v>
      </c>
      <c r="B93" s="49" t="s">
        <v>2790</v>
      </c>
      <c r="C93" s="49" t="s">
        <v>3108</v>
      </c>
      <c r="D93" s="57" t="s">
        <v>3108</v>
      </c>
      <c r="E93" s="57" t="s">
        <v>2815</v>
      </c>
      <c r="F93" s="49" t="s">
        <v>1614</v>
      </c>
      <c r="G93" s="50" t="s">
        <v>2991</v>
      </c>
      <c r="H93" s="49" t="s">
        <v>3109</v>
      </c>
      <c r="I93" s="57" t="s">
        <v>3109</v>
      </c>
      <c r="J93" s="57" t="s">
        <v>2953</v>
      </c>
    </row>
    <row r="94" spans="1:10" s="54" customFormat="1" ht="15" customHeight="1" x14ac:dyDescent="0.35">
      <c r="A94" s="49" t="s">
        <v>2800</v>
      </c>
      <c r="B94" s="49" t="s">
        <v>2791</v>
      </c>
      <c r="C94" s="49" t="s">
        <v>3108</v>
      </c>
      <c r="D94" s="57" t="s">
        <v>3108</v>
      </c>
      <c r="E94" s="57" t="s">
        <v>2815</v>
      </c>
      <c r="F94" s="49" t="s">
        <v>1614</v>
      </c>
      <c r="G94" s="50" t="s">
        <v>2991</v>
      </c>
      <c r="H94" s="49" t="s">
        <v>3109</v>
      </c>
      <c r="I94" s="57" t="s">
        <v>3109</v>
      </c>
      <c r="J94" s="57" t="s">
        <v>2953</v>
      </c>
    </row>
    <row r="95" spans="1:10" s="54" customFormat="1" ht="15" customHeight="1" x14ac:dyDescent="0.35">
      <c r="A95" s="49" t="s">
        <v>2801</v>
      </c>
      <c r="B95" s="49" t="s">
        <v>2792</v>
      </c>
      <c r="C95" s="49" t="s">
        <v>3108</v>
      </c>
      <c r="D95" s="57" t="s">
        <v>3108</v>
      </c>
      <c r="E95" s="57" t="s">
        <v>2815</v>
      </c>
      <c r="F95" s="49" t="s">
        <v>1614</v>
      </c>
      <c r="G95" s="50" t="s">
        <v>2991</v>
      </c>
      <c r="H95" s="49" t="s">
        <v>3109</v>
      </c>
      <c r="I95" s="57" t="s">
        <v>3109</v>
      </c>
      <c r="J95" s="57" t="s">
        <v>2953</v>
      </c>
    </row>
    <row r="96" spans="1:10" s="54" customFormat="1" ht="15" customHeight="1" x14ac:dyDescent="0.35">
      <c r="A96" s="49" t="s">
        <v>2802</v>
      </c>
      <c r="B96" s="49" t="s">
        <v>2793</v>
      </c>
      <c r="C96" s="49" t="s">
        <v>3108</v>
      </c>
      <c r="D96" s="57" t="s">
        <v>3108</v>
      </c>
      <c r="E96" s="57" t="s">
        <v>2815</v>
      </c>
      <c r="F96" s="49" t="s">
        <v>1614</v>
      </c>
      <c r="G96" s="50" t="s">
        <v>2991</v>
      </c>
      <c r="H96" s="49" t="s">
        <v>3109</v>
      </c>
      <c r="I96" s="57" t="s">
        <v>3109</v>
      </c>
      <c r="J96" s="57" t="s">
        <v>2953</v>
      </c>
    </row>
    <row r="97" spans="1:10" s="54" customFormat="1" ht="15" customHeight="1" x14ac:dyDescent="0.35">
      <c r="A97" s="49" t="s">
        <v>2803</v>
      </c>
      <c r="B97" s="49" t="s">
        <v>2794</v>
      </c>
      <c r="C97" s="49" t="s">
        <v>3108</v>
      </c>
      <c r="D97" s="57" t="s">
        <v>3108</v>
      </c>
      <c r="E97" s="57" t="s">
        <v>2815</v>
      </c>
      <c r="F97" s="49" t="s">
        <v>1614</v>
      </c>
      <c r="G97" s="50" t="s">
        <v>2991</v>
      </c>
      <c r="H97" s="49" t="s">
        <v>3109</v>
      </c>
      <c r="I97" s="57" t="s">
        <v>3109</v>
      </c>
      <c r="J97" s="57" t="s">
        <v>2953</v>
      </c>
    </row>
    <row r="98" spans="1:10" s="54" customFormat="1" ht="15" customHeight="1" x14ac:dyDescent="0.35">
      <c r="A98" s="49" t="s">
        <v>2804</v>
      </c>
      <c r="B98" s="49" t="s">
        <v>2795</v>
      </c>
      <c r="C98" s="49" t="s">
        <v>3108</v>
      </c>
      <c r="D98" s="57" t="s">
        <v>3108</v>
      </c>
      <c r="E98" s="57" t="s">
        <v>2815</v>
      </c>
      <c r="F98" s="49" t="s">
        <v>1614</v>
      </c>
      <c r="G98" s="50" t="s">
        <v>2991</v>
      </c>
      <c r="H98" s="49" t="s">
        <v>3109</v>
      </c>
      <c r="I98" s="57" t="s">
        <v>3109</v>
      </c>
      <c r="J98" s="57" t="s">
        <v>2953</v>
      </c>
    </row>
    <row r="99" spans="1:10" s="54" customFormat="1" ht="15" customHeight="1" x14ac:dyDescent="0.35">
      <c r="A99" s="49" t="s">
        <v>2808</v>
      </c>
      <c r="B99" s="49" t="s">
        <v>2806</v>
      </c>
      <c r="C99" s="49" t="s">
        <v>3108</v>
      </c>
      <c r="D99" s="57" t="s">
        <v>3108</v>
      </c>
      <c r="E99" s="57" t="s">
        <v>2815</v>
      </c>
      <c r="F99" s="49" t="s">
        <v>1614</v>
      </c>
      <c r="G99" s="50" t="s">
        <v>2991</v>
      </c>
      <c r="H99" s="49" t="s">
        <v>3109</v>
      </c>
      <c r="I99" s="57" t="s">
        <v>3109</v>
      </c>
      <c r="J99" s="57" t="s">
        <v>2953</v>
      </c>
    </row>
    <row r="100" spans="1:10" s="54" customFormat="1" ht="15" customHeight="1" x14ac:dyDescent="0.35">
      <c r="A100" s="49" t="s">
        <v>2809</v>
      </c>
      <c r="B100" s="49" t="s">
        <v>2882</v>
      </c>
      <c r="C100" s="49" t="s">
        <v>3108</v>
      </c>
      <c r="D100" s="57" t="s">
        <v>3108</v>
      </c>
      <c r="E100" s="57" t="s">
        <v>2815</v>
      </c>
      <c r="F100" s="49" t="s">
        <v>1614</v>
      </c>
      <c r="G100" s="50" t="s">
        <v>2991</v>
      </c>
      <c r="H100" s="49" t="s">
        <v>3109</v>
      </c>
      <c r="I100" s="57" t="s">
        <v>3109</v>
      </c>
      <c r="J100" s="57" t="s">
        <v>2953</v>
      </c>
    </row>
    <row r="101" spans="1:10" s="54" customFormat="1" ht="15" customHeight="1" x14ac:dyDescent="0.35">
      <c r="A101" s="49" t="s">
        <v>2810</v>
      </c>
      <c r="B101" s="49" t="s">
        <v>2807</v>
      </c>
      <c r="C101" s="49" t="s">
        <v>3108</v>
      </c>
      <c r="D101" s="57" t="s">
        <v>3108</v>
      </c>
      <c r="E101" s="57" t="s">
        <v>2815</v>
      </c>
      <c r="F101" s="49" t="s">
        <v>1614</v>
      </c>
      <c r="G101" s="50" t="s">
        <v>2991</v>
      </c>
      <c r="H101" s="49" t="s">
        <v>3109</v>
      </c>
      <c r="I101" s="57" t="s">
        <v>3109</v>
      </c>
      <c r="J101" s="57" t="s">
        <v>2953</v>
      </c>
    </row>
    <row r="102" spans="1:10" s="54" customFormat="1" ht="15" customHeight="1" x14ac:dyDescent="0.35">
      <c r="A102" s="49" t="s">
        <v>2811</v>
      </c>
      <c r="B102" s="49" t="s">
        <v>2902</v>
      </c>
      <c r="C102" s="49" t="s">
        <v>3108</v>
      </c>
      <c r="D102" s="57" t="s">
        <v>3108</v>
      </c>
      <c r="E102" s="57" t="s">
        <v>2815</v>
      </c>
      <c r="F102" s="49" t="s">
        <v>1614</v>
      </c>
      <c r="G102" s="50" t="s">
        <v>2991</v>
      </c>
      <c r="H102" s="49" t="s">
        <v>3109</v>
      </c>
      <c r="I102" s="57" t="s">
        <v>3109</v>
      </c>
      <c r="J102" s="57" t="s">
        <v>2953</v>
      </c>
    </row>
    <row r="103" spans="1:10" ht="15" customHeight="1" x14ac:dyDescent="0.35">
      <c r="A103" s="49" t="s">
        <v>2814</v>
      </c>
      <c r="B103" s="49" t="s">
        <v>2928</v>
      </c>
      <c r="C103" s="49" t="s">
        <v>3108</v>
      </c>
      <c r="D103" s="57" t="s">
        <v>3108</v>
      </c>
      <c r="E103" s="57" t="s">
        <v>2815</v>
      </c>
      <c r="F103" s="49" t="s">
        <v>1614</v>
      </c>
      <c r="G103" s="50" t="s">
        <v>2991</v>
      </c>
      <c r="H103" s="49" t="s">
        <v>3109</v>
      </c>
      <c r="I103" s="57" t="s">
        <v>3109</v>
      </c>
      <c r="J103" s="57" t="s">
        <v>2953</v>
      </c>
    </row>
    <row r="104" spans="1:10" ht="15" customHeight="1" x14ac:dyDescent="0.35">
      <c r="A104" s="49" t="s">
        <v>2922</v>
      </c>
      <c r="B104" s="49" t="s">
        <v>2923</v>
      </c>
      <c r="C104" s="49" t="s">
        <v>3108</v>
      </c>
      <c r="D104" s="57" t="s">
        <v>3108</v>
      </c>
      <c r="E104" s="57" t="s">
        <v>2815</v>
      </c>
      <c r="F104" s="49" t="s">
        <v>1614</v>
      </c>
      <c r="G104" s="50" t="s">
        <v>2991</v>
      </c>
      <c r="H104" s="49" t="s">
        <v>3109</v>
      </c>
      <c r="I104" s="57" t="s">
        <v>3109</v>
      </c>
      <c r="J104" s="57" t="s">
        <v>2953</v>
      </c>
    </row>
    <row r="105" spans="1:10" ht="15" customHeight="1" x14ac:dyDescent="0.35">
      <c r="A105" s="49" t="s">
        <v>3126</v>
      </c>
      <c r="B105" s="49" t="s">
        <v>3127</v>
      </c>
      <c r="C105" s="49" t="s">
        <v>3108</v>
      </c>
      <c r="D105" s="57" t="s">
        <v>3108</v>
      </c>
      <c r="E105" s="57" t="s">
        <v>2815</v>
      </c>
      <c r="F105" s="49" t="s">
        <v>1614</v>
      </c>
      <c r="G105" s="50" t="s">
        <v>2991</v>
      </c>
      <c r="H105" s="49" t="s">
        <v>3109</v>
      </c>
      <c r="I105" s="57" t="s">
        <v>3109</v>
      </c>
      <c r="J105" s="57" t="s">
        <v>2953</v>
      </c>
    </row>
    <row r="106" spans="1:10" ht="15" customHeight="1" x14ac:dyDescent="0.35">
      <c r="A106" s="49" t="s">
        <v>1650</v>
      </c>
      <c r="B106" s="49" t="s">
        <v>3105</v>
      </c>
      <c r="C106" s="49" t="s">
        <v>3105</v>
      </c>
      <c r="D106" s="57" t="s">
        <v>2815</v>
      </c>
      <c r="E106" s="57" t="s">
        <v>2815</v>
      </c>
      <c r="F106" s="49" t="s">
        <v>1718</v>
      </c>
      <c r="G106" s="50" t="s">
        <v>2990</v>
      </c>
      <c r="H106" s="49" t="s">
        <v>3111</v>
      </c>
      <c r="I106" s="57" t="s">
        <v>2953</v>
      </c>
      <c r="J106" s="57" t="s">
        <v>2953</v>
      </c>
    </row>
    <row r="107" spans="1:10" ht="15" customHeight="1" x14ac:dyDescent="0.35">
      <c r="A107" s="49" t="s">
        <v>1651</v>
      </c>
      <c r="B107" s="49" t="s">
        <v>2771</v>
      </c>
      <c r="C107" s="49" t="s">
        <v>3105</v>
      </c>
      <c r="D107" s="57" t="s">
        <v>2815</v>
      </c>
      <c r="E107" s="57" t="s">
        <v>2815</v>
      </c>
      <c r="F107" s="49" t="s">
        <v>1673</v>
      </c>
      <c r="G107" s="50" t="s">
        <v>2990</v>
      </c>
      <c r="H107" s="49" t="s">
        <v>3042</v>
      </c>
      <c r="I107" s="57" t="s">
        <v>2953</v>
      </c>
      <c r="J107" s="57" t="s">
        <v>2953</v>
      </c>
    </row>
    <row r="108" spans="1:10" ht="15" customHeight="1" x14ac:dyDescent="0.35">
      <c r="A108" s="49" t="s">
        <v>1652</v>
      </c>
      <c r="B108" s="49" t="s">
        <v>2929</v>
      </c>
      <c r="C108" s="49" t="s">
        <v>3105</v>
      </c>
      <c r="D108" s="57" t="s">
        <v>2815</v>
      </c>
      <c r="E108" s="57" t="s">
        <v>2815</v>
      </c>
      <c r="F108" s="49" t="s">
        <v>1673</v>
      </c>
      <c r="G108" s="50" t="s">
        <v>2990</v>
      </c>
      <c r="H108" s="57" t="s">
        <v>3043</v>
      </c>
      <c r="I108" s="57" t="s">
        <v>2953</v>
      </c>
      <c r="J108" s="57" t="s">
        <v>2953</v>
      </c>
    </row>
    <row r="109" spans="1:10" ht="15" customHeight="1" x14ac:dyDescent="0.35">
      <c r="A109" s="49" t="s">
        <v>1653</v>
      </c>
      <c r="B109" s="49" t="s">
        <v>21</v>
      </c>
      <c r="C109" s="49" t="s">
        <v>3105</v>
      </c>
      <c r="D109" s="57" t="s">
        <v>2815</v>
      </c>
      <c r="E109" s="57" t="s">
        <v>2815</v>
      </c>
      <c r="F109" s="49" t="s">
        <v>1718</v>
      </c>
      <c r="G109" s="50" t="s">
        <v>2990</v>
      </c>
      <c r="H109" s="49" t="s">
        <v>3018</v>
      </c>
      <c r="I109" s="57" t="s">
        <v>2953</v>
      </c>
      <c r="J109" s="57" t="s">
        <v>2953</v>
      </c>
    </row>
    <row r="110" spans="1:10" ht="15" customHeight="1" x14ac:dyDescent="0.35">
      <c r="A110" s="57" t="s">
        <v>1654</v>
      </c>
      <c r="B110" s="57" t="s">
        <v>3106</v>
      </c>
      <c r="C110" s="57" t="s">
        <v>3106</v>
      </c>
      <c r="D110" s="57" t="s">
        <v>2815</v>
      </c>
      <c r="E110" s="57" t="s">
        <v>2815</v>
      </c>
      <c r="F110" s="58"/>
      <c r="G110" s="50" t="s">
        <v>2992</v>
      </c>
      <c r="H110" s="49" t="s">
        <v>3112</v>
      </c>
      <c r="I110" s="57" t="s">
        <v>2953</v>
      </c>
      <c r="J110" s="57" t="s">
        <v>2953</v>
      </c>
    </row>
    <row r="111" spans="1:10" ht="15" customHeight="1" x14ac:dyDescent="0.35">
      <c r="A111" s="49" t="s">
        <v>1739</v>
      </c>
      <c r="B111" s="49" t="s">
        <v>3113</v>
      </c>
      <c r="C111" s="49" t="s">
        <v>3107</v>
      </c>
      <c r="D111" s="57" t="s">
        <v>3119</v>
      </c>
      <c r="E111" s="57" t="s">
        <v>2815</v>
      </c>
      <c r="F111" s="49" t="s">
        <v>1592</v>
      </c>
      <c r="G111" s="50" t="s">
        <v>2993</v>
      </c>
      <c r="H111" s="49" t="s">
        <v>3114</v>
      </c>
      <c r="I111" s="57" t="s">
        <v>2953</v>
      </c>
      <c r="J111" s="57" t="s">
        <v>2953</v>
      </c>
    </row>
    <row r="112" spans="1:10" ht="15" customHeight="1" x14ac:dyDescent="0.35">
      <c r="A112" s="49" t="s">
        <v>2765</v>
      </c>
      <c r="B112" s="49" t="s">
        <v>2766</v>
      </c>
      <c r="C112" s="49" t="s">
        <v>2766</v>
      </c>
      <c r="D112" s="57" t="s">
        <v>3119</v>
      </c>
      <c r="E112" s="57" t="s">
        <v>2815</v>
      </c>
      <c r="F112" s="49" t="s">
        <v>1614</v>
      </c>
      <c r="G112" s="50" t="s">
        <v>2989</v>
      </c>
      <c r="H112" s="49" t="s">
        <v>2968</v>
      </c>
      <c r="I112" s="57" t="s">
        <v>2953</v>
      </c>
      <c r="J112" s="57" t="s">
        <v>2953</v>
      </c>
    </row>
    <row r="113" spans="1:10" ht="15" customHeight="1" x14ac:dyDescent="0.35">
      <c r="A113" s="49" t="s">
        <v>2930</v>
      </c>
      <c r="B113" s="49" t="s">
        <v>2931</v>
      </c>
      <c r="C113" s="49" t="s">
        <v>2931</v>
      </c>
      <c r="D113" s="57" t="s">
        <v>3119</v>
      </c>
      <c r="E113" s="57" t="s">
        <v>2815</v>
      </c>
      <c r="F113" s="49" t="s">
        <v>1614</v>
      </c>
      <c r="G113" s="50" t="s">
        <v>2994</v>
      </c>
      <c r="H113" s="49" t="s">
        <v>3062</v>
      </c>
      <c r="I113" s="57" t="s">
        <v>2953</v>
      </c>
      <c r="J113" s="57" t="s">
        <v>2963</v>
      </c>
    </row>
    <row r="114" spans="1:10" ht="15" customHeight="1" x14ac:dyDescent="0.35">
      <c r="A114" s="49" t="s">
        <v>3030</v>
      </c>
      <c r="B114" s="49" t="s">
        <v>3192</v>
      </c>
      <c r="C114" s="49" t="s">
        <v>3192</v>
      </c>
      <c r="D114" s="57" t="s">
        <v>2815</v>
      </c>
      <c r="E114" s="57" t="s">
        <v>2815</v>
      </c>
      <c r="F114" s="49"/>
      <c r="G114" s="50" t="s">
        <v>3031</v>
      </c>
      <c r="H114" s="49" t="s">
        <v>3032</v>
      </c>
      <c r="I114" s="57" t="s">
        <v>2953</v>
      </c>
      <c r="J114" s="57" t="s">
        <v>2953</v>
      </c>
    </row>
    <row r="115" spans="1:10" ht="15" customHeight="1" x14ac:dyDescent="0.35">
      <c r="A115" s="49" t="s">
        <v>3125</v>
      </c>
      <c r="B115" s="49" t="s">
        <v>3122</v>
      </c>
      <c r="C115" s="49" t="s">
        <v>3122</v>
      </c>
      <c r="D115" s="49" t="s">
        <v>3122</v>
      </c>
      <c r="E115" s="57" t="s">
        <v>2815</v>
      </c>
      <c r="F115" s="49"/>
      <c r="G115" s="50" t="s">
        <v>3123</v>
      </c>
      <c r="H115" s="49" t="s">
        <v>3124</v>
      </c>
      <c r="I115" s="49" t="s">
        <v>3124</v>
      </c>
      <c r="J115" s="57" t="s">
        <v>2953</v>
      </c>
    </row>
    <row r="116" spans="1:10" ht="15" customHeight="1" x14ac:dyDescent="0.35">
      <c r="A116" s="49" t="s">
        <v>3143</v>
      </c>
      <c r="B116" s="49" t="s">
        <v>3193</v>
      </c>
      <c r="C116" s="49" t="s">
        <v>2815</v>
      </c>
      <c r="D116" s="57" t="s">
        <v>2815</v>
      </c>
      <c r="E116" s="57" t="s">
        <v>2815</v>
      </c>
      <c r="F116" s="49" t="s">
        <v>1614</v>
      </c>
      <c r="G116" s="50" t="s">
        <v>3144</v>
      </c>
      <c r="H116" s="49" t="s">
        <v>3194</v>
      </c>
      <c r="I116" s="57" t="s">
        <v>2953</v>
      </c>
      <c r="J116" s="57" t="s">
        <v>2953</v>
      </c>
    </row>
    <row r="117" spans="1:10" ht="15" customHeight="1" x14ac:dyDescent="0.35">
      <c r="A117" s="49" t="s">
        <v>1655</v>
      </c>
      <c r="B117" s="49" t="s">
        <v>2910</v>
      </c>
      <c r="C117" s="49" t="s">
        <v>2911</v>
      </c>
      <c r="D117" s="57" t="s">
        <v>2911</v>
      </c>
      <c r="E117" s="57" t="s">
        <v>2911</v>
      </c>
      <c r="F117" s="49">
        <v>0</v>
      </c>
      <c r="G117" s="50" t="s">
        <v>3020</v>
      </c>
      <c r="H117" s="49" t="s">
        <v>2963</v>
      </c>
      <c r="I117" s="57" t="s">
        <v>2963</v>
      </c>
      <c r="J117" s="57" t="s">
        <v>2963</v>
      </c>
    </row>
    <row r="118" spans="1:10" ht="15" customHeight="1" x14ac:dyDescent="0.35">
      <c r="A118" s="49" t="s">
        <v>1656</v>
      </c>
      <c r="B118" s="49" t="s">
        <v>2876</v>
      </c>
      <c r="C118" s="49" t="s">
        <v>1740</v>
      </c>
      <c r="D118" s="57" t="s">
        <v>1740</v>
      </c>
      <c r="E118" s="57" t="s">
        <v>2909</v>
      </c>
      <c r="F118" s="49">
        <v>0</v>
      </c>
      <c r="G118" s="50" t="s">
        <v>2985</v>
      </c>
      <c r="H118" s="49" t="s">
        <v>2955</v>
      </c>
      <c r="I118" s="57" t="s">
        <v>2955</v>
      </c>
      <c r="J118" s="57" t="s">
        <v>2950</v>
      </c>
    </row>
    <row r="119" spans="1:10" ht="15" customHeight="1" x14ac:dyDescent="0.35">
      <c r="A119" s="63" t="s">
        <v>1657</v>
      </c>
      <c r="B119" s="49" t="s">
        <v>23</v>
      </c>
      <c r="C119" s="49" t="s">
        <v>23</v>
      </c>
      <c r="D119" s="57" t="s">
        <v>1740</v>
      </c>
      <c r="E119" s="57" t="s">
        <v>2872</v>
      </c>
      <c r="F119" s="49">
        <v>0</v>
      </c>
      <c r="G119" s="66"/>
      <c r="H119" s="49"/>
      <c r="I119" s="49"/>
      <c r="J119" s="57"/>
    </row>
    <row r="120" spans="1:10" ht="15" customHeight="1" x14ac:dyDescent="0.35">
      <c r="A120" s="49" t="s">
        <v>1658</v>
      </c>
      <c r="B120" s="49" t="s">
        <v>24</v>
      </c>
      <c r="C120" s="49" t="s">
        <v>24</v>
      </c>
      <c r="D120" s="57" t="s">
        <v>24</v>
      </c>
      <c r="E120" s="49" t="s">
        <v>2911</v>
      </c>
      <c r="F120" s="49">
        <v>0</v>
      </c>
      <c r="G120" s="50" t="s">
        <v>2995</v>
      </c>
      <c r="H120" s="49" t="s">
        <v>2956</v>
      </c>
      <c r="I120" s="57" t="s">
        <v>2956</v>
      </c>
      <c r="J120" s="57" t="s">
        <v>2963</v>
      </c>
    </row>
    <row r="121" spans="1:10" ht="15" customHeight="1" x14ac:dyDescent="0.35">
      <c r="A121" s="49" t="s">
        <v>1659</v>
      </c>
      <c r="B121" s="49" t="s">
        <v>1716</v>
      </c>
      <c r="C121" s="49" t="s">
        <v>2880</v>
      </c>
      <c r="D121" s="49" t="s">
        <v>2880</v>
      </c>
      <c r="E121" s="49" t="s">
        <v>2911</v>
      </c>
      <c r="F121" s="49">
        <v>0</v>
      </c>
      <c r="G121" s="50" t="s">
        <v>2996</v>
      </c>
      <c r="H121" s="49" t="s">
        <v>2957</v>
      </c>
      <c r="I121" s="49" t="s">
        <v>2957</v>
      </c>
      <c r="J121" s="57" t="s">
        <v>2963</v>
      </c>
    </row>
    <row r="122" spans="1:10" ht="15" customHeight="1" x14ac:dyDescent="0.35">
      <c r="A122" s="49" t="s">
        <v>1660</v>
      </c>
      <c r="B122" s="49" t="s">
        <v>2881</v>
      </c>
      <c r="C122" s="49" t="s">
        <v>2819</v>
      </c>
      <c r="D122" s="57" t="s">
        <v>2819</v>
      </c>
      <c r="E122" s="49" t="s">
        <v>3103</v>
      </c>
      <c r="F122" s="49">
        <v>0</v>
      </c>
      <c r="G122" s="50" t="s">
        <v>2997</v>
      </c>
      <c r="H122" s="49" t="s">
        <v>2958</v>
      </c>
      <c r="I122" s="57" t="s">
        <v>2958</v>
      </c>
      <c r="J122" s="57" t="s">
        <v>2952</v>
      </c>
    </row>
    <row r="123" spans="1:10" ht="15" customHeight="1" x14ac:dyDescent="0.35">
      <c r="A123" s="49" t="s">
        <v>1661</v>
      </c>
      <c r="B123" s="49" t="s">
        <v>25</v>
      </c>
      <c r="C123" s="49" t="s">
        <v>25</v>
      </c>
      <c r="D123" s="57" t="s">
        <v>2819</v>
      </c>
      <c r="E123" s="49" t="s">
        <v>3103</v>
      </c>
      <c r="F123" s="49" t="s">
        <v>1674</v>
      </c>
      <c r="G123" s="53" t="s">
        <v>2998</v>
      </c>
      <c r="H123" s="49" t="s">
        <v>3021</v>
      </c>
      <c r="I123" s="57" t="s">
        <v>2958</v>
      </c>
      <c r="J123" s="57" t="s">
        <v>2952</v>
      </c>
    </row>
    <row r="124" spans="1:10" ht="15" customHeight="1" x14ac:dyDescent="0.35">
      <c r="A124" s="49" t="s">
        <v>1662</v>
      </c>
      <c r="B124" s="49" t="s">
        <v>26</v>
      </c>
      <c r="C124" s="49" t="s">
        <v>26</v>
      </c>
      <c r="D124" s="57" t="s">
        <v>2819</v>
      </c>
      <c r="E124" s="49" t="s">
        <v>3103</v>
      </c>
      <c r="F124" s="49" t="s">
        <v>1674</v>
      </c>
      <c r="G124" s="50" t="s">
        <v>2999</v>
      </c>
      <c r="H124" s="57" t="s">
        <v>3022</v>
      </c>
      <c r="I124" s="57" t="s">
        <v>2958</v>
      </c>
      <c r="J124" s="57" t="s">
        <v>2952</v>
      </c>
    </row>
    <row r="125" spans="1:10" ht="15" customHeight="1" x14ac:dyDescent="0.35">
      <c r="A125" s="49" t="s">
        <v>1663</v>
      </c>
      <c r="B125" s="49" t="s">
        <v>20</v>
      </c>
      <c r="C125" s="49" t="s">
        <v>20</v>
      </c>
      <c r="D125" s="57" t="s">
        <v>2819</v>
      </c>
      <c r="E125" s="49" t="s">
        <v>3103</v>
      </c>
      <c r="F125" s="49">
        <v>0</v>
      </c>
      <c r="G125" s="50" t="s">
        <v>3002</v>
      </c>
      <c r="H125" s="49" t="s">
        <v>2959</v>
      </c>
      <c r="I125" s="49" t="s">
        <v>2959</v>
      </c>
      <c r="J125" s="57" t="s">
        <v>2952</v>
      </c>
    </row>
    <row r="126" spans="1:10" ht="15" customHeight="1" x14ac:dyDescent="0.35">
      <c r="A126" s="49" t="s">
        <v>2818</v>
      </c>
      <c r="B126" s="57" t="s">
        <v>2915</v>
      </c>
      <c r="C126" s="57" t="s">
        <v>2915</v>
      </c>
      <c r="D126" s="57" t="s">
        <v>2819</v>
      </c>
      <c r="E126" s="49" t="s">
        <v>3103</v>
      </c>
      <c r="F126" s="49">
        <v>0</v>
      </c>
      <c r="G126" s="50" t="s">
        <v>3001</v>
      </c>
      <c r="H126" s="49" t="s">
        <v>3023</v>
      </c>
      <c r="I126" s="57" t="s">
        <v>2958</v>
      </c>
      <c r="J126" s="57" t="s">
        <v>2952</v>
      </c>
    </row>
    <row r="127" spans="1:10" ht="15" customHeight="1" x14ac:dyDescent="0.35">
      <c r="A127" s="49" t="s">
        <v>1664</v>
      </c>
      <c r="B127" s="49" t="s">
        <v>2877</v>
      </c>
      <c r="C127" s="49" t="s">
        <v>2871</v>
      </c>
      <c r="D127" s="49" t="s">
        <v>2871</v>
      </c>
      <c r="E127" s="49" t="s">
        <v>3103</v>
      </c>
      <c r="F127" s="49">
        <v>0</v>
      </c>
      <c r="G127" s="50" t="s">
        <v>3002</v>
      </c>
      <c r="H127" s="49" t="s">
        <v>2959</v>
      </c>
      <c r="I127" s="49" t="s">
        <v>2959</v>
      </c>
      <c r="J127" s="57" t="s">
        <v>2952</v>
      </c>
    </row>
    <row r="128" spans="1:10" ht="15" customHeight="1" x14ac:dyDescent="0.35">
      <c r="A128" s="49" t="s">
        <v>1665</v>
      </c>
      <c r="B128" s="49" t="s">
        <v>1710</v>
      </c>
      <c r="C128" s="49" t="s">
        <v>1710</v>
      </c>
      <c r="D128" s="49" t="s">
        <v>2871</v>
      </c>
      <c r="E128" s="49" t="s">
        <v>3103</v>
      </c>
      <c r="F128" s="49">
        <v>0</v>
      </c>
      <c r="G128" s="50" t="s">
        <v>3003</v>
      </c>
      <c r="H128" s="49" t="s">
        <v>3024</v>
      </c>
      <c r="I128" s="49" t="s">
        <v>2959</v>
      </c>
      <c r="J128" s="57" t="s">
        <v>2952</v>
      </c>
    </row>
    <row r="129" spans="1:10" s="53" customFormat="1" ht="15" customHeight="1" x14ac:dyDescent="0.35">
      <c r="A129" s="49" t="s">
        <v>1666</v>
      </c>
      <c r="B129" s="49" t="s">
        <v>1709</v>
      </c>
      <c r="C129" s="49" t="s">
        <v>1709</v>
      </c>
      <c r="D129" s="49" t="s">
        <v>2871</v>
      </c>
      <c r="E129" s="49" t="s">
        <v>3103</v>
      </c>
      <c r="F129" s="49">
        <v>0</v>
      </c>
      <c r="G129" s="50" t="s">
        <v>3000</v>
      </c>
      <c r="H129" s="64" t="s">
        <v>3054</v>
      </c>
      <c r="I129" s="49" t="s">
        <v>2959</v>
      </c>
      <c r="J129" s="57" t="s">
        <v>2952</v>
      </c>
    </row>
    <row r="130" spans="1:10" ht="15" customHeight="1" x14ac:dyDescent="0.35">
      <c r="A130" s="49" t="s">
        <v>2918</v>
      </c>
      <c r="B130" s="49" t="s">
        <v>2919</v>
      </c>
      <c r="C130" s="49" t="s">
        <v>5</v>
      </c>
      <c r="D130" s="57" t="s">
        <v>3</v>
      </c>
      <c r="E130" s="57" t="s">
        <v>2816</v>
      </c>
      <c r="F130" s="49" t="s">
        <v>1592</v>
      </c>
      <c r="G130" s="50" t="s">
        <v>2984</v>
      </c>
      <c r="H130" s="49" t="s">
        <v>3016</v>
      </c>
      <c r="I130" s="57" t="s">
        <v>2949</v>
      </c>
      <c r="J130" s="49" t="s">
        <v>2948</v>
      </c>
    </row>
    <row r="131" spans="1:10" ht="15" customHeight="1" x14ac:dyDescent="0.35">
      <c r="A131" s="64" t="s">
        <v>1667</v>
      </c>
      <c r="B131" s="64" t="s">
        <v>27</v>
      </c>
      <c r="C131" s="64" t="s">
        <v>27</v>
      </c>
      <c r="D131" s="65" t="s">
        <v>2911</v>
      </c>
      <c r="E131" s="65" t="s">
        <v>2911</v>
      </c>
      <c r="F131" s="64">
        <v>0</v>
      </c>
      <c r="G131" s="50" t="s">
        <v>3044</v>
      </c>
      <c r="H131" s="50" t="s">
        <v>3044</v>
      </c>
      <c r="I131" s="49" t="s">
        <v>2963</v>
      </c>
      <c r="J131" s="49" t="s">
        <v>2963</v>
      </c>
    </row>
    <row r="132" spans="1:10" ht="15" customHeight="1" x14ac:dyDescent="0.35">
      <c r="A132" s="49" t="s">
        <v>2783</v>
      </c>
      <c r="B132" s="49" t="s">
        <v>2784</v>
      </c>
      <c r="C132" s="49" t="s">
        <v>2784</v>
      </c>
      <c r="D132" s="49" t="s">
        <v>2784</v>
      </c>
      <c r="E132" s="49" t="s">
        <v>3103</v>
      </c>
      <c r="F132" s="49">
        <v>0</v>
      </c>
      <c r="G132" s="50" t="s">
        <v>3004</v>
      </c>
      <c r="H132" s="57" t="s">
        <v>2960</v>
      </c>
      <c r="I132" s="57" t="s">
        <v>2960</v>
      </c>
      <c r="J132" s="57" t="s">
        <v>2952</v>
      </c>
    </row>
    <row r="133" spans="1:10" ht="15" customHeight="1" x14ac:dyDescent="0.35">
      <c r="A133" s="49" t="s">
        <v>2916</v>
      </c>
      <c r="B133" s="49" t="s">
        <v>2917</v>
      </c>
      <c r="C133" s="49" t="s">
        <v>2917</v>
      </c>
      <c r="D133" s="49" t="s">
        <v>2784</v>
      </c>
      <c r="E133" s="49" t="s">
        <v>3103</v>
      </c>
      <c r="F133" s="49">
        <v>0</v>
      </c>
      <c r="G133" s="50" t="s">
        <v>3005</v>
      </c>
      <c r="H133" s="49" t="s">
        <v>3025</v>
      </c>
      <c r="I133" s="49" t="s">
        <v>2960</v>
      </c>
      <c r="J133" s="49" t="s">
        <v>2952</v>
      </c>
    </row>
    <row r="134" spans="1:10" ht="15" customHeight="1" x14ac:dyDescent="0.35">
      <c r="A134" s="57" t="s">
        <v>2912</v>
      </c>
      <c r="B134" s="57" t="s">
        <v>2914</v>
      </c>
      <c r="C134" s="57" t="s">
        <v>2913</v>
      </c>
      <c r="D134" s="57" t="s">
        <v>2913</v>
      </c>
      <c r="E134" s="49" t="s">
        <v>3096</v>
      </c>
      <c r="F134" s="49">
        <v>0</v>
      </c>
      <c r="G134" s="50" t="s">
        <v>3006</v>
      </c>
      <c r="H134" s="57" t="s">
        <v>2961</v>
      </c>
      <c r="I134" s="57" t="s">
        <v>2961</v>
      </c>
      <c r="J134" s="57" t="s">
        <v>3097</v>
      </c>
    </row>
    <row r="135" spans="1:10" ht="15" customHeight="1" x14ac:dyDescent="0.35">
      <c r="A135" s="49" t="s">
        <v>1668</v>
      </c>
      <c r="B135" s="49" t="s">
        <v>1714</v>
      </c>
      <c r="C135" s="49" t="s">
        <v>29</v>
      </c>
      <c r="D135" s="57" t="s">
        <v>29</v>
      </c>
      <c r="E135" s="57" t="s">
        <v>29</v>
      </c>
      <c r="F135" s="49">
        <v>0</v>
      </c>
      <c r="G135" s="66"/>
      <c r="H135" s="49" t="s">
        <v>3132</v>
      </c>
      <c r="I135" s="49" t="s">
        <v>3132</v>
      </c>
      <c r="J135" s="49" t="s">
        <v>3132</v>
      </c>
    </row>
    <row r="136" spans="1:10" x14ac:dyDescent="0.35">
      <c r="A136" s="49" t="s">
        <v>1669</v>
      </c>
      <c r="B136" s="49" t="s">
        <v>1715</v>
      </c>
      <c r="C136" s="49" t="s">
        <v>29</v>
      </c>
      <c r="D136" s="57" t="s">
        <v>29</v>
      </c>
      <c r="E136" s="57" t="s">
        <v>29</v>
      </c>
      <c r="F136" s="49">
        <v>0</v>
      </c>
      <c r="G136" s="66"/>
      <c r="H136" s="49" t="s">
        <v>3132</v>
      </c>
      <c r="I136" s="49" t="s">
        <v>3132</v>
      </c>
      <c r="J136" s="49" t="s">
        <v>3132</v>
      </c>
    </row>
    <row r="137" spans="1:10" x14ac:dyDescent="0.35">
      <c r="A137" s="49" t="s">
        <v>1670</v>
      </c>
      <c r="B137" s="49" t="s">
        <v>1713</v>
      </c>
      <c r="C137" s="49" t="s">
        <v>29</v>
      </c>
      <c r="D137" s="57" t="s">
        <v>29</v>
      </c>
      <c r="E137" s="57" t="s">
        <v>29</v>
      </c>
      <c r="F137" s="49">
        <v>0</v>
      </c>
      <c r="G137" s="66"/>
      <c r="H137" s="49" t="s">
        <v>3132</v>
      </c>
      <c r="I137" s="49" t="s">
        <v>3132</v>
      </c>
      <c r="J137" s="49" t="s">
        <v>3132</v>
      </c>
    </row>
    <row r="138" spans="1:10" x14ac:dyDescent="0.35">
      <c r="A138" s="49" t="s">
        <v>1671</v>
      </c>
      <c r="B138" s="49" t="s">
        <v>1712</v>
      </c>
      <c r="C138" s="49" t="s">
        <v>29</v>
      </c>
      <c r="D138" s="57" t="s">
        <v>29</v>
      </c>
      <c r="E138" s="57" t="s">
        <v>29</v>
      </c>
      <c r="F138" s="49">
        <v>0</v>
      </c>
      <c r="G138" s="66"/>
      <c r="H138" s="49" t="s">
        <v>3132</v>
      </c>
      <c r="I138" s="49" t="s">
        <v>3132</v>
      </c>
      <c r="J138" s="49" t="s">
        <v>3132</v>
      </c>
    </row>
    <row r="139" spans="1:10" x14ac:dyDescent="0.35">
      <c r="A139" s="49" t="s">
        <v>1672</v>
      </c>
      <c r="B139" s="49" t="s">
        <v>30</v>
      </c>
      <c r="C139" s="49" t="s">
        <v>30</v>
      </c>
      <c r="D139" s="57" t="s">
        <v>30</v>
      </c>
      <c r="E139" s="57" t="s">
        <v>29</v>
      </c>
      <c r="F139" s="49">
        <v>0</v>
      </c>
      <c r="G139" s="66"/>
      <c r="H139" s="49" t="s">
        <v>3045</v>
      </c>
      <c r="I139" s="57" t="s">
        <v>3045</v>
      </c>
      <c r="J139" s="57" t="s">
        <v>3045</v>
      </c>
    </row>
    <row r="140" spans="1:10" x14ac:dyDescent="0.35">
      <c r="A140" s="51" t="s">
        <v>2777</v>
      </c>
      <c r="B140" s="51" t="s">
        <v>2778</v>
      </c>
      <c r="C140" s="49" t="s">
        <v>2805</v>
      </c>
      <c r="D140" s="57" t="s">
        <v>2815</v>
      </c>
      <c r="E140" s="57" t="s">
        <v>2815</v>
      </c>
      <c r="F140" s="49" t="s">
        <v>1614</v>
      </c>
      <c r="H140" s="49"/>
      <c r="I140" s="57"/>
      <c r="J140" s="57"/>
    </row>
    <row r="142" spans="1:10" x14ac:dyDescent="0.35">
      <c r="A142" s="50" t="s">
        <v>218</v>
      </c>
    </row>
    <row r="143" spans="1:10" ht="15" x14ac:dyDescent="0.35">
      <c r="A143" s="47" t="s">
        <v>1731</v>
      </c>
      <c r="B143" s="47" t="s">
        <v>2874</v>
      </c>
      <c r="C143" s="47" t="s">
        <v>1733</v>
      </c>
      <c r="D143" s="47" t="s">
        <v>1734</v>
      </c>
      <c r="E143" s="47" t="s">
        <v>1735</v>
      </c>
      <c r="F143" s="47" t="s">
        <v>1736</v>
      </c>
    </row>
    <row r="144" spans="1:10" x14ac:dyDescent="0.35">
      <c r="A144" s="50" t="s">
        <v>3170</v>
      </c>
      <c r="B144" s="50" t="s">
        <v>2</v>
      </c>
      <c r="C144" s="50" t="s">
        <v>2</v>
      </c>
      <c r="D144" s="50" t="s">
        <v>2</v>
      </c>
      <c r="E144" s="50" t="s">
        <v>2</v>
      </c>
      <c r="G144" s="50" t="s">
        <v>3177</v>
      </c>
      <c r="H144" s="50" t="s">
        <v>2945</v>
      </c>
      <c r="I144" s="50" t="s">
        <v>2945</v>
      </c>
      <c r="J144" s="50" t="s">
        <v>2945</v>
      </c>
    </row>
    <row r="145" spans="1:10" x14ac:dyDescent="0.35">
      <c r="A145" s="50" t="s">
        <v>3007</v>
      </c>
      <c r="B145" s="53" t="s">
        <v>875</v>
      </c>
      <c r="C145" s="66" t="s">
        <v>3063</v>
      </c>
      <c r="D145" s="66" t="s">
        <v>3063</v>
      </c>
      <c r="E145" s="66" t="s">
        <v>3063</v>
      </c>
    </row>
    <row r="146" spans="1:10" x14ac:dyDescent="0.35">
      <c r="A146" s="50" t="s">
        <v>2932</v>
      </c>
      <c r="B146" s="53" t="s">
        <v>2942</v>
      </c>
      <c r="C146" s="66" t="s">
        <v>3063</v>
      </c>
      <c r="D146" s="66" t="s">
        <v>3063</v>
      </c>
      <c r="E146" s="66" t="s">
        <v>3063</v>
      </c>
    </row>
    <row r="147" spans="1:10" x14ac:dyDescent="0.35">
      <c r="A147" s="50" t="s">
        <v>3008</v>
      </c>
      <c r="B147" s="50" t="s">
        <v>3188</v>
      </c>
      <c r="C147" s="50" t="s">
        <v>2815</v>
      </c>
      <c r="D147" s="50" t="s">
        <v>2815</v>
      </c>
      <c r="E147" s="50" t="s">
        <v>2815</v>
      </c>
      <c r="G147" s="50" t="s">
        <v>3047</v>
      </c>
      <c r="H147" s="57" t="s">
        <v>2953</v>
      </c>
      <c r="I147" s="57" t="s">
        <v>2953</v>
      </c>
      <c r="J147" s="57" t="s">
        <v>2953</v>
      </c>
    </row>
    <row r="148" spans="1:10" x14ac:dyDescent="0.35">
      <c r="A148" s="50" t="s">
        <v>3009</v>
      </c>
      <c r="B148" s="53" t="s">
        <v>3010</v>
      </c>
      <c r="C148" s="50" t="s">
        <v>3189</v>
      </c>
      <c r="D148" s="50" t="s">
        <v>3190</v>
      </c>
      <c r="E148" s="50" t="s">
        <v>2815</v>
      </c>
      <c r="H148" s="57"/>
      <c r="I148" s="57"/>
      <c r="J148" s="57"/>
    </row>
    <row r="149" spans="1:10" x14ac:dyDescent="0.35">
      <c r="A149" s="50" t="s">
        <v>2933</v>
      </c>
      <c r="B149" s="53" t="s">
        <v>2770</v>
      </c>
      <c r="C149" s="50" t="s">
        <v>2770</v>
      </c>
      <c r="D149" s="50" t="s">
        <v>2815</v>
      </c>
      <c r="E149" s="50" t="s">
        <v>2815</v>
      </c>
      <c r="F149" s="49" t="s">
        <v>1614</v>
      </c>
      <c r="G149" s="50" t="s">
        <v>3185</v>
      </c>
      <c r="H149" s="57" t="s">
        <v>2953</v>
      </c>
      <c r="I149" s="57" t="s">
        <v>2953</v>
      </c>
      <c r="J149" s="57" t="s">
        <v>2953</v>
      </c>
    </row>
    <row r="150" spans="1:10" x14ac:dyDescent="0.35">
      <c r="A150" s="55" t="s">
        <v>2934</v>
      </c>
      <c r="B150" s="53" t="s">
        <v>10</v>
      </c>
      <c r="C150" s="49" t="s">
        <v>2770</v>
      </c>
      <c r="D150" s="57" t="s">
        <v>2815</v>
      </c>
      <c r="E150" s="57" t="s">
        <v>2815</v>
      </c>
      <c r="F150" s="49" t="s">
        <v>1614</v>
      </c>
      <c r="G150" s="50" t="s">
        <v>3185</v>
      </c>
      <c r="H150" s="57" t="s">
        <v>2953</v>
      </c>
      <c r="I150" s="57" t="s">
        <v>2953</v>
      </c>
      <c r="J150" s="57" t="s">
        <v>2953</v>
      </c>
    </row>
    <row r="151" spans="1:10" x14ac:dyDescent="0.35">
      <c r="A151" s="55" t="s">
        <v>3071</v>
      </c>
      <c r="B151" s="53" t="s">
        <v>2895</v>
      </c>
      <c r="C151" s="49" t="s">
        <v>2770</v>
      </c>
      <c r="D151" s="57" t="s">
        <v>2815</v>
      </c>
      <c r="E151" s="57" t="s">
        <v>2815</v>
      </c>
      <c r="F151" s="49" t="s">
        <v>1614</v>
      </c>
      <c r="G151" s="50" t="s">
        <v>3185</v>
      </c>
      <c r="H151" s="57" t="s">
        <v>2953</v>
      </c>
      <c r="I151" s="57" t="s">
        <v>2953</v>
      </c>
      <c r="J151" s="57" t="s">
        <v>2953</v>
      </c>
    </row>
    <row r="152" spans="1:10" x14ac:dyDescent="0.35">
      <c r="A152" s="50" t="s">
        <v>2935</v>
      </c>
      <c r="B152" s="53" t="s">
        <v>2943</v>
      </c>
      <c r="C152" s="49" t="s">
        <v>2770</v>
      </c>
      <c r="D152" s="57" t="s">
        <v>2815</v>
      </c>
      <c r="E152" s="57" t="s">
        <v>2815</v>
      </c>
      <c r="F152" s="49" t="s">
        <v>1614</v>
      </c>
      <c r="G152" s="50" t="s">
        <v>3185</v>
      </c>
      <c r="H152" s="57" t="s">
        <v>2953</v>
      </c>
      <c r="I152" s="57" t="s">
        <v>2953</v>
      </c>
      <c r="J152" s="57" t="s">
        <v>2953</v>
      </c>
    </row>
    <row r="153" spans="1:10" x14ac:dyDescent="0.35">
      <c r="A153" s="50" t="s">
        <v>2936</v>
      </c>
      <c r="B153" s="53" t="s">
        <v>2944</v>
      </c>
      <c r="C153" s="49" t="s">
        <v>2770</v>
      </c>
      <c r="D153" s="57" t="s">
        <v>2815</v>
      </c>
      <c r="E153" s="57" t="s">
        <v>2815</v>
      </c>
      <c r="F153" s="49" t="s">
        <v>1614</v>
      </c>
      <c r="G153" s="50" t="s">
        <v>3185</v>
      </c>
      <c r="H153" s="57" t="s">
        <v>2953</v>
      </c>
      <c r="I153" s="57" t="s">
        <v>2953</v>
      </c>
      <c r="J153" s="57" t="s">
        <v>2953</v>
      </c>
    </row>
    <row r="154" spans="1:10" x14ac:dyDescent="0.35">
      <c r="A154" s="50" t="s">
        <v>2937</v>
      </c>
      <c r="B154" s="53" t="s">
        <v>8</v>
      </c>
      <c r="C154" s="49" t="s">
        <v>2770</v>
      </c>
      <c r="D154" s="57" t="s">
        <v>2815</v>
      </c>
      <c r="E154" s="57" t="s">
        <v>2815</v>
      </c>
      <c r="F154" s="49" t="s">
        <v>1614</v>
      </c>
      <c r="G154" s="50" t="s">
        <v>3185</v>
      </c>
      <c r="H154" s="57" t="s">
        <v>2953</v>
      </c>
      <c r="I154" s="57" t="s">
        <v>2953</v>
      </c>
      <c r="J154" s="57" t="s">
        <v>2953</v>
      </c>
    </row>
    <row r="155" spans="1:10" x14ac:dyDescent="0.35">
      <c r="A155" s="50" t="s">
        <v>2938</v>
      </c>
      <c r="B155" s="53" t="s">
        <v>2902</v>
      </c>
      <c r="C155" s="49" t="s">
        <v>2770</v>
      </c>
      <c r="D155" s="57" t="s">
        <v>2815</v>
      </c>
      <c r="E155" s="57" t="s">
        <v>2815</v>
      </c>
      <c r="F155" s="49" t="s">
        <v>1614</v>
      </c>
      <c r="G155" s="50" t="s">
        <v>3185</v>
      </c>
      <c r="H155" s="57" t="s">
        <v>2953</v>
      </c>
      <c r="I155" s="57" t="s">
        <v>2953</v>
      </c>
      <c r="J155" s="57" t="s">
        <v>2953</v>
      </c>
    </row>
    <row r="156" spans="1:10" x14ac:dyDescent="0.35">
      <c r="A156" s="50" t="s">
        <v>2939</v>
      </c>
      <c r="B156" s="53" t="s">
        <v>11</v>
      </c>
      <c r="C156" s="49" t="s">
        <v>2770</v>
      </c>
      <c r="D156" s="57" t="s">
        <v>2815</v>
      </c>
      <c r="E156" s="57" t="s">
        <v>2815</v>
      </c>
      <c r="F156" s="49" t="s">
        <v>1614</v>
      </c>
      <c r="G156" s="50" t="s">
        <v>3185</v>
      </c>
      <c r="H156" s="57" t="s">
        <v>2953</v>
      </c>
      <c r="I156" s="57" t="s">
        <v>2953</v>
      </c>
      <c r="J156" s="57" t="s">
        <v>2953</v>
      </c>
    </row>
    <row r="157" spans="1:10" x14ac:dyDescent="0.35">
      <c r="A157" s="50" t="s">
        <v>2940</v>
      </c>
      <c r="B157" s="53" t="s">
        <v>17</v>
      </c>
      <c r="C157" s="49" t="s">
        <v>2770</v>
      </c>
      <c r="D157" s="57" t="s">
        <v>2815</v>
      </c>
      <c r="E157" s="57" t="s">
        <v>2815</v>
      </c>
      <c r="F157" s="49" t="s">
        <v>1614</v>
      </c>
      <c r="G157" s="50" t="s">
        <v>3185</v>
      </c>
      <c r="H157" s="57" t="s">
        <v>2953</v>
      </c>
      <c r="I157" s="57" t="s">
        <v>2953</v>
      </c>
      <c r="J157" s="57" t="s">
        <v>2953</v>
      </c>
    </row>
    <row r="158" spans="1:10" x14ac:dyDescent="0.35">
      <c r="A158" s="50" t="s">
        <v>2941</v>
      </c>
      <c r="B158" s="53" t="s">
        <v>9</v>
      </c>
      <c r="C158" s="49" t="s">
        <v>2770</v>
      </c>
      <c r="D158" s="57" t="s">
        <v>2815</v>
      </c>
      <c r="E158" s="57" t="s">
        <v>2815</v>
      </c>
      <c r="F158" s="49" t="s">
        <v>1614</v>
      </c>
      <c r="G158" s="50" t="s">
        <v>3185</v>
      </c>
      <c r="H158" s="57" t="s">
        <v>2953</v>
      </c>
      <c r="I158" s="57" t="s">
        <v>2953</v>
      </c>
      <c r="J158" s="57" t="s">
        <v>2953</v>
      </c>
    </row>
    <row r="159" spans="1:10" x14ac:dyDescent="0.35">
      <c r="A159" s="50" t="s">
        <v>3133</v>
      </c>
      <c r="B159" s="53" t="s">
        <v>3134</v>
      </c>
      <c r="C159" s="49" t="s">
        <v>2770</v>
      </c>
      <c r="D159" s="57" t="s">
        <v>2815</v>
      </c>
      <c r="E159" s="57" t="s">
        <v>2815</v>
      </c>
      <c r="F159" s="49" t="s">
        <v>1614</v>
      </c>
      <c r="G159" s="50" t="s">
        <v>3185</v>
      </c>
      <c r="H159" s="57" t="s">
        <v>2953</v>
      </c>
      <c r="I159" s="57" t="s">
        <v>2953</v>
      </c>
      <c r="J159" s="57" t="s">
        <v>2953</v>
      </c>
    </row>
    <row r="160" spans="1:10" x14ac:dyDescent="0.35">
      <c r="A160" s="50" t="s">
        <v>3135</v>
      </c>
      <c r="B160" s="53" t="s">
        <v>2795</v>
      </c>
      <c r="C160" s="49" t="s">
        <v>2770</v>
      </c>
      <c r="D160" s="57" t="s">
        <v>2815</v>
      </c>
      <c r="E160" s="57" t="s">
        <v>2815</v>
      </c>
      <c r="F160" s="49" t="s">
        <v>1614</v>
      </c>
      <c r="G160" s="50" t="s">
        <v>3185</v>
      </c>
      <c r="H160" s="57" t="s">
        <v>2953</v>
      </c>
      <c r="I160" s="57" t="s">
        <v>2953</v>
      </c>
      <c r="J160" s="57" t="s">
        <v>2953</v>
      </c>
    </row>
    <row r="161" spans="1:10" x14ac:dyDescent="0.35">
      <c r="A161" s="50" t="s">
        <v>3136</v>
      </c>
      <c r="B161" s="53" t="s">
        <v>2788</v>
      </c>
      <c r="C161" s="49" t="s">
        <v>2770</v>
      </c>
      <c r="D161" s="57" t="s">
        <v>2815</v>
      </c>
      <c r="E161" s="57" t="s">
        <v>2815</v>
      </c>
      <c r="F161" s="49" t="s">
        <v>1614</v>
      </c>
      <c r="G161" s="50" t="s">
        <v>3185</v>
      </c>
      <c r="H161" s="57" t="s">
        <v>2953</v>
      </c>
      <c r="I161" s="57" t="s">
        <v>2953</v>
      </c>
      <c r="J161" s="57" t="s">
        <v>2953</v>
      </c>
    </row>
    <row r="162" spans="1:10" x14ac:dyDescent="0.35">
      <c r="A162" s="50" t="s">
        <v>3137</v>
      </c>
      <c r="B162" s="53" t="s">
        <v>2789</v>
      </c>
      <c r="C162" s="49" t="s">
        <v>2770</v>
      </c>
      <c r="D162" s="57" t="s">
        <v>2815</v>
      </c>
      <c r="E162" s="57" t="s">
        <v>2815</v>
      </c>
      <c r="F162" s="49" t="s">
        <v>1614</v>
      </c>
      <c r="G162" s="50" t="s">
        <v>3185</v>
      </c>
      <c r="H162" s="57" t="s">
        <v>2953</v>
      </c>
      <c r="I162" s="57" t="s">
        <v>2953</v>
      </c>
      <c r="J162" s="57" t="s">
        <v>2953</v>
      </c>
    </row>
    <row r="163" spans="1:10" x14ac:dyDescent="0.35">
      <c r="A163" s="50" t="s">
        <v>3138</v>
      </c>
      <c r="B163" s="53" t="s">
        <v>3139</v>
      </c>
      <c r="C163" s="49" t="s">
        <v>2770</v>
      </c>
      <c r="D163" s="57" t="s">
        <v>2815</v>
      </c>
      <c r="E163" s="57" t="s">
        <v>2815</v>
      </c>
      <c r="F163" s="49" t="s">
        <v>1614</v>
      </c>
      <c r="G163" s="50" t="s">
        <v>3185</v>
      </c>
      <c r="H163" s="57" t="s">
        <v>2953</v>
      </c>
      <c r="I163" s="57" t="s">
        <v>2953</v>
      </c>
      <c r="J163" s="57" t="s">
        <v>2953</v>
      </c>
    </row>
    <row r="164" spans="1:10" x14ac:dyDescent="0.35">
      <c r="A164" s="50" t="s">
        <v>3140</v>
      </c>
      <c r="B164" s="53" t="s">
        <v>2780</v>
      </c>
      <c r="C164" s="49" t="s">
        <v>2770</v>
      </c>
      <c r="D164" s="57" t="s">
        <v>2815</v>
      </c>
      <c r="E164" s="57" t="s">
        <v>2815</v>
      </c>
      <c r="F164" s="49" t="s">
        <v>1614</v>
      </c>
      <c r="G164" s="50" t="s">
        <v>3185</v>
      </c>
      <c r="H164" s="57" t="s">
        <v>2953</v>
      </c>
      <c r="I164" s="57" t="s">
        <v>2953</v>
      </c>
      <c r="J164" s="57" t="s">
        <v>2953</v>
      </c>
    </row>
    <row r="165" spans="1:10" x14ac:dyDescent="0.35">
      <c r="A165" s="50" t="s">
        <v>3141</v>
      </c>
      <c r="B165" s="53" t="s">
        <v>3142</v>
      </c>
      <c r="C165" s="49" t="s">
        <v>2770</v>
      </c>
      <c r="D165" s="57" t="s">
        <v>2815</v>
      </c>
      <c r="E165" s="57" t="s">
        <v>2815</v>
      </c>
      <c r="F165" s="49" t="s">
        <v>1614</v>
      </c>
      <c r="G165" s="50" t="s">
        <v>3185</v>
      </c>
      <c r="H165" s="57" t="s">
        <v>2953</v>
      </c>
      <c r="I165" s="57" t="s">
        <v>2953</v>
      </c>
      <c r="J165" s="57" t="s">
        <v>2953</v>
      </c>
    </row>
    <row r="166" spans="1:10" x14ac:dyDescent="0.35">
      <c r="A166" s="50" t="s">
        <v>3146</v>
      </c>
      <c r="B166" s="53" t="s">
        <v>3127</v>
      </c>
      <c r="C166" s="49" t="s">
        <v>2770</v>
      </c>
      <c r="D166" s="57" t="s">
        <v>2815</v>
      </c>
      <c r="E166" s="57" t="s">
        <v>2815</v>
      </c>
      <c r="F166" s="49" t="s">
        <v>1614</v>
      </c>
      <c r="G166" s="50" t="s">
        <v>3185</v>
      </c>
      <c r="H166" s="57" t="s">
        <v>2953</v>
      </c>
      <c r="I166" s="57" t="s">
        <v>2953</v>
      </c>
      <c r="J166" s="57" t="s">
        <v>2953</v>
      </c>
    </row>
    <row r="167" spans="1:10" x14ac:dyDescent="0.35">
      <c r="A167" s="50" t="s">
        <v>3011</v>
      </c>
      <c r="B167" s="53" t="s">
        <v>22</v>
      </c>
      <c r="C167" s="50" t="s">
        <v>22</v>
      </c>
      <c r="D167" s="57" t="s">
        <v>2815</v>
      </c>
      <c r="E167" s="57" t="s">
        <v>2815</v>
      </c>
      <c r="G167" s="66"/>
      <c r="H167" s="50" t="s">
        <v>3128</v>
      </c>
      <c r="I167" s="57" t="s">
        <v>2953</v>
      </c>
      <c r="J167" s="57" t="s">
        <v>2953</v>
      </c>
    </row>
    <row r="168" spans="1:10" x14ac:dyDescent="0.35">
      <c r="A168" s="50" t="s">
        <v>3012</v>
      </c>
      <c r="B168" s="53" t="s">
        <v>2766</v>
      </c>
      <c r="C168" s="50" t="s">
        <v>2766</v>
      </c>
      <c r="D168" s="57" t="s">
        <v>2815</v>
      </c>
      <c r="E168" s="57" t="s">
        <v>2815</v>
      </c>
      <c r="G168" s="66"/>
      <c r="H168" s="50" t="s">
        <v>3129</v>
      </c>
      <c r="I168" s="57" t="s">
        <v>2953</v>
      </c>
      <c r="J168" s="57" t="s">
        <v>2953</v>
      </c>
    </row>
    <row r="169" spans="1:10" x14ac:dyDescent="0.35">
      <c r="A169" s="50" t="s">
        <v>3013</v>
      </c>
      <c r="B169" s="53" t="s">
        <v>2931</v>
      </c>
      <c r="C169" s="50" t="s">
        <v>2931</v>
      </c>
      <c r="D169" s="57" t="s">
        <v>2815</v>
      </c>
      <c r="E169" s="57" t="s">
        <v>2815</v>
      </c>
      <c r="G169" s="66"/>
      <c r="H169" s="50" t="s">
        <v>3130</v>
      </c>
      <c r="I169" s="57" t="s">
        <v>2953</v>
      </c>
      <c r="J169" s="57" t="s">
        <v>2953</v>
      </c>
    </row>
    <row r="170" spans="1:10" x14ac:dyDescent="0.35">
      <c r="A170" s="50" t="s">
        <v>3170</v>
      </c>
      <c r="B170" s="57" t="s">
        <v>2</v>
      </c>
      <c r="C170" s="57" t="s">
        <v>2</v>
      </c>
      <c r="D170" s="57" t="s">
        <v>2</v>
      </c>
      <c r="E170" s="57" t="s">
        <v>2</v>
      </c>
      <c r="G170" s="50" t="s">
        <v>3177</v>
      </c>
      <c r="H170" s="49" t="s">
        <v>2945</v>
      </c>
      <c r="I170" s="57" t="s">
        <v>2945</v>
      </c>
      <c r="J170" s="57" t="s">
        <v>2945</v>
      </c>
    </row>
    <row r="171" spans="1:10" x14ac:dyDescent="0.35">
      <c r="A171" s="50" t="s">
        <v>3171</v>
      </c>
      <c r="B171" s="53" t="s">
        <v>2816</v>
      </c>
      <c r="C171" s="53" t="s">
        <v>2816</v>
      </c>
      <c r="D171" s="53" t="s">
        <v>2816</v>
      </c>
      <c r="E171" s="53" t="s">
        <v>2816</v>
      </c>
      <c r="G171" s="50" t="s">
        <v>3178</v>
      </c>
      <c r="H171" s="50" t="s">
        <v>2948</v>
      </c>
      <c r="I171" s="50" t="s">
        <v>2948</v>
      </c>
      <c r="J171" s="50" t="s">
        <v>2948</v>
      </c>
    </row>
    <row r="172" spans="1:10" x14ac:dyDescent="0.35">
      <c r="A172" s="50" t="s">
        <v>3172</v>
      </c>
      <c r="B172" s="53" t="s">
        <v>2909</v>
      </c>
      <c r="C172" s="53" t="s">
        <v>2909</v>
      </c>
      <c r="D172" s="53" t="s">
        <v>2909</v>
      </c>
      <c r="E172" s="53" t="s">
        <v>2909</v>
      </c>
      <c r="G172" s="50" t="s">
        <v>3179</v>
      </c>
      <c r="H172" s="50" t="s">
        <v>2950</v>
      </c>
      <c r="I172" s="50" t="s">
        <v>2950</v>
      </c>
      <c r="J172" s="50" t="s">
        <v>2950</v>
      </c>
    </row>
    <row r="173" spans="1:10" x14ac:dyDescent="0.35">
      <c r="A173" s="50" t="s">
        <v>3145</v>
      </c>
      <c r="B173" s="53" t="s">
        <v>3167</v>
      </c>
      <c r="C173" s="49" t="s">
        <v>3103</v>
      </c>
      <c r="D173" s="49" t="s">
        <v>3103</v>
      </c>
      <c r="E173" s="49" t="s">
        <v>3103</v>
      </c>
      <c r="G173" s="50" t="s">
        <v>3180</v>
      </c>
      <c r="H173" s="50" t="s">
        <v>2952</v>
      </c>
      <c r="I173" s="50" t="s">
        <v>2952</v>
      </c>
      <c r="J173" s="50" t="s">
        <v>2952</v>
      </c>
    </row>
    <row r="174" spans="1:10" x14ac:dyDescent="0.35">
      <c r="A174" s="50" t="s">
        <v>3173</v>
      </c>
      <c r="B174" s="53" t="s">
        <v>3168</v>
      </c>
      <c r="C174" s="49" t="s">
        <v>2911</v>
      </c>
      <c r="D174" s="57" t="s">
        <v>2911</v>
      </c>
      <c r="E174" s="57" t="s">
        <v>2911</v>
      </c>
      <c r="G174" s="50" t="s">
        <v>3181</v>
      </c>
      <c r="H174" s="50" t="s">
        <v>2963</v>
      </c>
      <c r="I174" s="50" t="s">
        <v>2963</v>
      </c>
      <c r="J174" s="50" t="s">
        <v>2963</v>
      </c>
    </row>
    <row r="175" spans="1:10" x14ac:dyDescent="0.35">
      <c r="A175" s="50" t="s">
        <v>3174</v>
      </c>
      <c r="B175" s="53" t="s">
        <v>3169</v>
      </c>
      <c r="C175" s="49" t="s">
        <v>3096</v>
      </c>
      <c r="D175" s="49" t="s">
        <v>3096</v>
      </c>
      <c r="E175" s="49" t="s">
        <v>3096</v>
      </c>
      <c r="G175" s="50" t="s">
        <v>3182</v>
      </c>
      <c r="H175" s="50" t="s">
        <v>3097</v>
      </c>
      <c r="I175" s="50" t="s">
        <v>3097</v>
      </c>
      <c r="J175" s="50" t="s">
        <v>3097</v>
      </c>
    </row>
    <row r="176" spans="1:10" x14ac:dyDescent="0.35">
      <c r="A176" s="50" t="s">
        <v>3175</v>
      </c>
      <c r="B176" s="53" t="s">
        <v>2908</v>
      </c>
      <c r="C176" s="53" t="s">
        <v>2908</v>
      </c>
      <c r="D176" s="53" t="s">
        <v>2908</v>
      </c>
      <c r="E176" s="53" t="s">
        <v>2908</v>
      </c>
      <c r="G176" s="50" t="s">
        <v>3183</v>
      </c>
      <c r="H176" s="50" t="s">
        <v>2946</v>
      </c>
      <c r="I176" s="50" t="s">
        <v>2946</v>
      </c>
      <c r="J176" s="50" t="s">
        <v>2946</v>
      </c>
    </row>
    <row r="177" spans="1:10" x14ac:dyDescent="0.35">
      <c r="A177" s="50" t="s">
        <v>3176</v>
      </c>
      <c r="B177" s="53" t="s">
        <v>2905</v>
      </c>
      <c r="C177" s="53" t="s">
        <v>2905</v>
      </c>
      <c r="D177" s="53" t="s">
        <v>2905</v>
      </c>
      <c r="E177" s="53" t="s">
        <v>2905</v>
      </c>
      <c r="G177" s="50" t="s">
        <v>3184</v>
      </c>
      <c r="H177" s="50" t="s">
        <v>2962</v>
      </c>
      <c r="I177" s="50" t="s">
        <v>2962</v>
      </c>
      <c r="J177" s="50" t="s">
        <v>2962</v>
      </c>
    </row>
  </sheetData>
  <autoFilter ref="A1:J140" xr:uid="{00000000-0001-0000-0200-000000000000}"/>
  <sortState xmlns:xlrd2="http://schemas.microsoft.com/office/spreadsheetml/2017/richdata2" ref="A3:WVK142">
    <sortCondition ref="A3:A142"/>
  </sortState>
  <phoneticPr fontId="16" type="noConversion"/>
  <pageMargins left="0.17" right="0.17" top="0.15748031496062992" bottom="0.39370078740157483" header="0.35433070866141736" footer="0.15748031496062992"/>
  <pageSetup paperSize="9" scale="75" fitToHeight="10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8"/>
  <sheetViews>
    <sheetView showGridLines="0" zoomScale="90" zoomScaleNormal="90" workbookViewId="0">
      <pane ySplit="3" topLeftCell="A61" activePane="bottomLeft" state="frozen"/>
      <selection pane="bottomLeft" activeCell="D71" sqref="D71"/>
    </sheetView>
  </sheetViews>
  <sheetFormatPr defaultColWidth="9.1796875" defaultRowHeight="14.5" x14ac:dyDescent="0.35"/>
  <cols>
    <col min="1" max="1" width="40.453125" customWidth="1"/>
    <col min="2" max="2" width="26.453125" bestFit="1" customWidth="1"/>
    <col min="3" max="3" width="36.81640625" customWidth="1"/>
    <col min="4" max="4" width="38.54296875" bestFit="1" customWidth="1"/>
  </cols>
  <sheetData>
    <row r="1" spans="1:4" x14ac:dyDescent="0.35">
      <c r="A1" s="24" t="s">
        <v>2745</v>
      </c>
    </row>
    <row r="3" spans="1:4" s="33" customFormat="1" ht="25.5" customHeight="1" x14ac:dyDescent="0.35">
      <c r="A3" s="32" t="s">
        <v>1732</v>
      </c>
      <c r="B3" s="32" t="s">
        <v>38</v>
      </c>
      <c r="C3" s="32" t="s">
        <v>1497</v>
      </c>
      <c r="D3" s="32" t="s">
        <v>1528</v>
      </c>
    </row>
    <row r="4" spans="1:4" x14ac:dyDescent="0.35">
      <c r="A4" s="25" t="s">
        <v>2613</v>
      </c>
      <c r="B4" s="26" t="s">
        <v>876</v>
      </c>
      <c r="C4" t="s">
        <v>1574</v>
      </c>
      <c r="D4" t="s">
        <v>1575</v>
      </c>
    </row>
    <row r="5" spans="1:4" x14ac:dyDescent="0.35">
      <c r="A5" t="s">
        <v>1587</v>
      </c>
      <c r="B5" s="26" t="s">
        <v>876</v>
      </c>
      <c r="C5" t="s">
        <v>1574</v>
      </c>
      <c r="D5" s="27" t="s">
        <v>1578</v>
      </c>
    </row>
    <row r="6" spans="1:4" x14ac:dyDescent="0.35">
      <c r="A6" t="s">
        <v>2614</v>
      </c>
      <c r="B6" s="26" t="s">
        <v>876</v>
      </c>
      <c r="C6" t="s">
        <v>1574</v>
      </c>
      <c r="D6" t="s">
        <v>1577</v>
      </c>
    </row>
    <row r="7" spans="1:4" x14ac:dyDescent="0.35">
      <c r="A7" t="s">
        <v>2615</v>
      </c>
      <c r="B7" s="26" t="s">
        <v>876</v>
      </c>
      <c r="C7" t="s">
        <v>1574</v>
      </c>
      <c r="D7" s="27" t="s">
        <v>1574</v>
      </c>
    </row>
    <row r="8" spans="1:4" x14ac:dyDescent="0.35">
      <c r="A8" t="s">
        <v>2616</v>
      </c>
      <c r="B8" s="26" t="s">
        <v>876</v>
      </c>
      <c r="C8" t="s">
        <v>1574</v>
      </c>
      <c r="D8" t="s">
        <v>1575</v>
      </c>
    </row>
    <row r="9" spans="1:4" x14ac:dyDescent="0.35">
      <c r="A9" t="s">
        <v>2617</v>
      </c>
      <c r="B9" s="26" t="s">
        <v>876</v>
      </c>
      <c r="C9" t="s">
        <v>1574</v>
      </c>
      <c r="D9" s="27" t="s">
        <v>1574</v>
      </c>
    </row>
    <row r="10" spans="1:4" x14ac:dyDescent="0.35">
      <c r="A10" t="s">
        <v>2618</v>
      </c>
      <c r="B10" s="26" t="s">
        <v>931</v>
      </c>
      <c r="C10" t="s">
        <v>1564</v>
      </c>
      <c r="D10" t="s">
        <v>1564</v>
      </c>
    </row>
    <row r="11" spans="1:4" x14ac:dyDescent="0.35">
      <c r="A11" t="s">
        <v>2619</v>
      </c>
      <c r="B11" s="26" t="s">
        <v>931</v>
      </c>
      <c r="C11" t="s">
        <v>1564</v>
      </c>
      <c r="D11" t="s">
        <v>1564</v>
      </c>
    </row>
    <row r="12" spans="1:4" x14ac:dyDescent="0.35">
      <c r="A12" t="s">
        <v>2620</v>
      </c>
      <c r="B12" s="26" t="s">
        <v>931</v>
      </c>
      <c r="C12" t="s">
        <v>1564</v>
      </c>
      <c r="D12" t="s">
        <v>1564</v>
      </c>
    </row>
    <row r="13" spans="1:4" x14ac:dyDescent="0.35">
      <c r="A13" t="s">
        <v>2621</v>
      </c>
      <c r="B13" s="26" t="s">
        <v>876</v>
      </c>
      <c r="C13" s="27" t="s">
        <v>1579</v>
      </c>
      <c r="D13" s="26" t="s">
        <v>1718</v>
      </c>
    </row>
    <row r="14" spans="1:4" x14ac:dyDescent="0.35">
      <c r="A14" t="s">
        <v>1614</v>
      </c>
      <c r="B14" s="26" t="s">
        <v>876</v>
      </c>
      <c r="C14" s="27" t="s">
        <v>1579</v>
      </c>
      <c r="D14" s="26" t="s">
        <v>1614</v>
      </c>
    </row>
    <row r="15" spans="1:4" x14ac:dyDescent="0.35">
      <c r="A15" t="s">
        <v>2622</v>
      </c>
      <c r="B15" s="26" t="s">
        <v>876</v>
      </c>
      <c r="C15" s="27" t="s">
        <v>1579</v>
      </c>
      <c r="D15" s="26" t="s">
        <v>1673</v>
      </c>
    </row>
    <row r="16" spans="1:4" x14ac:dyDescent="0.35">
      <c r="A16" t="s">
        <v>2623</v>
      </c>
      <c r="B16" s="26" t="s">
        <v>963</v>
      </c>
      <c r="C16" t="s">
        <v>2747</v>
      </c>
      <c r="D16" s="28" t="s">
        <v>2747</v>
      </c>
    </row>
    <row r="17" spans="1:4" x14ac:dyDescent="0.35">
      <c r="A17" t="s">
        <v>2624</v>
      </c>
      <c r="B17" s="26" t="s">
        <v>2757</v>
      </c>
      <c r="C17" s="26" t="s">
        <v>2756</v>
      </c>
      <c r="D17" s="26" t="s">
        <v>2756</v>
      </c>
    </row>
    <row r="18" spans="1:4" x14ac:dyDescent="0.35">
      <c r="A18" t="s">
        <v>2625</v>
      </c>
      <c r="B18" s="26" t="s">
        <v>876</v>
      </c>
      <c r="C18" t="s">
        <v>1574</v>
      </c>
      <c r="D18" t="s">
        <v>1577</v>
      </c>
    </row>
    <row r="19" spans="1:4" x14ac:dyDescent="0.35">
      <c r="A19" t="s">
        <v>2626</v>
      </c>
      <c r="B19" s="26" t="s">
        <v>876</v>
      </c>
      <c r="C19" t="s">
        <v>1574</v>
      </c>
      <c r="D19" t="s">
        <v>1728</v>
      </c>
    </row>
    <row r="20" spans="1:4" x14ac:dyDescent="0.35">
      <c r="A20" t="s">
        <v>2627</v>
      </c>
      <c r="B20" s="26" t="s">
        <v>2757</v>
      </c>
      <c r="C20" s="26" t="s">
        <v>2756</v>
      </c>
      <c r="D20" s="26" t="s">
        <v>2756</v>
      </c>
    </row>
    <row r="21" spans="1:4" x14ac:dyDescent="0.35">
      <c r="A21" t="s">
        <v>2628</v>
      </c>
      <c r="B21" s="26" t="s">
        <v>876</v>
      </c>
      <c r="C21" t="s">
        <v>1574</v>
      </c>
      <c r="D21" s="27" t="s">
        <v>1574</v>
      </c>
    </row>
    <row r="22" spans="1:4" x14ac:dyDescent="0.35">
      <c r="A22" t="s">
        <v>2629</v>
      </c>
      <c r="B22" s="26" t="s">
        <v>1015</v>
      </c>
      <c r="C22" s="26" t="s">
        <v>1719</v>
      </c>
      <c r="D22" s="26" t="s">
        <v>1517</v>
      </c>
    </row>
    <row r="23" spans="1:4" x14ac:dyDescent="0.35">
      <c r="A23" t="s">
        <v>2630</v>
      </c>
      <c r="B23" s="26" t="s">
        <v>1015</v>
      </c>
      <c r="C23" t="s">
        <v>1527</v>
      </c>
      <c r="D23" t="s">
        <v>1769</v>
      </c>
    </row>
    <row r="24" spans="1:4" x14ac:dyDescent="0.35">
      <c r="A24" t="s">
        <v>1587</v>
      </c>
      <c r="B24" s="26" t="s">
        <v>1015</v>
      </c>
      <c r="C24" t="s">
        <v>1516</v>
      </c>
      <c r="D24" t="s">
        <v>1587</v>
      </c>
    </row>
    <row r="25" spans="1:4" x14ac:dyDescent="0.35">
      <c r="A25" t="s">
        <v>2739</v>
      </c>
      <c r="B25" s="26" t="s">
        <v>1015</v>
      </c>
      <c r="C25" t="s">
        <v>1516</v>
      </c>
      <c r="D25" t="s">
        <v>1587</v>
      </c>
    </row>
    <row r="26" spans="1:4" x14ac:dyDescent="0.35">
      <c r="A26" t="s">
        <v>2631</v>
      </c>
      <c r="B26" s="26" t="s">
        <v>1015</v>
      </c>
      <c r="C26" s="26" t="s">
        <v>1719</v>
      </c>
      <c r="D26" s="26" t="s">
        <v>1694</v>
      </c>
    </row>
    <row r="27" spans="1:4" x14ac:dyDescent="0.35">
      <c r="A27" t="s">
        <v>2632</v>
      </c>
      <c r="B27" s="26" t="s">
        <v>1015</v>
      </c>
      <c r="C27" t="s">
        <v>1689</v>
      </c>
      <c r="D27" t="s">
        <v>2760</v>
      </c>
    </row>
    <row r="28" spans="1:4" x14ac:dyDescent="0.35">
      <c r="A28" t="s">
        <v>2633</v>
      </c>
      <c r="B28" s="26" t="s">
        <v>1015</v>
      </c>
      <c r="C28" s="26" t="s">
        <v>1719</v>
      </c>
      <c r="D28" s="26" t="s">
        <v>1695</v>
      </c>
    </row>
    <row r="29" spans="1:4" x14ac:dyDescent="0.35">
      <c r="A29" t="s">
        <v>2634</v>
      </c>
      <c r="B29" s="26" t="s">
        <v>1015</v>
      </c>
      <c r="C29" t="s">
        <v>1726</v>
      </c>
      <c r="D29" t="s">
        <v>1586</v>
      </c>
    </row>
    <row r="30" spans="1:4" x14ac:dyDescent="0.35">
      <c r="A30" t="s">
        <v>2635</v>
      </c>
      <c r="B30" s="26" t="s">
        <v>1015</v>
      </c>
      <c r="C30" s="26" t="s">
        <v>1719</v>
      </c>
      <c r="D30" t="s">
        <v>1678</v>
      </c>
    </row>
    <row r="31" spans="1:4" x14ac:dyDescent="0.35">
      <c r="A31" t="s">
        <v>2636</v>
      </c>
      <c r="B31" s="26" t="s">
        <v>1015</v>
      </c>
      <c r="C31" t="s">
        <v>1527</v>
      </c>
      <c r="D31" t="s">
        <v>2636</v>
      </c>
    </row>
    <row r="32" spans="1:4" x14ac:dyDescent="0.35">
      <c r="A32" t="s">
        <v>2637</v>
      </c>
      <c r="B32" s="26" t="s">
        <v>382</v>
      </c>
      <c r="C32" s="26" t="s">
        <v>382</v>
      </c>
      <c r="D32" s="26" t="s">
        <v>382</v>
      </c>
    </row>
    <row r="33" spans="1:4" x14ac:dyDescent="0.35">
      <c r="A33" t="s">
        <v>2638</v>
      </c>
      <c r="B33" s="26" t="s">
        <v>1015</v>
      </c>
      <c r="C33" s="26" t="s">
        <v>1719</v>
      </c>
      <c r="D33" t="s">
        <v>1680</v>
      </c>
    </row>
    <row r="34" spans="1:4" x14ac:dyDescent="0.35">
      <c r="A34" t="s">
        <v>2639</v>
      </c>
      <c r="B34" s="26" t="s">
        <v>1015</v>
      </c>
      <c r="C34" t="s">
        <v>1527</v>
      </c>
      <c r="D34" t="s">
        <v>1761</v>
      </c>
    </row>
    <row r="35" spans="1:4" x14ac:dyDescent="0.35">
      <c r="A35" t="s">
        <v>2640</v>
      </c>
      <c r="B35" t="s">
        <v>1576</v>
      </c>
      <c r="C35" t="s">
        <v>1576</v>
      </c>
      <c r="D35" t="s">
        <v>527</v>
      </c>
    </row>
    <row r="36" spans="1:4" x14ac:dyDescent="0.35">
      <c r="A36" t="s">
        <v>2641</v>
      </c>
      <c r="B36" s="26" t="s">
        <v>1015</v>
      </c>
      <c r="C36" s="26" t="s">
        <v>1719</v>
      </c>
      <c r="D36" s="27" t="s">
        <v>1511</v>
      </c>
    </row>
    <row r="37" spans="1:4" x14ac:dyDescent="0.35">
      <c r="A37" t="s">
        <v>2642</v>
      </c>
      <c r="B37" s="26" t="s">
        <v>1015</v>
      </c>
      <c r="C37" s="26" t="s">
        <v>1516</v>
      </c>
      <c r="D37" s="27" t="s">
        <v>1588</v>
      </c>
    </row>
    <row r="38" spans="1:4" x14ac:dyDescent="0.35">
      <c r="A38" t="s">
        <v>2643</v>
      </c>
      <c r="B38" s="26" t="s">
        <v>1015</v>
      </c>
      <c r="C38" s="26" t="s">
        <v>1719</v>
      </c>
      <c r="D38" s="26" t="s">
        <v>1517</v>
      </c>
    </row>
    <row r="39" spans="1:4" x14ac:dyDescent="0.35">
      <c r="A39" t="s">
        <v>2644</v>
      </c>
      <c r="B39" s="26" t="s">
        <v>1015</v>
      </c>
      <c r="C39" s="26" t="s">
        <v>1516</v>
      </c>
      <c r="D39" s="27" t="s">
        <v>1590</v>
      </c>
    </row>
    <row r="40" spans="1:4" x14ac:dyDescent="0.35">
      <c r="A40" t="s">
        <v>2645</v>
      </c>
      <c r="B40" s="26" t="s">
        <v>1015</v>
      </c>
      <c r="C40" s="26" t="s">
        <v>1719</v>
      </c>
      <c r="D40" s="26" t="s">
        <v>1695</v>
      </c>
    </row>
    <row r="41" spans="1:4" x14ac:dyDescent="0.35">
      <c r="A41" t="s">
        <v>2646</v>
      </c>
      <c r="B41" s="26" t="s">
        <v>1015</v>
      </c>
      <c r="C41" s="26" t="s">
        <v>1719</v>
      </c>
      <c r="D41" t="s">
        <v>1684</v>
      </c>
    </row>
    <row r="42" spans="1:4" x14ac:dyDescent="0.35">
      <c r="A42" t="s">
        <v>2647</v>
      </c>
      <c r="B42" s="26" t="s">
        <v>1015</v>
      </c>
      <c r="C42" s="26" t="s">
        <v>1719</v>
      </c>
      <c r="D42" s="26" t="s">
        <v>1517</v>
      </c>
    </row>
    <row r="43" spans="1:4" x14ac:dyDescent="0.35">
      <c r="A43" t="s">
        <v>2648</v>
      </c>
      <c r="B43" s="26" t="s">
        <v>1015</v>
      </c>
      <c r="C43" t="s">
        <v>1527</v>
      </c>
      <c r="D43" t="s">
        <v>1764</v>
      </c>
    </row>
    <row r="44" spans="1:4" x14ac:dyDescent="0.35">
      <c r="A44" t="s">
        <v>2649</v>
      </c>
      <c r="B44" s="26" t="s">
        <v>996</v>
      </c>
      <c r="C44" t="s">
        <v>2763</v>
      </c>
      <c r="D44" t="s">
        <v>1727</v>
      </c>
    </row>
    <row r="45" spans="1:4" x14ac:dyDescent="0.35">
      <c r="A45" t="s">
        <v>2650</v>
      </c>
      <c r="B45" s="26" t="s">
        <v>996</v>
      </c>
      <c r="C45" s="27" t="s">
        <v>1580</v>
      </c>
      <c r="D45" s="27" t="s">
        <v>1580</v>
      </c>
    </row>
    <row r="46" spans="1:4" x14ac:dyDescent="0.35">
      <c r="A46" t="s">
        <v>2651</v>
      </c>
      <c r="B46" s="26" t="s">
        <v>1015</v>
      </c>
      <c r="C46" s="26" t="s">
        <v>1575</v>
      </c>
      <c r="D46" t="s">
        <v>2759</v>
      </c>
    </row>
    <row r="47" spans="1:4" x14ac:dyDescent="0.35">
      <c r="A47" t="s">
        <v>2652</v>
      </c>
      <c r="B47" s="26" t="s">
        <v>1015</v>
      </c>
      <c r="C47" s="26" t="s">
        <v>1726</v>
      </c>
      <c r="D47" s="26" t="s">
        <v>1693</v>
      </c>
    </row>
    <row r="48" spans="1:4" x14ac:dyDescent="0.35">
      <c r="A48" t="s">
        <v>2653</v>
      </c>
      <c r="B48" s="26" t="s">
        <v>1015</v>
      </c>
      <c r="C48" s="26" t="s">
        <v>1689</v>
      </c>
      <c r="D48" t="s">
        <v>2653</v>
      </c>
    </row>
    <row r="49" spans="1:4" x14ac:dyDescent="0.35">
      <c r="A49" t="s">
        <v>2654</v>
      </c>
      <c r="B49" s="26" t="s">
        <v>1015</v>
      </c>
      <c r="C49" s="26" t="s">
        <v>1719</v>
      </c>
      <c r="D49" s="26" t="s">
        <v>1691</v>
      </c>
    </row>
    <row r="50" spans="1:4" x14ac:dyDescent="0.35">
      <c r="A50" t="s">
        <v>2655</v>
      </c>
      <c r="B50" s="26" t="s">
        <v>1015</v>
      </c>
      <c r="C50" s="26" t="s">
        <v>1719</v>
      </c>
      <c r="D50" s="27" t="s">
        <v>1695</v>
      </c>
    </row>
    <row r="51" spans="1:4" x14ac:dyDescent="0.35">
      <c r="A51" t="s">
        <v>2656</v>
      </c>
      <c r="B51" s="26" t="s">
        <v>1015</v>
      </c>
      <c r="C51" t="s">
        <v>1516</v>
      </c>
      <c r="D51" t="s">
        <v>1589</v>
      </c>
    </row>
    <row r="52" spans="1:4" x14ac:dyDescent="0.35">
      <c r="A52" t="s">
        <v>2657</v>
      </c>
      <c r="B52" s="26" t="s">
        <v>1015</v>
      </c>
      <c r="C52" t="s">
        <v>1527</v>
      </c>
      <c r="D52" t="s">
        <v>1744</v>
      </c>
    </row>
    <row r="53" spans="1:4" x14ac:dyDescent="0.35">
      <c r="A53" t="s">
        <v>543</v>
      </c>
      <c r="B53" s="26" t="s">
        <v>1015</v>
      </c>
      <c r="C53" t="s">
        <v>1527</v>
      </c>
      <c r="D53" t="s">
        <v>543</v>
      </c>
    </row>
    <row r="54" spans="1:4" x14ac:dyDescent="0.35">
      <c r="A54" t="s">
        <v>2658</v>
      </c>
      <c r="B54" s="26" t="s">
        <v>1015</v>
      </c>
      <c r="C54" t="s">
        <v>1675</v>
      </c>
      <c r="D54" t="s">
        <v>1598</v>
      </c>
    </row>
    <row r="55" spans="1:4" x14ac:dyDescent="0.35">
      <c r="A55" t="s">
        <v>2659</v>
      </c>
      <c r="B55" s="26" t="s">
        <v>1015</v>
      </c>
      <c r="C55" s="26" t="s">
        <v>1575</v>
      </c>
      <c r="D55" t="s">
        <v>2659</v>
      </c>
    </row>
    <row r="56" spans="1:4" x14ac:dyDescent="0.35">
      <c r="A56" t="s">
        <v>2660</v>
      </c>
      <c r="B56" s="26" t="s">
        <v>1015</v>
      </c>
      <c r="C56" s="26" t="s">
        <v>1675</v>
      </c>
      <c r="D56" s="27" t="s">
        <v>1595</v>
      </c>
    </row>
    <row r="57" spans="1:4" x14ac:dyDescent="0.35">
      <c r="A57" t="s">
        <v>2661</v>
      </c>
      <c r="B57" s="26" t="s">
        <v>1015</v>
      </c>
      <c r="C57" s="26" t="s">
        <v>1675</v>
      </c>
      <c r="D57" s="27" t="s">
        <v>1596</v>
      </c>
    </row>
    <row r="58" spans="1:4" x14ac:dyDescent="0.35">
      <c r="A58" t="s">
        <v>2662</v>
      </c>
      <c r="B58" s="26" t="s">
        <v>1015</v>
      </c>
      <c r="C58" s="26" t="s">
        <v>1675</v>
      </c>
      <c r="D58" s="27" t="s">
        <v>1593</v>
      </c>
    </row>
    <row r="59" spans="1:4" x14ac:dyDescent="0.35">
      <c r="A59" t="s">
        <v>2663</v>
      </c>
      <c r="B59" s="26" t="s">
        <v>1015</v>
      </c>
      <c r="C59" s="26" t="s">
        <v>1689</v>
      </c>
      <c r="D59" t="s">
        <v>2653</v>
      </c>
    </row>
    <row r="60" spans="1:4" x14ac:dyDescent="0.35">
      <c r="A60" t="s">
        <v>2664</v>
      </c>
      <c r="B60" t="s">
        <v>2758</v>
      </c>
      <c r="C60" t="s">
        <v>2758</v>
      </c>
      <c r="D60" t="s">
        <v>2664</v>
      </c>
    </row>
    <row r="61" spans="1:4" x14ac:dyDescent="0.35">
      <c r="A61" t="s">
        <v>2665</v>
      </c>
      <c r="B61" t="s">
        <v>1576</v>
      </c>
      <c r="C61" t="s">
        <v>1576</v>
      </c>
      <c r="D61" t="s">
        <v>519</v>
      </c>
    </row>
    <row r="62" spans="1:4" x14ac:dyDescent="0.35">
      <c r="A62" t="s">
        <v>2666</v>
      </c>
      <c r="B62" s="26" t="s">
        <v>1015</v>
      </c>
      <c r="C62" t="s">
        <v>1527</v>
      </c>
      <c r="D62" t="s">
        <v>2750</v>
      </c>
    </row>
    <row r="63" spans="1:4" x14ac:dyDescent="0.35">
      <c r="A63" t="s">
        <v>535</v>
      </c>
      <c r="B63" s="26" t="s">
        <v>1015</v>
      </c>
      <c r="C63" t="s">
        <v>1527</v>
      </c>
      <c r="D63" t="s">
        <v>535</v>
      </c>
    </row>
    <row r="64" spans="1:4" x14ac:dyDescent="0.35">
      <c r="A64" t="s">
        <v>2667</v>
      </c>
      <c r="B64" s="26" t="s">
        <v>1385</v>
      </c>
      <c r="C64" s="27" t="s">
        <v>1571</v>
      </c>
      <c r="D64" s="27" t="s">
        <v>1571</v>
      </c>
    </row>
    <row r="65" spans="1:4" x14ac:dyDescent="0.35">
      <c r="A65" t="s">
        <v>1175</v>
      </c>
      <c r="B65" s="26" t="s">
        <v>1015</v>
      </c>
      <c r="C65" t="s">
        <v>1516</v>
      </c>
      <c r="D65" t="s">
        <v>1175</v>
      </c>
    </row>
    <row r="66" spans="1:4" x14ac:dyDescent="0.35">
      <c r="A66" t="s">
        <v>2668</v>
      </c>
      <c r="B66" s="26" t="s">
        <v>1015</v>
      </c>
      <c r="C66" s="26" t="s">
        <v>1719</v>
      </c>
      <c r="D66" t="s">
        <v>1684</v>
      </c>
    </row>
    <row r="67" spans="1:4" x14ac:dyDescent="0.35">
      <c r="A67" t="s">
        <v>2669</v>
      </c>
      <c r="B67" s="26" t="s">
        <v>2762</v>
      </c>
      <c r="C67" s="26" t="s">
        <v>2762</v>
      </c>
      <c r="D67" t="s">
        <v>2669</v>
      </c>
    </row>
    <row r="68" spans="1:4" x14ac:dyDescent="0.35">
      <c r="A68" t="s">
        <v>2670</v>
      </c>
      <c r="B68" s="26" t="s">
        <v>1015</v>
      </c>
      <c r="C68" s="26" t="s">
        <v>1719</v>
      </c>
      <c r="D68" s="26" t="s">
        <v>1517</v>
      </c>
    </row>
    <row r="69" spans="1:4" x14ac:dyDescent="0.35">
      <c r="A69" t="s">
        <v>2671</v>
      </c>
      <c r="B69" s="26" t="s">
        <v>1015</v>
      </c>
      <c r="C69" s="26" t="s">
        <v>1719</v>
      </c>
      <c r="D69" t="s">
        <v>1677</v>
      </c>
    </row>
    <row r="70" spans="1:4" x14ac:dyDescent="0.35">
      <c r="A70" t="s">
        <v>2672</v>
      </c>
      <c r="B70" s="26" t="s">
        <v>1015</v>
      </c>
      <c r="C70" s="26" t="s">
        <v>1719</v>
      </c>
      <c r="D70" t="s">
        <v>1687</v>
      </c>
    </row>
    <row r="71" spans="1:4" x14ac:dyDescent="0.35">
      <c r="A71" t="s">
        <v>2673</v>
      </c>
      <c r="B71" s="26" t="s">
        <v>1015</v>
      </c>
      <c r="C71" s="26" t="s">
        <v>1719</v>
      </c>
      <c r="D71" s="26" t="s">
        <v>1517</v>
      </c>
    </row>
    <row r="72" spans="1:4" x14ac:dyDescent="0.35">
      <c r="A72" t="s">
        <v>2674</v>
      </c>
      <c r="B72" s="26" t="s">
        <v>1015</v>
      </c>
      <c r="C72" s="26" t="s">
        <v>1719</v>
      </c>
      <c r="D72" s="26" t="s">
        <v>1694</v>
      </c>
    </row>
    <row r="73" spans="1:4" x14ac:dyDescent="0.35">
      <c r="A73" t="s">
        <v>2675</v>
      </c>
      <c r="B73" s="26" t="s">
        <v>1015</v>
      </c>
      <c r="C73" t="s">
        <v>1575</v>
      </c>
      <c r="D73" t="s">
        <v>1609</v>
      </c>
    </row>
    <row r="74" spans="1:4" x14ac:dyDescent="0.35">
      <c r="A74" t="s">
        <v>2676</v>
      </c>
      <c r="B74" s="26" t="s">
        <v>1015</v>
      </c>
      <c r="C74" s="26" t="s">
        <v>1719</v>
      </c>
      <c r="D74" s="26" t="s">
        <v>1691</v>
      </c>
    </row>
    <row r="75" spans="1:4" x14ac:dyDescent="0.35">
      <c r="A75" t="s">
        <v>2677</v>
      </c>
      <c r="B75" s="26" t="s">
        <v>1015</v>
      </c>
      <c r="C75" s="26" t="s">
        <v>1719</v>
      </c>
      <c r="D75" s="26" t="s">
        <v>1691</v>
      </c>
    </row>
    <row r="76" spans="1:4" x14ac:dyDescent="0.35">
      <c r="A76" t="s">
        <v>2678</v>
      </c>
      <c r="B76" s="26" t="s">
        <v>1015</v>
      </c>
      <c r="C76" s="26" t="s">
        <v>1719</v>
      </c>
      <c r="D76" s="26" t="s">
        <v>1691</v>
      </c>
    </row>
    <row r="77" spans="1:4" x14ac:dyDescent="0.35">
      <c r="A77" t="s">
        <v>2679</v>
      </c>
      <c r="B77" s="26" t="s">
        <v>1015</v>
      </c>
      <c r="C77" s="26" t="s">
        <v>1719</v>
      </c>
      <c r="D77" s="26" t="s">
        <v>1691</v>
      </c>
    </row>
    <row r="78" spans="1:4" x14ac:dyDescent="0.35">
      <c r="A78" t="s">
        <v>2680</v>
      </c>
      <c r="B78" s="26" t="s">
        <v>1015</v>
      </c>
      <c r="C78" s="26" t="s">
        <v>1719</v>
      </c>
      <c r="D78" s="26" t="s">
        <v>1691</v>
      </c>
    </row>
    <row r="79" spans="1:4" x14ac:dyDescent="0.35">
      <c r="A79" t="s">
        <v>2681</v>
      </c>
      <c r="B79" s="26" t="s">
        <v>1015</v>
      </c>
      <c r="C79" t="s">
        <v>1527</v>
      </c>
      <c r="D79" t="s">
        <v>1776</v>
      </c>
    </row>
    <row r="80" spans="1:4" x14ac:dyDescent="0.35">
      <c r="A80" t="s">
        <v>2682</v>
      </c>
      <c r="B80" s="26" t="s">
        <v>1015</v>
      </c>
      <c r="C80" t="s">
        <v>1527</v>
      </c>
      <c r="D80" t="s">
        <v>543</v>
      </c>
    </row>
    <row r="81" spans="1:4" x14ac:dyDescent="0.35">
      <c r="A81" t="s">
        <v>1510</v>
      </c>
      <c r="B81" s="26" t="s">
        <v>382</v>
      </c>
      <c r="C81" t="s">
        <v>1510</v>
      </c>
      <c r="D81" t="s">
        <v>1510</v>
      </c>
    </row>
    <row r="82" spans="1:4" x14ac:dyDescent="0.35">
      <c r="A82" t="s">
        <v>2683</v>
      </c>
      <c r="B82" s="26" t="s">
        <v>1015</v>
      </c>
      <c r="C82" s="26" t="s">
        <v>1689</v>
      </c>
      <c r="D82" t="s">
        <v>2760</v>
      </c>
    </row>
    <row r="83" spans="1:4" x14ac:dyDescent="0.35">
      <c r="A83" t="s">
        <v>1592</v>
      </c>
      <c r="B83" s="26" t="s">
        <v>1015</v>
      </c>
      <c r="C83" t="s">
        <v>1719</v>
      </c>
      <c r="D83" t="s">
        <v>2751</v>
      </c>
    </row>
    <row r="84" spans="1:4" x14ac:dyDescent="0.35">
      <c r="A84" t="s">
        <v>2684</v>
      </c>
      <c r="B84" s="26" t="s">
        <v>1015</v>
      </c>
      <c r="C84" t="s">
        <v>1527</v>
      </c>
      <c r="D84" t="s">
        <v>1772</v>
      </c>
    </row>
    <row r="85" spans="1:4" x14ac:dyDescent="0.35">
      <c r="A85" t="s">
        <v>2685</v>
      </c>
      <c r="B85" s="26" t="s">
        <v>1015</v>
      </c>
      <c r="C85" t="s">
        <v>1575</v>
      </c>
      <c r="D85" t="s">
        <v>1609</v>
      </c>
    </row>
    <row r="86" spans="1:4" x14ac:dyDescent="0.35">
      <c r="A86" t="s">
        <v>2686</v>
      </c>
      <c r="B86" s="26" t="s">
        <v>1015</v>
      </c>
      <c r="C86" t="s">
        <v>1719</v>
      </c>
      <c r="D86" t="s">
        <v>2751</v>
      </c>
    </row>
    <row r="87" spans="1:4" x14ac:dyDescent="0.35">
      <c r="A87" t="s">
        <v>2687</v>
      </c>
      <c r="B87" s="26" t="s">
        <v>1385</v>
      </c>
      <c r="C87" s="27" t="s">
        <v>1571</v>
      </c>
      <c r="D87" s="27" t="s">
        <v>1571</v>
      </c>
    </row>
    <row r="88" spans="1:4" x14ac:dyDescent="0.35">
      <c r="A88" t="s">
        <v>2688</v>
      </c>
      <c r="B88" s="26" t="s">
        <v>2762</v>
      </c>
      <c r="C88" s="26" t="s">
        <v>2762</v>
      </c>
      <c r="D88" t="s">
        <v>2755</v>
      </c>
    </row>
    <row r="89" spans="1:4" x14ac:dyDescent="0.35">
      <c r="A89" t="s">
        <v>2689</v>
      </c>
      <c r="B89" s="26" t="s">
        <v>1015</v>
      </c>
      <c r="C89" s="26" t="s">
        <v>1719</v>
      </c>
      <c r="D89" s="27" t="s">
        <v>1511</v>
      </c>
    </row>
    <row r="90" spans="1:4" x14ac:dyDescent="0.35">
      <c r="A90" t="s">
        <v>2690</v>
      </c>
      <c r="B90" s="26" t="s">
        <v>2762</v>
      </c>
      <c r="C90" s="26" t="s">
        <v>2762</v>
      </c>
      <c r="D90" s="26" t="s">
        <v>2764</v>
      </c>
    </row>
    <row r="91" spans="1:4" x14ac:dyDescent="0.35">
      <c r="A91" t="s">
        <v>2691</v>
      </c>
      <c r="B91" s="26" t="s">
        <v>1015</v>
      </c>
      <c r="C91" t="s">
        <v>1527</v>
      </c>
      <c r="D91" t="s">
        <v>2749</v>
      </c>
    </row>
    <row r="92" spans="1:4" x14ac:dyDescent="0.35">
      <c r="A92" t="s">
        <v>2692</v>
      </c>
      <c r="B92" s="26" t="s">
        <v>1015</v>
      </c>
      <c r="C92" t="s">
        <v>1719</v>
      </c>
      <c r="D92" t="s">
        <v>2751</v>
      </c>
    </row>
    <row r="93" spans="1:4" x14ac:dyDescent="0.35">
      <c r="A93" t="s">
        <v>2693</v>
      </c>
      <c r="B93" s="26" t="s">
        <v>2762</v>
      </c>
      <c r="C93" s="26" t="s">
        <v>2762</v>
      </c>
      <c r="D93" t="s">
        <v>2754</v>
      </c>
    </row>
    <row r="94" spans="1:4" x14ac:dyDescent="0.35">
      <c r="A94" t="s">
        <v>2694</v>
      </c>
      <c r="B94" s="26" t="s">
        <v>1015</v>
      </c>
      <c r="C94" s="26" t="s">
        <v>1689</v>
      </c>
      <c r="D94" t="s">
        <v>2761</v>
      </c>
    </row>
    <row r="95" spans="1:4" x14ac:dyDescent="0.35">
      <c r="A95" t="s">
        <v>2695</v>
      </c>
      <c r="B95" s="26" t="s">
        <v>1015</v>
      </c>
      <c r="C95" s="26" t="s">
        <v>1689</v>
      </c>
      <c r="D95" t="s">
        <v>2653</v>
      </c>
    </row>
    <row r="96" spans="1:4" x14ac:dyDescent="0.35">
      <c r="A96" t="s">
        <v>547</v>
      </c>
      <c r="B96" s="26" t="s">
        <v>1015</v>
      </c>
      <c r="C96" t="s">
        <v>1527</v>
      </c>
      <c r="D96" t="s">
        <v>1792</v>
      </c>
    </row>
    <row r="97" spans="1:4" x14ac:dyDescent="0.35">
      <c r="A97" t="s">
        <v>2696</v>
      </c>
      <c r="B97" s="26" t="s">
        <v>1015</v>
      </c>
      <c r="C97" s="26" t="s">
        <v>1726</v>
      </c>
      <c r="D97" s="27" t="s">
        <v>1585</v>
      </c>
    </row>
    <row r="98" spans="1:4" x14ac:dyDescent="0.35">
      <c r="A98" t="s">
        <v>2697</v>
      </c>
      <c r="B98" s="26" t="s">
        <v>1015</v>
      </c>
      <c r="C98" s="26" t="s">
        <v>1726</v>
      </c>
      <c r="D98" s="26" t="s">
        <v>1693</v>
      </c>
    </row>
    <row r="99" spans="1:4" x14ac:dyDescent="0.35">
      <c r="A99" t="s">
        <v>2698</v>
      </c>
      <c r="B99" t="s">
        <v>2698</v>
      </c>
      <c r="C99" t="s">
        <v>1494</v>
      </c>
      <c r="D99" t="s">
        <v>1494</v>
      </c>
    </row>
    <row r="100" spans="1:4" x14ac:dyDescent="0.35">
      <c r="A100" t="s">
        <v>2699</v>
      </c>
      <c r="B100" s="26" t="s">
        <v>1015</v>
      </c>
      <c r="C100" s="26" t="s">
        <v>1719</v>
      </c>
      <c r="D100" t="s">
        <v>1679</v>
      </c>
    </row>
    <row r="101" spans="1:4" x14ac:dyDescent="0.35">
      <c r="A101" t="s">
        <v>1529</v>
      </c>
      <c r="B101" s="26" t="s">
        <v>1015</v>
      </c>
      <c r="C101" t="s">
        <v>1527</v>
      </c>
      <c r="D101" t="s">
        <v>1529</v>
      </c>
    </row>
    <row r="102" spans="1:4" x14ac:dyDescent="0.35">
      <c r="A102" t="s">
        <v>2700</v>
      </c>
      <c r="B102" s="26" t="s">
        <v>1015</v>
      </c>
      <c r="C102" t="s">
        <v>1527</v>
      </c>
      <c r="D102" t="s">
        <v>1767</v>
      </c>
    </row>
    <row r="103" spans="1:4" x14ac:dyDescent="0.35">
      <c r="A103" t="s">
        <v>1766</v>
      </c>
      <c r="B103" s="26" t="s">
        <v>1015</v>
      </c>
      <c r="C103" s="26" t="s">
        <v>1516</v>
      </c>
      <c r="D103" s="27" t="s">
        <v>1592</v>
      </c>
    </row>
    <row r="104" spans="1:4" x14ac:dyDescent="0.35">
      <c r="A104" t="s">
        <v>2701</v>
      </c>
      <c r="B104" s="26" t="s">
        <v>1015</v>
      </c>
      <c r="C104" s="26" t="s">
        <v>1675</v>
      </c>
      <c r="D104" s="27" t="s">
        <v>1594</v>
      </c>
    </row>
    <row r="105" spans="1:4" x14ac:dyDescent="0.35">
      <c r="A105" t="s">
        <v>2702</v>
      </c>
      <c r="B105" s="26" t="s">
        <v>1015</v>
      </c>
      <c r="C105" s="26" t="s">
        <v>1516</v>
      </c>
      <c r="D105" s="27" t="s">
        <v>1591</v>
      </c>
    </row>
    <row r="106" spans="1:4" x14ac:dyDescent="0.35">
      <c r="A106" t="s">
        <v>2703</v>
      </c>
      <c r="B106" s="26" t="s">
        <v>1015</v>
      </c>
      <c r="C106" s="26" t="s">
        <v>1675</v>
      </c>
      <c r="D106" s="27" t="s">
        <v>1598</v>
      </c>
    </row>
    <row r="107" spans="1:4" x14ac:dyDescent="0.35">
      <c r="A107" t="s">
        <v>2704</v>
      </c>
      <c r="B107" s="26" t="s">
        <v>1385</v>
      </c>
      <c r="C107" s="27" t="s">
        <v>1571</v>
      </c>
      <c r="D107" s="27" t="s">
        <v>1571</v>
      </c>
    </row>
    <row r="108" spans="1:4" x14ac:dyDescent="0.35">
      <c r="A108" t="s">
        <v>2705</v>
      </c>
      <c r="B108" s="26" t="s">
        <v>1385</v>
      </c>
      <c r="C108" s="27" t="s">
        <v>1571</v>
      </c>
      <c r="D108" s="27" t="s">
        <v>1571</v>
      </c>
    </row>
    <row r="109" spans="1:4" x14ac:dyDescent="0.35">
      <c r="A109" t="s">
        <v>2706</v>
      </c>
      <c r="B109" s="26" t="s">
        <v>1385</v>
      </c>
      <c r="C109" s="27" t="s">
        <v>1571</v>
      </c>
      <c r="D109" s="27" t="s">
        <v>1571</v>
      </c>
    </row>
    <row r="110" spans="1:4" x14ac:dyDescent="0.35">
      <c r="A110" t="s">
        <v>2707</v>
      </c>
      <c r="B110" s="26" t="s">
        <v>1015</v>
      </c>
      <c r="C110" s="26" t="s">
        <v>1689</v>
      </c>
      <c r="D110" t="s">
        <v>2760</v>
      </c>
    </row>
    <row r="111" spans="1:4" x14ac:dyDescent="0.35">
      <c r="A111" t="s">
        <v>2708</v>
      </c>
      <c r="B111" s="26" t="s">
        <v>1015</v>
      </c>
      <c r="C111" s="26" t="s">
        <v>1719</v>
      </c>
      <c r="D111" s="26" t="s">
        <v>1517</v>
      </c>
    </row>
    <row r="112" spans="1:4" x14ac:dyDescent="0.35">
      <c r="A112" t="s">
        <v>2709</v>
      </c>
      <c r="B112" s="26" t="s">
        <v>1015</v>
      </c>
      <c r="C112" s="26" t="s">
        <v>1719</v>
      </c>
      <c r="D112" s="26" t="s">
        <v>1517</v>
      </c>
    </row>
    <row r="113" spans="1:4" x14ac:dyDescent="0.35">
      <c r="A113" t="s">
        <v>2710</v>
      </c>
      <c r="B113" s="26" t="s">
        <v>1015</v>
      </c>
      <c r="C113" s="26" t="s">
        <v>1689</v>
      </c>
      <c r="D113" t="s">
        <v>2653</v>
      </c>
    </row>
    <row r="114" spans="1:4" x14ac:dyDescent="0.35">
      <c r="A114" t="s">
        <v>2711</v>
      </c>
      <c r="B114" s="26" t="s">
        <v>1015</v>
      </c>
      <c r="C114" s="26" t="s">
        <v>1719</v>
      </c>
      <c r="D114" s="26" t="s">
        <v>1517</v>
      </c>
    </row>
    <row r="115" spans="1:4" x14ac:dyDescent="0.35">
      <c r="A115" t="s">
        <v>2712</v>
      </c>
      <c r="B115" s="26" t="s">
        <v>1015</v>
      </c>
      <c r="C115" s="26" t="s">
        <v>1719</v>
      </c>
      <c r="D115" t="s">
        <v>2752</v>
      </c>
    </row>
    <row r="116" spans="1:4" x14ac:dyDescent="0.35">
      <c r="A116" t="s">
        <v>2713</v>
      </c>
      <c r="B116" s="26" t="s">
        <v>1015</v>
      </c>
      <c r="C116" t="s">
        <v>1527</v>
      </c>
      <c r="D116" t="s">
        <v>1771</v>
      </c>
    </row>
    <row r="117" spans="1:4" x14ac:dyDescent="0.35">
      <c r="A117" t="s">
        <v>2714</v>
      </c>
      <c r="B117" s="26" t="s">
        <v>1015</v>
      </c>
      <c r="C117" s="26" t="s">
        <v>1675</v>
      </c>
      <c r="D117" s="27" t="s">
        <v>1595</v>
      </c>
    </row>
    <row r="118" spans="1:4" x14ac:dyDescent="0.35">
      <c r="A118" t="s">
        <v>1212</v>
      </c>
      <c r="B118" s="26" t="s">
        <v>1015</v>
      </c>
      <c r="C118" s="26" t="s">
        <v>1719</v>
      </c>
      <c r="D118" s="27" t="s">
        <v>1511</v>
      </c>
    </row>
    <row r="119" spans="1:4" x14ac:dyDescent="0.35">
      <c r="A119" t="s">
        <v>2715</v>
      </c>
      <c r="B119" s="26" t="s">
        <v>1015</v>
      </c>
      <c r="C119" s="26" t="s">
        <v>1719</v>
      </c>
      <c r="D119" s="26" t="s">
        <v>1691</v>
      </c>
    </row>
    <row r="120" spans="1:4" x14ac:dyDescent="0.35">
      <c r="A120" t="s">
        <v>2716</v>
      </c>
      <c r="B120" s="26" t="s">
        <v>1015</v>
      </c>
      <c r="C120" s="26" t="s">
        <v>1575</v>
      </c>
      <c r="D120" s="27" t="s">
        <v>2716</v>
      </c>
    </row>
    <row r="121" spans="1:4" x14ac:dyDescent="0.35">
      <c r="A121" t="s">
        <v>2717</v>
      </c>
      <c r="B121" s="26" t="s">
        <v>1015</v>
      </c>
      <c r="C121" s="26" t="s">
        <v>1719</v>
      </c>
      <c r="D121" s="26" t="s">
        <v>1694</v>
      </c>
    </row>
    <row r="122" spans="1:4" x14ac:dyDescent="0.35">
      <c r="A122" t="s">
        <v>1683</v>
      </c>
      <c r="B122" s="26" t="s">
        <v>1015</v>
      </c>
      <c r="C122" s="26" t="s">
        <v>1719</v>
      </c>
      <c r="D122" t="s">
        <v>1683</v>
      </c>
    </row>
    <row r="123" spans="1:4" x14ac:dyDescent="0.35">
      <c r="A123" t="s">
        <v>2718</v>
      </c>
      <c r="B123" s="26" t="s">
        <v>1385</v>
      </c>
      <c r="C123" s="27" t="s">
        <v>1571</v>
      </c>
      <c r="D123" s="27" t="s">
        <v>1571</v>
      </c>
    </row>
    <row r="124" spans="1:4" x14ac:dyDescent="0.35">
      <c r="A124" t="s">
        <v>2719</v>
      </c>
      <c r="B124" s="26" t="s">
        <v>1015</v>
      </c>
      <c r="C124" t="s">
        <v>1527</v>
      </c>
      <c r="D124" t="s">
        <v>2719</v>
      </c>
    </row>
    <row r="125" spans="1:4" x14ac:dyDescent="0.35">
      <c r="A125" t="s">
        <v>2720</v>
      </c>
      <c r="B125" s="26" t="s">
        <v>1015</v>
      </c>
      <c r="C125" t="s">
        <v>1575</v>
      </c>
      <c r="D125" t="s">
        <v>1610</v>
      </c>
    </row>
    <row r="126" spans="1:4" x14ac:dyDescent="0.35">
      <c r="A126" t="s">
        <v>2721</v>
      </c>
      <c r="B126" s="26" t="s">
        <v>1015</v>
      </c>
      <c r="C126" s="26" t="s">
        <v>1527</v>
      </c>
      <c r="D126" s="26" t="s">
        <v>2746</v>
      </c>
    </row>
    <row r="127" spans="1:4" x14ac:dyDescent="0.35">
      <c r="A127" t="s">
        <v>2722</v>
      </c>
      <c r="B127" s="26" t="s">
        <v>1015</v>
      </c>
      <c r="C127" s="26" t="s">
        <v>1675</v>
      </c>
      <c r="D127" s="27" t="s">
        <v>1597</v>
      </c>
    </row>
    <row r="128" spans="1:4" x14ac:dyDescent="0.35">
      <c r="A128" t="s">
        <v>2723</v>
      </c>
      <c r="B128" s="26" t="s">
        <v>1015</v>
      </c>
      <c r="C128" s="26" t="s">
        <v>1719</v>
      </c>
      <c r="D128" s="26" t="s">
        <v>1583</v>
      </c>
    </row>
    <row r="129" spans="1:4" x14ac:dyDescent="0.35">
      <c r="A129" t="s">
        <v>2724</v>
      </c>
      <c r="B129" s="26" t="s">
        <v>1015</v>
      </c>
      <c r="C129" s="26" t="s">
        <v>1675</v>
      </c>
      <c r="D129" s="27" t="s">
        <v>1598</v>
      </c>
    </row>
    <row r="130" spans="1:4" x14ac:dyDescent="0.35">
      <c r="A130" t="s">
        <v>2725</v>
      </c>
      <c r="B130" s="26" t="s">
        <v>1015</v>
      </c>
      <c r="C130" s="26" t="s">
        <v>1689</v>
      </c>
      <c r="D130" t="s">
        <v>2761</v>
      </c>
    </row>
    <row r="131" spans="1:4" x14ac:dyDescent="0.35">
      <c r="A131" t="s">
        <v>2726</v>
      </c>
      <c r="B131" s="26" t="s">
        <v>1015</v>
      </c>
      <c r="C131" s="26" t="s">
        <v>1689</v>
      </c>
      <c r="D131" t="s">
        <v>2653</v>
      </c>
    </row>
    <row r="132" spans="1:4" x14ac:dyDescent="0.35">
      <c r="A132" t="s">
        <v>2727</v>
      </c>
      <c r="B132" s="26" t="s">
        <v>1015</v>
      </c>
      <c r="C132" s="26" t="s">
        <v>1516</v>
      </c>
      <c r="D132" s="27" t="s">
        <v>1590</v>
      </c>
    </row>
    <row r="133" spans="1:4" x14ac:dyDescent="0.35">
      <c r="A133" t="s">
        <v>2728</v>
      </c>
      <c r="B133" s="26" t="s">
        <v>1015</v>
      </c>
      <c r="C133" t="s">
        <v>1527</v>
      </c>
      <c r="D133" t="s">
        <v>1770</v>
      </c>
    </row>
    <row r="134" spans="1:4" x14ac:dyDescent="0.35">
      <c r="A134" t="s">
        <v>2729</v>
      </c>
      <c r="B134" s="26" t="s">
        <v>382</v>
      </c>
      <c r="C134" s="26" t="s">
        <v>382</v>
      </c>
      <c r="D134" s="26" t="s">
        <v>382</v>
      </c>
    </row>
    <row r="135" spans="1:4" x14ac:dyDescent="0.35">
      <c r="A135" t="s">
        <v>2730</v>
      </c>
      <c r="B135" s="26" t="s">
        <v>1385</v>
      </c>
      <c r="C135" s="27" t="s">
        <v>1571</v>
      </c>
      <c r="D135" s="27" t="s">
        <v>1571</v>
      </c>
    </row>
    <row r="136" spans="1:4" x14ac:dyDescent="0.35">
      <c r="A136" t="s">
        <v>2731</v>
      </c>
      <c r="B136" s="26" t="s">
        <v>1385</v>
      </c>
      <c r="C136" s="26" t="s">
        <v>1571</v>
      </c>
      <c r="D136" s="27" t="s">
        <v>1571</v>
      </c>
    </row>
    <row r="137" spans="1:4" x14ac:dyDescent="0.35">
      <c r="A137" t="s">
        <v>2732</v>
      </c>
      <c r="B137" s="26" t="s">
        <v>1385</v>
      </c>
      <c r="C137" s="26" t="s">
        <v>1571</v>
      </c>
      <c r="D137" s="27" t="s">
        <v>1571</v>
      </c>
    </row>
    <row r="138" spans="1:4" x14ac:dyDescent="0.35">
      <c r="A138" t="s">
        <v>2733</v>
      </c>
      <c r="B138" t="s">
        <v>1015</v>
      </c>
      <c r="C138" t="s">
        <v>1575</v>
      </c>
      <c r="D138" t="s">
        <v>2759</v>
      </c>
    </row>
    <row r="139" spans="1:4" x14ac:dyDescent="0.35">
      <c r="A139" t="s">
        <v>2734</v>
      </c>
      <c r="B139" s="26" t="s">
        <v>1015</v>
      </c>
      <c r="C139" s="26" t="s">
        <v>1719</v>
      </c>
      <c r="D139" s="27" t="s">
        <v>1511</v>
      </c>
    </row>
    <row r="140" spans="1:4" x14ac:dyDescent="0.35">
      <c r="A140" t="s">
        <v>2735</v>
      </c>
      <c r="B140" s="26" t="s">
        <v>1015</v>
      </c>
      <c r="C140" s="26" t="s">
        <v>1689</v>
      </c>
      <c r="D140" t="s">
        <v>2761</v>
      </c>
    </row>
    <row r="141" spans="1:4" x14ac:dyDescent="0.35">
      <c r="A141" t="s">
        <v>2736</v>
      </c>
      <c r="B141" s="26" t="s">
        <v>2762</v>
      </c>
      <c r="C141" s="26" t="s">
        <v>2762</v>
      </c>
      <c r="D141" s="26" t="s">
        <v>2748</v>
      </c>
    </row>
    <row r="142" spans="1:4" x14ac:dyDescent="0.35">
      <c r="A142" t="s">
        <v>2737</v>
      </c>
      <c r="B142" s="26" t="s">
        <v>1015</v>
      </c>
      <c r="C142" t="s">
        <v>1719</v>
      </c>
      <c r="D142" t="s">
        <v>2751</v>
      </c>
    </row>
    <row r="143" spans="1:4" x14ac:dyDescent="0.35">
      <c r="A143" t="s">
        <v>2738</v>
      </c>
      <c r="B143" s="26" t="s">
        <v>1015</v>
      </c>
      <c r="C143" t="s">
        <v>1527</v>
      </c>
      <c r="D143" t="s">
        <v>2753</v>
      </c>
    </row>
    <row r="144" spans="1:4" x14ac:dyDescent="0.35">
      <c r="A144" t="s">
        <v>2740</v>
      </c>
      <c r="B144" s="26" t="s">
        <v>1015</v>
      </c>
      <c r="C144" s="26" t="s">
        <v>1689</v>
      </c>
      <c r="D144" t="s">
        <v>2761</v>
      </c>
    </row>
    <row r="145" spans="1:4" x14ac:dyDescent="0.35">
      <c r="A145" t="s">
        <v>2741</v>
      </c>
      <c r="B145" s="26" t="s">
        <v>1015</v>
      </c>
      <c r="C145" s="26" t="s">
        <v>1689</v>
      </c>
      <c r="D145" t="s">
        <v>2761</v>
      </c>
    </row>
    <row r="146" spans="1:4" x14ac:dyDescent="0.35">
      <c r="A146" t="s">
        <v>2742</v>
      </c>
      <c r="B146" s="26" t="s">
        <v>2757</v>
      </c>
      <c r="C146" s="26" t="s">
        <v>2756</v>
      </c>
      <c r="D146" s="26" t="s">
        <v>2756</v>
      </c>
    </row>
    <row r="147" spans="1:4" x14ac:dyDescent="0.35">
      <c r="A147" t="s">
        <v>2743</v>
      </c>
      <c r="B147" t="s">
        <v>1015</v>
      </c>
      <c r="C147" t="s">
        <v>1575</v>
      </c>
      <c r="D147" t="s">
        <v>2759</v>
      </c>
    </row>
    <row r="148" spans="1:4" x14ac:dyDescent="0.35">
      <c r="A148" t="s">
        <v>2744</v>
      </c>
      <c r="B148" s="26" t="s">
        <v>1385</v>
      </c>
      <c r="C148" s="26" t="s">
        <v>1571</v>
      </c>
      <c r="D148" s="27" t="s">
        <v>1571</v>
      </c>
    </row>
  </sheetData>
  <autoFilter ref="A3:D148" xr:uid="{00000000-0009-0000-0000-000003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Plano de Contas</vt:lpstr>
      <vt:lpstr>Plano de Contas sem ponto</vt:lpstr>
      <vt:lpstr>Centro de lucro</vt:lpstr>
      <vt:lpstr>Fluxo de caixa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Augusto Moreira Borges</dc:creator>
  <cp:lastModifiedBy>Marcelo Ferreira Rodrigues / SUPOC</cp:lastModifiedBy>
  <dcterms:created xsi:type="dcterms:W3CDTF">2018-05-17T12:19:59Z</dcterms:created>
  <dcterms:modified xsi:type="dcterms:W3CDTF">2024-11-27T18:21:06Z</dcterms:modified>
</cp:coreProperties>
</file>