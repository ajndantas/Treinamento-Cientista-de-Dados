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5\CNSEG\"/>
    </mc:Choice>
  </mc:AlternateContent>
  <xr:revisionPtr revIDLastSave="0" documentId="13_ncr:1_{2E5346EC-5E22-4E7A-AC4E-56576F643CD6}" xr6:coauthVersionLast="47" xr6:coauthVersionMax="47" xr10:uidLastSave="{00000000-0000-0000-0000-000000000000}"/>
  <bookViews>
    <workbookView xWindow="28680" yWindow="-30" windowWidth="20730" windowHeight="11040" tabRatio="844" xr2:uid="{00000000-000D-0000-FFFF-FFFF00000000}"/>
  </bookViews>
  <sheets>
    <sheet name="RESUMO" sheetId="3" r:id="rId1"/>
    <sheet name="Performance por Instituição" sheetId="16" r:id="rId2"/>
    <sheet name="MOV RF" sheetId="15" r:id="rId3"/>
  </sheets>
  <definedNames>
    <definedName name="_xlnm.Print_Area" localSheetId="0">RESUMO!$A$1:$O$99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<sst xmlns="http://schemas.openxmlformats.org/spreadsheetml/2006/main" count="251" uniqueCount="84">
  <si>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</si>
  <si>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</si>
  <si>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</si>
  <si>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</si>
  <si>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</si>
  <si>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</si>
  <si>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</si>
  <si>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</si>
  <si>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</si>
  <si>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</si>
  <si>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</si>
  <si>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</si>
  <si>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</si>
  <si>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</si>
  <si>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</si>
  <si>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</si>
  <si>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</si>
  <si>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</si>
  <si>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</si>
  <si>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</si>
  <si>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</si>
  <si>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</si>
  <si>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</si>
  <si>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</si>
  <si>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</si>
  <si>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</si>
  <si>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</si>
  <si>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</si>
  <si>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</si>
  <si>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</si>
  <si>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</si>
  <si>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</si>
  <si>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</si>
  <si>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</si>
  <si>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</si>
  <si>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</si>
  <si>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</si>
  <si>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Institucional Active Fix IB MMFI</t>
  </si>
  <si>
    <t xml:space="preserve">Itaú Corporate Crédito Privado Dif IQ RF </t>
  </si>
  <si>
    <t>Itaú Instiucional Global Dinamico RFLP FIC</t>
  </si>
  <si>
    <t>Bradesco FI Multimercado Plus I</t>
  </si>
  <si>
    <t>TOTAL DA CARTEIRA - CAIXA</t>
  </si>
  <si>
    <t/>
  </si>
  <si>
    <t>Bradesco H FI RF CP LP Performance Institucional</t>
  </si>
  <si>
    <t>FUNDOS</t>
  </si>
  <si>
    <t>TOTAL DA CARTEIRA - BLOQUEIOS</t>
  </si>
  <si>
    <t>Porto Seguro FI RF Referenciado DI Crédito Privado</t>
  </si>
  <si>
    <t>Porto Seguro IMA-B5- FICFI RF Longo Prazo</t>
  </si>
  <si>
    <t>Rend. (Mil)</t>
  </si>
  <si>
    <t>CNPJ</t>
  </si>
  <si>
    <t>02.998.164/0001-85</t>
  </si>
  <si>
    <t>10.813.716/0001-61</t>
  </si>
  <si>
    <t>03.256.793/0001-00</t>
  </si>
  <si>
    <t>04.764.174/0001-81</t>
  </si>
  <si>
    <t>28.280.945/0001-23</t>
  </si>
  <si>
    <t>29.241.799/0001-90</t>
  </si>
  <si>
    <t>32.972.942/0001-28</t>
  </si>
  <si>
    <t>Itaú Instiucional  RF Ref. DI</t>
  </si>
  <si>
    <t>00.832.435/0001-00</t>
  </si>
  <si>
    <t>02.603.461/0001-84</t>
  </si>
  <si>
    <t>18.719.154/0001-01</t>
  </si>
  <si>
    <t>24.011.864/0001-77</t>
  </si>
  <si>
    <t>08.610.270/0001-26</t>
  </si>
  <si>
    <t>04.899.128/0001-90</t>
  </si>
  <si>
    <t>29.241.110/0001-27</t>
  </si>
  <si>
    <t>06.175.696/0001-73</t>
  </si>
  <si>
    <t>52.156.446/0001-03</t>
  </si>
  <si>
    <t>Itaú Soberado RF Simples FICFI</t>
  </si>
  <si>
    <t>Itaú Institucional Janeiro RF LP FIF CIC RL</t>
  </si>
  <si>
    <t>Itaú Institucional Optimus RF LP FIC FI</t>
  </si>
  <si>
    <t xml:space="preserve">¹ </t>
  </si>
  <si>
    <t>40.835.061/0001-40</t>
  </si>
  <si>
    <t>Bradesco FI Referenciado DI Federal Extra</t>
  </si>
  <si>
    <t>RENTABILIDADE E DESEMPENHO DATA BASE 31/01/2025 - POR FUNDO DE INVESTIMENTO</t>
  </si>
  <si>
    <t>RENTABILIDADE (%) - EVOLUÇÃO POR FUNDO - DATA BASE 31/01/2025</t>
  </si>
  <si>
    <t>RENTABILIDADE E DESEMPENHO DATA BASE 31/01/2025- POR INSTITUIÇÃO</t>
  </si>
  <si>
    <t>RENTABILIDADE e DESEMPENHO - CARTEIRA RENDA FIXA - DATA BASE 31/01/2025 - POR  INSTITUIÇÃO</t>
  </si>
  <si>
    <t>RENTABILIDADE - EVOLUÇÃO POR CARTEIRA - DATA BASE 31/01/2025</t>
  </si>
  <si>
    <t>RENTABILIDADE E DESEMPENHO DATA BASE 31/01/2025  - POR INSTITUIÇÃO</t>
  </si>
  <si>
    <t>RENTABILIDADE e DESEMPENHO - CARTEIRA CAIXA - DATA BASE 31/01/25 - POR  INSTITUIÇÃO</t>
  </si>
  <si>
    <t>RENTABILIDADE e DESEMPENHO - CARTEIRA DE BLOQUEIOS - DATA BASE 31/01/25 - POR  INSTITUIÇÃO</t>
  </si>
  <si>
    <t>Saldo final janeiro/25</t>
  </si>
  <si>
    <t>Resgates em janeiro</t>
  </si>
  <si>
    <t>Aplicações em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</si>
</sst>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69" formatCode="#,##0.00_ ;[Red]\-#,##0.00\ "/>
    <numFmt numFmtId="182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136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4" fillId="4" borderId="0" xfId="0" applyFont="1" applyFill="1"/>
    <xf numFmtId="43" fontId="4" fillId="4" borderId="0" xfId="1" applyFont="1" applyFill="1" applyBorder="1" applyAlignment="1">
      <alignment horizontal="center"/>
    </xf>
    <xf numFmtId="10" fontId="4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4" fillId="4" borderId="0" xfId="1" applyFont="1" applyFill="1" applyBorder="1"/>
    <xf numFmtId="10" fontId="4" fillId="4" borderId="0" xfId="2" applyNumberFormat="1" applyFont="1" applyFill="1" applyBorder="1"/>
    <xf numFmtId="0" fontId="5" fillId="0" borderId="0" xfId="0" applyFont="1" applyAlignment="1">
      <alignment horizontal="center"/>
    </xf>
    <xf numFmtId="43" fontId="5" fillId="0" borderId="0" xfId="1" applyFont="1" applyFill="1"/>
    <xf numFmtId="9" fontId="5" fillId="0" borderId="0" xfId="2" applyFont="1" applyFill="1"/>
    <xf numFmtId="9" fontId="2" fillId="6" borderId="3" xfId="2" applyFont="1" applyFill="1" applyBorder="1"/>
    <xf numFmtId="0" fontId="5" fillId="6" borderId="0" xfId="0" applyFont="1" applyFill="1" applyAlignment="1">
      <alignment horizontal="center"/>
    </xf>
    <xf numFmtId="43" fontId="5" fillId="6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center"/>
    </xf>
    <xf numFmtId="0" fontId="0" fillId="0" borderId="4" xfId="0" applyBorder="1"/>
    <xf numFmtId="165" fontId="6" fillId="0" borderId="0" xfId="0" applyNumberFormat="1" applyFont="1"/>
    <xf numFmtId="0" fontId="6" fillId="0" borderId="9" xfId="0" applyFont="1" applyBorder="1" applyAlignment="1">
      <alignment horizontal="left" vertical="center" wrapText="1"/>
    </xf>
    <xf numFmtId="165" fontId="6" fillId="0" borderId="9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43" fontId="5" fillId="6" borderId="2" xfId="1" applyFont="1" applyFill="1" applyBorder="1"/>
    <xf numFmtId="9" fontId="5" fillId="6" borderId="0" xfId="2" applyFont="1" applyFill="1" applyBorder="1"/>
    <xf numFmtId="9" fontId="5" fillId="6" borderId="3" xfId="2" applyFont="1" applyFill="1" applyBorder="1"/>
    <xf numFmtId="168" fontId="6" fillId="0" borderId="9" xfId="2" applyNumberFormat="1" applyFont="1" applyFill="1" applyBorder="1" applyAlignment="1">
      <alignment horizontal="center" vertical="center" wrapText="1"/>
    </xf>
    <xf numFmtId="168" fontId="7" fillId="0" borderId="10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0" fontId="9" fillId="0" borderId="4" xfId="0" applyNumberFormat="1" applyFont="1" applyBorder="1"/>
    <xf numFmtId="167" fontId="9" fillId="0" borderId="4" xfId="5" applyFont="1" applyFill="1" applyBorder="1"/>
    <xf numFmtId="167" fontId="0" fillId="0" borderId="0" xfId="5" applyFont="1"/>
    <xf numFmtId="169" fontId="0" fillId="0" borderId="0" xfId="0" applyNumberFormat="1"/>
    <xf numFmtId="0" fontId="3" fillId="0" borderId="0" xfId="0" applyFont="1" applyAlignment="1">
      <alignment horizontal="center"/>
    </xf>
    <xf numFmtId="168" fontId="6" fillId="0" borderId="0" xfId="2" applyNumberFormat="1" applyFont="1" applyFill="1"/>
    <xf numFmtId="168" fontId="3" fillId="0" borderId="0" xfId="0" applyNumberFormat="1" applyFont="1"/>
    <xf numFmtId="168" fontId="6" fillId="0" borderId="0" xfId="2" applyNumberFormat="1" applyFont="1"/>
    <xf numFmtId="168" fontId="6" fillId="0" borderId="0" xfId="2" applyNumberFormat="1" applyFont="1" applyBorder="1"/>
    <xf numFmtId="0" fontId="3" fillId="0" borderId="4" xfId="0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165" fontId="10" fillId="0" borderId="0" xfId="0" applyNumberFormat="1" applyFont="1"/>
    <xf numFmtId="168" fontId="10" fillId="0" borderId="0" xfId="2" applyNumberFormat="1" applyFont="1" applyFill="1"/>
    <xf numFmtId="0" fontId="10" fillId="0" borderId="8" xfId="0" applyFont="1" applyBorder="1"/>
    <xf numFmtId="165" fontId="10" fillId="0" borderId="8" xfId="0" applyNumberFormat="1" applyFont="1" applyBorder="1"/>
    <xf numFmtId="168" fontId="10" fillId="0" borderId="8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6" fillId="0" borderId="5" xfId="0" applyFont="1" applyBorder="1" applyAlignment="1">
      <alignment horizontal="left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168" fontId="6" fillId="8" borderId="5" xfId="2" applyNumberFormat="1" applyFont="1" applyFill="1" applyBorder="1" applyAlignment="1">
      <alignment horizontal="center" vertical="center" wrapText="1"/>
    </xf>
    <xf numFmtId="167" fontId="9" fillId="8" borderId="4" xfId="5" applyFont="1" applyFill="1" applyBorder="1"/>
    <xf numFmtId="40" fontId="9" fillId="8" borderId="4" xfId="0" applyNumberFormat="1" applyFont="1" applyFill="1" applyBorder="1"/>
    <xf numFmtId="167" fontId="0" fillId="0" borderId="0" xfId="5" applyFont="1" applyFill="1"/>
    <xf numFmtId="0" fontId="7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43" fontId="5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left" vertical="center"/>
    </xf>
    <xf numFmtId="0" fontId="11" fillId="0" borderId="5" xfId="0" applyFont="1" applyBorder="1"/>
    <xf numFmtId="0" fontId="0" fillId="3" borderId="5" xfId="0" applyFill="1" applyBorder="1"/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1" fillId="0" borderId="8" xfId="0" applyFont="1" applyBorder="1" applyAlignment="1">
      <alignment horizontal="left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0" fontId="3" fillId="0" borderId="8" xfId="2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2" applyNumberFormat="1" applyFont="1" applyFill="1" applyBorder="1" applyAlignment="1">
      <alignment horizontal="center" vertical="center" wrapText="1"/>
    </xf>
    <xf numFmtId="40" fontId="0" fillId="0" borderId="0" xfId="0" applyNumberFormat="1"/>
    <xf numFmtId="0" fontId="0" fillId="2" borderId="11" xfId="0" applyFill="1" applyBorder="1" applyAlignment="1">
      <alignment horizontal="center" vertical="center"/>
    </xf>
    <xf numFmtId="182" fontId="10" fillId="0" borderId="0" xfId="0" applyNumberFormat="1" applyFont="1"/>
    <xf numFmtId="182" fontId="6" fillId="0" borderId="5" xfId="0" applyNumberFormat="1" applyFont="1" applyBorder="1" applyAlignment="1">
      <alignment horizontal="center" vertical="center" wrapText="1"/>
    </xf>
    <xf numFmtId="182" fontId="6" fillId="0" borderId="9" xfId="0" applyNumberFormat="1" applyFont="1" applyBorder="1" applyAlignment="1">
      <alignment horizontal="center" vertical="center" wrapText="1"/>
    </xf>
    <xf numFmtId="182" fontId="3" fillId="0" borderId="5" xfId="0" applyNumberFormat="1" applyFont="1" applyBorder="1"/>
    <xf numFmtId="10" fontId="10" fillId="0" borderId="0" xfId="2" applyNumberFormat="1" applyFont="1" applyFill="1"/>
    <xf numFmtId="10" fontId="7" fillId="0" borderId="10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40" fontId="9" fillId="0" borderId="6" xfId="0" applyNumberFormat="1" applyFont="1" applyBorder="1"/>
    <xf numFmtId="40" fontId="3" fillId="0" borderId="4" xfId="0" applyNumberFormat="1" applyFont="1" applyBorder="1"/>
    <xf numFmtId="166" fontId="0" fillId="0" borderId="0" xfId="2" applyNumberFormat="1" applyFont="1"/>
    <xf numFmtId="166" fontId="0" fillId="0" borderId="0" xfId="1" applyNumberFormat="1" applyFont="1"/>
    <xf numFmtId="0" fontId="0" fillId="5" borderId="4" xfId="0" applyFill="1" applyBorder="1"/>
    <xf numFmtId="40" fontId="9" fillId="0" borderId="7" xfId="0" applyNumberFormat="1" applyFont="1" applyBorder="1"/>
    <xf numFmtId="40" fontId="9" fillId="5" borderId="4" xfId="0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102</xdr:row>
      <xdr:rowOff>53664</xdr:rowOff>
    </xdr:from>
    <xdr:to>
      <xdr:col>1</xdr:col>
      <xdr:colOff>389050</xdr:colOff>
      <xdr:row>118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102</xdr:row>
      <xdr:rowOff>80492</xdr:rowOff>
    </xdr:from>
    <xdr:to>
      <xdr:col>6</xdr:col>
      <xdr:colOff>791514</xdr:colOff>
      <xdr:row>118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102</xdr:row>
      <xdr:rowOff>93906</xdr:rowOff>
    </xdr:from>
    <xdr:to>
      <xdr:col>9</xdr:col>
      <xdr:colOff>80493</xdr:colOff>
      <xdr:row>118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102</xdr:row>
      <xdr:rowOff>67077</xdr:rowOff>
    </xdr:from>
    <xdr:to>
      <xdr:col>14</xdr:col>
      <xdr:colOff>764682</xdr:colOff>
      <xdr:row>118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119</xdr:row>
      <xdr:rowOff>160986</xdr:rowOff>
    </xdr:from>
    <xdr:to>
      <xdr:col>1</xdr:col>
      <xdr:colOff>348803</xdr:colOff>
      <xdr:row>136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119</xdr:row>
      <xdr:rowOff>174403</xdr:rowOff>
    </xdr:from>
    <xdr:to>
      <xdr:col>6</xdr:col>
      <xdr:colOff>764684</xdr:colOff>
      <xdr:row>136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119</xdr:row>
      <xdr:rowOff>174403</xdr:rowOff>
    </xdr:from>
    <xdr:to>
      <xdr:col>9</xdr:col>
      <xdr:colOff>107326</xdr:colOff>
      <xdr:row>136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120</xdr:row>
      <xdr:rowOff>0</xdr:rowOff>
    </xdr:from>
    <xdr:to>
      <xdr:col>14</xdr:col>
      <xdr:colOff>791512</xdr:colOff>
      <xdr:row>136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138</xdr:row>
      <xdr:rowOff>120739</xdr:rowOff>
    </xdr:from>
    <xdr:to>
      <xdr:col>4</xdr:col>
      <xdr:colOff>160988</xdr:colOff>
      <xdr:row>155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138</xdr:row>
      <xdr:rowOff>80491</xdr:rowOff>
    </xdr:from>
    <xdr:to>
      <xdr:col>8</xdr:col>
      <xdr:colOff>1180563</xdr:colOff>
      <xdr:row>154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138</xdr:row>
      <xdr:rowOff>80492</xdr:rowOff>
    </xdr:from>
    <xdr:to>
      <xdr:col>13</xdr:col>
      <xdr:colOff>107324</xdr:colOff>
      <xdr:row>154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10240</xdr:colOff>
      <xdr:row>2</xdr:row>
      <xdr:rowOff>77317</xdr:rowOff>
    </xdr:from>
    <xdr:to>
      <xdr:col>11</xdr:col>
      <xdr:colOff>553210</xdr:colOff>
      <xdr:row>22</xdr:row>
      <xdr:rowOff>171339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FFF511-1378-C025-355D-373A6BC8C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0099" y="546859"/>
          <a:ext cx="2582125" cy="5030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147571</xdr:rowOff>
    </xdr:from>
    <xdr:to>
      <xdr:col>15</xdr:col>
      <xdr:colOff>86843</xdr:colOff>
      <xdr:row>88</xdr:row>
      <xdr:rowOff>10240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108CA10-92B6-3572-F52C-DCE5BBE6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168944" y="6063803"/>
          <a:ext cx="8565434" cy="343119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6"/>
  <sheetViews>
    <sheetView showGridLines="0" tabSelected="1" zoomScale="71" zoomScaleNormal="71" zoomScaleSheetLayoutView="71" workbookViewId="0">
      <selection activeCell="I16" sqref="I16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4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24" t="s">
        <v>73</v>
      </c>
      <c r="B2" s="125"/>
      <c r="C2" s="125"/>
      <c r="D2" s="125"/>
      <c r="E2" s="125"/>
      <c r="F2" s="125"/>
      <c r="G2" s="125"/>
      <c r="H2" s="50"/>
      <c r="I2" s="117" t="s">
        <v>74</v>
      </c>
      <c r="J2" s="117"/>
      <c r="K2" s="117"/>
      <c r="L2" s="117"/>
      <c r="M2" s="117"/>
      <c r="N2" s="117"/>
      <c r="O2" s="117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18">
        <v>2024</v>
      </c>
      <c r="E4" s="119"/>
      <c r="F4" s="119"/>
      <c r="G4" s="120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18" t="s">
        <v>7</v>
      </c>
      <c r="E5" s="119"/>
      <c r="F5" s="121" t="s">
        <v>14</v>
      </c>
      <c r="G5" s="122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48</v>
      </c>
      <c r="D6" s="34" t="s">
        <v>4</v>
      </c>
      <c r="E6" s="35" t="s">
        <v>5</v>
      </c>
      <c r="F6" s="34" t="s">
        <v>4</v>
      </c>
      <c r="G6" s="36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51" t="s">
        <v>0</v>
      </c>
      <c r="B8" s="102">
        <v>17.915740000000003</v>
      </c>
      <c r="C8" s="102">
        <v>0.15305000000000002</v>
      </c>
      <c r="D8" s="106">
        <v>8.6124280360440064E-3</v>
      </c>
      <c r="E8" s="106">
        <v>0.85301715913882492</v>
      </c>
      <c r="F8" s="106">
        <v>8.6124280360440064E-3</v>
      </c>
      <c r="G8" s="106">
        <v>0.85301715913882492</v>
      </c>
      <c r="H8" s="45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51" t="s">
        <v>17</v>
      </c>
      <c r="B9" s="102">
        <v>78.829440000000005</v>
      </c>
      <c r="C9" s="102">
        <v>0.85136000000000001</v>
      </c>
      <c r="D9" s="106">
        <v>1.0917890452163403E-2</v>
      </c>
      <c r="E9" s="106">
        <v>1.0813614764984656</v>
      </c>
      <c r="F9" s="106">
        <v>1.0917890452163403E-2</v>
      </c>
      <c r="G9" s="106">
        <v>1.0813614764984656</v>
      </c>
      <c r="H9" s="46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51" t="s">
        <v>18</v>
      </c>
      <c r="B10" s="102">
        <v>9196.0274100000006</v>
      </c>
      <c r="C10" s="102">
        <v>59.747060000000005</v>
      </c>
      <c r="D10" s="106">
        <v>1.0269382424577866E-2</v>
      </c>
      <c r="E10" s="106">
        <v>1.0171300573150972</v>
      </c>
      <c r="F10" s="106">
        <v>1.0269382424577866E-2</v>
      </c>
      <c r="G10" s="106">
        <v>1.0171300573150972</v>
      </c>
      <c r="H10" s="47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51" t="s">
        <v>40</v>
      </c>
      <c r="B11" s="102">
        <v>20614.981480000002</v>
      </c>
      <c r="C11" s="102">
        <v>223.87903</v>
      </c>
      <c r="D11" s="106">
        <v>1.0979250492721748E-2</v>
      </c>
      <c r="E11" s="106">
        <v>1.0874388761890834</v>
      </c>
      <c r="F11" s="106">
        <v>1.0979250492721748E-2</v>
      </c>
      <c r="G11" s="106">
        <v>1.0874388761890834</v>
      </c>
      <c r="H11" s="46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51" t="s">
        <v>43</v>
      </c>
      <c r="B12" s="102">
        <v>31030.537519999998</v>
      </c>
      <c r="C12" s="102">
        <v>373.50953999999911</v>
      </c>
      <c r="D12" s="106">
        <v>1.2183488222322403E-2</v>
      </c>
      <c r="E12" s="106">
        <v>1.2067124936559162</v>
      </c>
      <c r="F12" s="106">
        <v>1.2183488222322403E-2</v>
      </c>
      <c r="G12" s="106">
        <v>1.2067124936559162</v>
      </c>
      <c r="H12" s="46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51" t="s">
        <v>1</v>
      </c>
      <c r="B13" s="102">
        <v>9847.1002100000005</v>
      </c>
      <c r="C13" s="102">
        <v>94.65464999999999</v>
      </c>
      <c r="D13" s="106">
        <v>1.0455816576722565E-2</v>
      </c>
      <c r="E13" s="106">
        <v>1.0355954111227994</v>
      </c>
      <c r="F13" s="106">
        <v>1.0455816576722565E-2</v>
      </c>
      <c r="G13" s="106">
        <v>1.0355954111227994</v>
      </c>
      <c r="H13" s="45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51" t="s">
        <v>67</v>
      </c>
      <c r="B14" s="102">
        <v>18231.514449999999</v>
      </c>
      <c r="C14" s="102">
        <v>186.05331000000001</v>
      </c>
      <c r="D14" s="106">
        <v>1.0310255164415416E-2</v>
      </c>
      <c r="E14" s="106">
        <v>1.021178294151043</v>
      </c>
      <c r="F14" s="106">
        <v>1.0310255164415416E-2</v>
      </c>
      <c r="G14" s="106">
        <v>1.021178294151043</v>
      </c>
      <c r="H14" s="45"/>
      <c r="I14" s="13"/>
      <c r="J14" s="14"/>
      <c r="K14" s="14"/>
      <c r="L14" s="15"/>
      <c r="M14" s="14"/>
      <c r="N14" s="15"/>
      <c r="O14" s="14"/>
    </row>
    <row r="15" spans="1:15" ht="20" customHeight="1" x14ac:dyDescent="0.45">
      <c r="A15" s="51" t="s">
        <v>37</v>
      </c>
      <c r="B15" s="102">
        <v>13792.513640000001</v>
      </c>
      <c r="C15" s="102">
        <v>138.78682000000001</v>
      </c>
      <c r="D15" s="106">
        <v>1.0164757474691477E-2</v>
      </c>
      <c r="E15" s="106">
        <v>1.0067674885768017</v>
      </c>
      <c r="F15" s="106">
        <v>1.0164757474691477E-2</v>
      </c>
      <c r="G15" s="106">
        <v>1.0067674885768017</v>
      </c>
      <c r="H15" s="46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51" t="s">
        <v>38</v>
      </c>
      <c r="B16" s="102">
        <v>13823.531779999999</v>
      </c>
      <c r="C16" s="102">
        <v>149.25969000000001</v>
      </c>
      <c r="D16" s="106">
        <v>1.0915366146110106E-2</v>
      </c>
      <c r="E16" s="106">
        <v>1.081111456832772</v>
      </c>
      <c r="F16" s="106">
        <v>1.0915366146110106E-2</v>
      </c>
      <c r="G16" s="106">
        <v>1.081111456832772</v>
      </c>
      <c r="H16" s="45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51" t="s">
        <v>33</v>
      </c>
      <c r="B17" s="102">
        <v>9204.2292600000001</v>
      </c>
      <c r="C17" s="102">
        <v>83.857169999999996</v>
      </c>
      <c r="D17" s="106">
        <v>9.1944901224672027E-3</v>
      </c>
      <c r="E17" s="106">
        <v>0.91066744606432193</v>
      </c>
      <c r="F17" s="106">
        <v>9.1944901224672027E-3</v>
      </c>
      <c r="G17" s="106">
        <v>0.91066744606432193</v>
      </c>
      <c r="H17" s="45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51" t="s">
        <v>39</v>
      </c>
      <c r="B18" s="102">
        <v>18359.257280000002</v>
      </c>
      <c r="C18" s="102">
        <v>178.35634999999999</v>
      </c>
      <c r="D18" s="106">
        <v>9.8100930405744524E-3</v>
      </c>
      <c r="E18" s="106">
        <v>0.97163978164306108</v>
      </c>
      <c r="F18" s="106">
        <v>9.8100930405744524E-3</v>
      </c>
      <c r="G18" s="106">
        <v>0.97163978164306108</v>
      </c>
      <c r="H18" s="45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51" t="s">
        <v>69</v>
      </c>
      <c r="B19" s="102">
        <v>9193.8503800000017</v>
      </c>
      <c r="C19" s="102">
        <v>72.978929999999991</v>
      </c>
      <c r="D19" s="106">
        <v>8.0013106656977584E-3</v>
      </c>
      <c r="E19" s="106">
        <v>0.79248909423407654</v>
      </c>
      <c r="F19" s="106">
        <v>8.0013106656977584E-3</v>
      </c>
      <c r="G19" s="106">
        <v>0.79248909423407654</v>
      </c>
      <c r="H19" s="45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51" t="s">
        <v>68</v>
      </c>
      <c r="B20" s="102">
        <v>9111.4072400000005</v>
      </c>
      <c r="C20" s="102">
        <v>112.11748</v>
      </c>
      <c r="D20" s="106">
        <v>1.2458481146681022E-2</v>
      </c>
      <c r="E20" s="106">
        <v>1.2339491430813685</v>
      </c>
      <c r="F20" s="106">
        <v>1.2458481146681022E-2</v>
      </c>
      <c r="G20" s="106">
        <v>1.2339491430813685</v>
      </c>
      <c r="H20" s="45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51" t="s">
        <v>2</v>
      </c>
      <c r="B21" s="102">
        <v>194.54438000000002</v>
      </c>
      <c r="C21" s="102">
        <v>1.63897</v>
      </c>
      <c r="D21" s="106">
        <v>8.4962412996785197E-3</v>
      </c>
      <c r="E21" s="106">
        <v>0.84150945430003665</v>
      </c>
      <c r="F21" s="106">
        <v>8.4962412996785197E-3</v>
      </c>
      <c r="G21" s="106">
        <v>0.84150945430003665</v>
      </c>
      <c r="H21" s="45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51" t="s">
        <v>6</v>
      </c>
      <c r="B22" s="102">
        <v>27480.128190000003</v>
      </c>
      <c r="C22" s="102">
        <v>296.72174999999999</v>
      </c>
      <c r="D22" s="106">
        <v>1.0915547337408738E-2</v>
      </c>
      <c r="E22" s="106">
        <v>1.0811294029086258</v>
      </c>
      <c r="F22" s="106">
        <v>1.0915547337408738E-2</v>
      </c>
      <c r="G22" s="106">
        <v>1.0811294029086258</v>
      </c>
      <c r="H22" s="45"/>
      <c r="I22" s="3"/>
      <c r="J22" s="16"/>
      <c r="K22" s="16"/>
      <c r="L22" s="17"/>
      <c r="M22" s="16"/>
      <c r="N22" s="17"/>
      <c r="O22" s="16"/>
    </row>
    <row r="23" spans="1:15" ht="20" customHeight="1" x14ac:dyDescent="0.45">
      <c r="A23" s="51" t="s">
        <v>46</v>
      </c>
      <c r="B23" s="102">
        <v>36258.871520000001</v>
      </c>
      <c r="C23" s="102">
        <v>384.33030000000446</v>
      </c>
      <c r="D23" s="106">
        <v>1.0713177141834285E-2</v>
      </c>
      <c r="E23" s="106">
        <v>1.0610856651147271</v>
      </c>
      <c r="F23" s="106">
        <v>1.0713177141834285E-2</v>
      </c>
      <c r="G23" s="106">
        <v>1.0610856651147271</v>
      </c>
      <c r="H23" s="45"/>
      <c r="I23" s="3"/>
      <c r="J23" s="16"/>
      <c r="K23" s="16"/>
      <c r="L23" s="17"/>
      <c r="M23" s="16"/>
      <c r="N23" s="17"/>
      <c r="O23" s="16"/>
    </row>
    <row r="24" spans="1:15" ht="20" customHeight="1" thickBot="1" x14ac:dyDescent="0.5">
      <c r="A24" s="51" t="s">
        <v>47</v>
      </c>
      <c r="B24" s="102">
        <v>11175.207130000001</v>
      </c>
      <c r="C24" s="102">
        <v>216.1363200000003</v>
      </c>
      <c r="D24" s="106">
        <v>1.9722139872280442E-2</v>
      </c>
      <c r="E24" s="106">
        <v>1.9533775673461253</v>
      </c>
      <c r="F24" s="106">
        <v>1.9722139872280442E-2</v>
      </c>
      <c r="G24" s="106">
        <v>1.9533775673461253</v>
      </c>
      <c r="H24" s="45"/>
      <c r="I24" s="117" t="s">
        <v>77</v>
      </c>
      <c r="J24" s="117"/>
      <c r="K24" s="117"/>
      <c r="L24" s="117"/>
      <c r="M24" s="117"/>
      <c r="N24" s="117"/>
      <c r="O24" s="117"/>
    </row>
    <row r="25" spans="1:15" ht="20" customHeight="1" thickTop="1" x14ac:dyDescent="0.45">
      <c r="A25" s="51" t="s">
        <v>15</v>
      </c>
      <c r="B25" s="102">
        <v>62281.892229999998</v>
      </c>
      <c r="C25" s="102">
        <v>820.62415999999644</v>
      </c>
      <c r="D25" s="106">
        <v>1.3351891223421619E-2</v>
      </c>
      <c r="E25" s="106">
        <v>1.3224368636658321</v>
      </c>
      <c r="F25" s="106">
        <v>1.3351891223421619E-2</v>
      </c>
      <c r="G25" s="106">
        <v>1.3224368636658321</v>
      </c>
      <c r="H25" s="46"/>
      <c r="I25" s="13"/>
      <c r="J25" s="14"/>
      <c r="K25" s="14"/>
      <c r="L25" s="15"/>
      <c r="M25" s="14"/>
      <c r="N25" s="15"/>
      <c r="O25" s="14"/>
    </row>
    <row r="26" spans="1:15" ht="20" customHeight="1" x14ac:dyDescent="0.45">
      <c r="A26" s="51" t="s">
        <v>16</v>
      </c>
      <c r="B26" s="102">
        <v>79470.447150000007</v>
      </c>
      <c r="C26" s="102">
        <v>857.22479000000658</v>
      </c>
      <c r="D26" s="106">
        <v>1.0904333484188733E-2</v>
      </c>
      <c r="E26" s="106">
        <v>1.0800187278264428</v>
      </c>
      <c r="F26" s="106">
        <v>1.0904333484188733E-2</v>
      </c>
      <c r="G26" s="106">
        <v>1.0800187278264428</v>
      </c>
      <c r="H26" s="45"/>
      <c r="I26" s="13"/>
      <c r="J26" s="14"/>
      <c r="K26" s="14"/>
      <c r="L26" s="15"/>
      <c r="M26" s="14"/>
      <c r="N26" s="15"/>
      <c r="O26" s="14"/>
    </row>
    <row r="27" spans="1:15" ht="20" customHeight="1" x14ac:dyDescent="0.45">
      <c r="A27" s="51" t="s">
        <v>19</v>
      </c>
      <c r="B27" s="102">
        <v>40562.116979999999</v>
      </c>
      <c r="C27" s="102">
        <v>456.07456000000002</v>
      </c>
      <c r="D27" s="106">
        <v>1.1371716743888927E-2</v>
      </c>
      <c r="E27" s="106">
        <v>1.1263106606878794</v>
      </c>
      <c r="F27" s="106">
        <v>1.1371716743888927E-2</v>
      </c>
      <c r="G27" s="106">
        <v>1.1263106606878794</v>
      </c>
      <c r="H27" s="45"/>
      <c r="J27" s="50"/>
      <c r="K27" s="50"/>
      <c r="L27" s="50"/>
      <c r="M27" s="50"/>
      <c r="N27" s="50"/>
      <c r="O27" s="50"/>
    </row>
    <row r="28" spans="1:15" ht="20" customHeight="1" x14ac:dyDescent="0.45">
      <c r="A28" s="51" t="s">
        <v>10</v>
      </c>
      <c r="B28" s="102">
        <v>88.239620000000002</v>
      </c>
      <c r="C28" s="102">
        <v>0.99236999999999997</v>
      </c>
      <c r="D28" s="106">
        <v>1.1374258502753642E-2</v>
      </c>
      <c r="E28" s="106">
        <v>1.1265624089657078</v>
      </c>
      <c r="F28" s="106">
        <v>1.1374258502753642E-2</v>
      </c>
      <c r="G28" s="106">
        <v>1.1265624089657078</v>
      </c>
      <c r="H28" s="46"/>
      <c r="J28" s="14"/>
      <c r="K28" s="14"/>
      <c r="L28" s="15"/>
      <c r="M28" s="14"/>
      <c r="N28" s="15"/>
      <c r="O28" s="14"/>
    </row>
    <row r="29" spans="1:15" ht="18.5" x14ac:dyDescent="0.45">
      <c r="A29" s="51"/>
      <c r="B29" s="29"/>
      <c r="C29" s="29"/>
      <c r="D29" s="45"/>
      <c r="E29" s="45"/>
      <c r="F29" s="45"/>
      <c r="G29" s="45"/>
      <c r="H29" s="48"/>
      <c r="I29" s="3"/>
      <c r="J29" s="11"/>
      <c r="K29" s="11"/>
      <c r="L29" s="8"/>
      <c r="M29" s="11"/>
      <c r="N29" s="8"/>
      <c r="O29" s="11"/>
    </row>
    <row r="30" spans="1:15" ht="20.149999999999999" customHeight="1" x14ac:dyDescent="0.45">
      <c r="A30" s="30" t="s">
        <v>11</v>
      </c>
      <c r="B30" s="104">
        <v>420013.14302999998</v>
      </c>
      <c r="C30" s="104">
        <v>4707.9476600000071</v>
      </c>
      <c r="D30" s="37">
        <v>1.1439062748853418E-2</v>
      </c>
      <c r="E30" s="37">
        <v>1.1329809396839694</v>
      </c>
      <c r="F30" s="37">
        <v>1.1439062748853418E-2</v>
      </c>
      <c r="G30" s="37">
        <v>1.1329809396839694</v>
      </c>
      <c r="H30" s="48"/>
      <c r="I30" s="70"/>
      <c r="J30" s="50"/>
      <c r="K30" s="50"/>
      <c r="L30" s="50"/>
      <c r="M30" s="50"/>
      <c r="N30" s="50"/>
      <c r="O30" s="50"/>
    </row>
    <row r="31" spans="1:15" ht="20.149999999999999" customHeight="1" thickBot="1" x14ac:dyDescent="0.5">
      <c r="A31" s="32" t="s">
        <v>13</v>
      </c>
      <c r="B31" s="33"/>
      <c r="C31" s="33"/>
      <c r="D31" s="33"/>
      <c r="E31" s="38">
        <v>1.009643E-2</v>
      </c>
      <c r="F31" s="107"/>
      <c r="G31" s="38">
        <v>1.009643E-2</v>
      </c>
      <c r="H31" s="48"/>
      <c r="I31" s="70"/>
      <c r="J31" s="50"/>
      <c r="K31" s="50"/>
      <c r="L31" s="50"/>
      <c r="M31" s="50"/>
      <c r="N31" s="50"/>
      <c r="O31" s="50"/>
    </row>
    <row r="32" spans="1:15" ht="14.25" customHeight="1" thickTop="1" x14ac:dyDescent="0.45">
      <c r="A32" s="66" t="s">
        <v>70</v>
      </c>
      <c r="B32" s="67"/>
      <c r="C32" s="67"/>
      <c r="D32" s="67"/>
      <c r="E32" s="67"/>
      <c r="F32" s="67"/>
      <c r="G32" s="67"/>
      <c r="H32" s="48"/>
      <c r="I32" s="13"/>
      <c r="J32" s="18"/>
      <c r="K32" s="18"/>
      <c r="L32" s="19"/>
      <c r="M32" s="18"/>
      <c r="N32" s="19"/>
      <c r="O32" s="18"/>
    </row>
    <row r="33" spans="1:15" ht="16.5" customHeight="1" x14ac:dyDescent="0.35">
      <c r="A33" s="69"/>
      <c r="B33" s="68"/>
      <c r="C33" s="68"/>
      <c r="D33" s="68"/>
      <c r="E33" s="68"/>
      <c r="F33" s="68"/>
      <c r="G33" s="68"/>
      <c r="H33" s="58"/>
      <c r="I33" s="13"/>
      <c r="J33" s="18"/>
      <c r="K33" s="18"/>
      <c r="L33" s="19"/>
      <c r="M33" s="18"/>
      <c r="N33" s="19"/>
      <c r="O33" s="18"/>
    </row>
    <row r="34" spans="1:15" ht="15.5" x14ac:dyDescent="0.35">
      <c r="A34" s="126"/>
      <c r="B34" s="127"/>
      <c r="C34" s="127"/>
      <c r="D34" s="127"/>
      <c r="E34" s="127"/>
      <c r="F34" s="127"/>
      <c r="G34" s="127"/>
      <c r="H34" s="58"/>
      <c r="I34" s="13"/>
      <c r="J34" s="18"/>
      <c r="K34" s="18"/>
      <c r="L34" s="19"/>
      <c r="M34" s="18"/>
      <c r="N34" s="19"/>
      <c r="O34" s="18"/>
    </row>
    <row r="35" spans="1:15" ht="15.75" customHeight="1" x14ac:dyDescent="0.35">
      <c r="A35" s="126"/>
      <c r="B35" s="127"/>
      <c r="C35" s="127"/>
      <c r="D35" s="127"/>
      <c r="E35" s="127"/>
      <c r="F35" s="127"/>
      <c r="G35" s="127"/>
      <c r="H35" s="2"/>
      <c r="I35" s="13"/>
      <c r="J35" s="18"/>
      <c r="K35" s="18"/>
      <c r="L35" s="19"/>
      <c r="M35" s="18"/>
      <c r="N35" s="19"/>
      <c r="O35" s="18"/>
    </row>
    <row r="36" spans="1:15" ht="5.25" customHeight="1" x14ac:dyDescent="0.35">
      <c r="A36" s="2"/>
      <c r="B36" s="2"/>
      <c r="C36" s="2"/>
      <c r="D36" s="2"/>
      <c r="E36" s="2"/>
      <c r="F36" s="2"/>
      <c r="G36" s="2"/>
      <c r="H36" s="2"/>
      <c r="I36" s="13"/>
      <c r="J36" s="18"/>
      <c r="K36" s="18"/>
      <c r="L36" s="19"/>
      <c r="M36" s="18"/>
      <c r="N36" s="19"/>
      <c r="O36" s="18"/>
    </row>
    <row r="37" spans="1:15" ht="23.25" hidden="1" customHeight="1" thickBot="1" x14ac:dyDescent="0.4">
      <c r="A37" s="117" t="s">
        <v>20</v>
      </c>
      <c r="B37" s="123"/>
      <c r="C37" s="123"/>
      <c r="D37" s="123"/>
      <c r="E37" s="123"/>
      <c r="F37" s="123"/>
      <c r="G37" s="123"/>
      <c r="I37" s="13"/>
      <c r="J37" s="18"/>
      <c r="K37" s="18"/>
      <c r="L37" s="19"/>
      <c r="M37" s="18"/>
      <c r="N37" s="19"/>
      <c r="O37" s="18"/>
    </row>
    <row r="38" spans="1:15" ht="15" hidden="1" thickTop="1" x14ac:dyDescent="0.35">
      <c r="I38" s="13"/>
      <c r="J38" s="18"/>
      <c r="K38" s="18"/>
      <c r="L38" s="19"/>
      <c r="M38" s="18"/>
      <c r="N38" s="19"/>
      <c r="O38" s="18"/>
    </row>
    <row r="39" spans="1:15" hidden="1" x14ac:dyDescent="0.35">
      <c r="I39" s="13"/>
      <c r="J39" s="18"/>
      <c r="K39" s="18"/>
      <c r="L39" s="19"/>
      <c r="M39" s="18"/>
      <c r="N39" s="19"/>
      <c r="O39" s="18"/>
    </row>
    <row r="40" spans="1:15" ht="18.5" hidden="1" x14ac:dyDescent="0.45">
      <c r="A40" s="27" t="s">
        <v>3</v>
      </c>
      <c r="B40" s="26" t="s">
        <v>9</v>
      </c>
      <c r="C40" s="26"/>
      <c r="D40" s="118">
        <v>2018</v>
      </c>
      <c r="E40" s="119"/>
      <c r="F40" s="119"/>
      <c r="G40" s="120"/>
    </row>
    <row r="41" spans="1:15" ht="18.5" hidden="1" x14ac:dyDescent="0.45">
      <c r="A41" s="27"/>
      <c r="B41" s="26"/>
      <c r="C41" s="26"/>
      <c r="D41" s="118" t="s">
        <v>7</v>
      </c>
      <c r="E41" s="119"/>
      <c r="F41" s="121" t="s">
        <v>14</v>
      </c>
      <c r="G41" s="122"/>
    </row>
    <row r="42" spans="1:15" ht="18.5" hidden="1" x14ac:dyDescent="0.45">
      <c r="A42" s="24" t="s">
        <v>12</v>
      </c>
      <c r="B42" s="25" t="s">
        <v>8</v>
      </c>
      <c r="C42" s="25"/>
      <c r="D42" s="34" t="s">
        <v>4</v>
      </c>
      <c r="E42" s="35" t="s">
        <v>5</v>
      </c>
      <c r="F42" s="34" t="s">
        <v>4</v>
      </c>
      <c r="G42" s="36" t="s">
        <v>5</v>
      </c>
    </row>
    <row r="43" spans="1:15" ht="18.5" hidden="1" x14ac:dyDescent="0.45">
      <c r="A43" s="20"/>
      <c r="D43" s="21"/>
      <c r="E43" s="22"/>
      <c r="F43" s="22"/>
      <c r="G43" s="22"/>
    </row>
    <row r="44" spans="1:15" ht="30" hidden="1" customHeight="1" x14ac:dyDescent="0.45">
      <c r="A44" s="51" t="s">
        <v>18</v>
      </c>
      <c r="B44" s="52">
        <v>9196.0274100000006</v>
      </c>
      <c r="C44" s="52"/>
      <c r="D44" s="53">
        <v>1.0269382424577866E-2</v>
      </c>
      <c r="E44" s="53">
        <v>1.0171300573150972</v>
      </c>
      <c r="F44" s="53">
        <v>1.0269382424577866E-2</v>
      </c>
      <c r="G44" s="53">
        <v>1.0171300573150972</v>
      </c>
    </row>
    <row r="45" spans="1:15" ht="30" hidden="1" customHeight="1" x14ac:dyDescent="0.45">
      <c r="A45" s="51" t="s">
        <v>1</v>
      </c>
      <c r="B45" s="52">
        <v>9847.1002100000005</v>
      </c>
      <c r="C45" s="52"/>
      <c r="D45" s="53">
        <v>1.0455816576722565E-2</v>
      </c>
      <c r="E45" s="53">
        <v>1.0355954111227994</v>
      </c>
      <c r="F45" s="53">
        <v>1.0455816576722565E-2</v>
      </c>
      <c r="G45" s="53">
        <v>1.0355954111227994</v>
      </c>
      <c r="H45" s="51"/>
    </row>
    <row r="46" spans="1:15" ht="18.5" hidden="1" x14ac:dyDescent="0.45">
      <c r="A46" s="54"/>
      <c r="B46" s="55"/>
      <c r="C46" s="55"/>
      <c r="D46" s="56"/>
      <c r="E46" s="56"/>
      <c r="F46" s="56"/>
      <c r="G46" s="56"/>
    </row>
    <row r="47" spans="1:15" ht="18.75" hidden="1" customHeight="1" x14ac:dyDescent="0.35">
      <c r="A47" s="60" t="s">
        <v>11</v>
      </c>
      <c r="B47" s="61">
        <v>19043.127619999999</v>
      </c>
      <c r="C47" s="61"/>
      <c r="D47" s="62"/>
      <c r="E47" s="62"/>
      <c r="F47" s="62"/>
      <c r="G47" s="62"/>
    </row>
    <row r="48" spans="1:15" ht="16" hidden="1" thickBot="1" x14ac:dyDescent="0.4">
      <c r="A48" s="32" t="s">
        <v>13</v>
      </c>
      <c r="B48" s="33"/>
      <c r="C48" s="33"/>
      <c r="D48" s="33"/>
      <c r="E48" s="38">
        <v>1.009643E-2</v>
      </c>
      <c r="F48" s="38"/>
      <c r="G48" s="38">
        <v>1.009643E-2</v>
      </c>
    </row>
    <row r="49" spans="1:7" ht="15" hidden="1" thickTop="1" x14ac:dyDescent="0.35"/>
    <row r="50" spans="1:7" hidden="1" x14ac:dyDescent="0.35"/>
    <row r="51" spans="1:7" ht="15" hidden="1" thickBot="1" x14ac:dyDescent="0.4">
      <c r="A51" s="117" t="s">
        <v>21</v>
      </c>
      <c r="B51" s="123"/>
      <c r="C51" s="123"/>
      <c r="D51" s="123"/>
      <c r="E51" s="123"/>
      <c r="F51" s="123"/>
      <c r="G51" s="123"/>
    </row>
    <row r="52" spans="1:7" ht="13.5" hidden="1" customHeight="1" thickTop="1" x14ac:dyDescent="0.35"/>
    <row r="53" spans="1:7" ht="9.75" hidden="1" customHeight="1" x14ac:dyDescent="0.35"/>
    <row r="54" spans="1:7" ht="18.5" hidden="1" x14ac:dyDescent="0.45">
      <c r="A54" s="27" t="s">
        <v>3</v>
      </c>
      <c r="B54" s="26" t="s">
        <v>9</v>
      </c>
      <c r="C54" s="26"/>
      <c r="D54" s="118">
        <v>2018</v>
      </c>
      <c r="E54" s="119"/>
      <c r="F54" s="119"/>
      <c r="G54" s="120"/>
    </row>
    <row r="55" spans="1:7" ht="18.5" hidden="1" x14ac:dyDescent="0.45">
      <c r="A55" s="27"/>
      <c r="B55" s="26"/>
      <c r="C55" s="26"/>
      <c r="D55" s="118" t="s">
        <v>7</v>
      </c>
      <c r="E55" s="119"/>
      <c r="F55" s="121" t="s">
        <v>14</v>
      </c>
      <c r="G55" s="122"/>
    </row>
    <row r="56" spans="1:7" ht="18.5" hidden="1" x14ac:dyDescent="0.45">
      <c r="A56" s="24" t="s">
        <v>12</v>
      </c>
      <c r="B56" s="25" t="s">
        <v>8</v>
      </c>
      <c r="C56" s="25"/>
      <c r="D56" s="34" t="s">
        <v>4</v>
      </c>
      <c r="E56" s="35" t="s">
        <v>5</v>
      </c>
      <c r="F56" s="34" t="s">
        <v>4</v>
      </c>
      <c r="G56" s="36" t="s">
        <v>5</v>
      </c>
    </row>
    <row r="57" spans="1:7" ht="18.5" hidden="1" x14ac:dyDescent="0.45">
      <c r="A57" s="20"/>
      <c r="D57" s="21"/>
      <c r="E57" s="22"/>
      <c r="F57" s="22"/>
      <c r="G57" s="22"/>
    </row>
    <row r="58" spans="1:7" ht="30" hidden="1" customHeight="1" x14ac:dyDescent="0.45">
      <c r="A58" s="51" t="s">
        <v>40</v>
      </c>
      <c r="B58" s="52">
        <v>20614.981480000002</v>
      </c>
      <c r="C58" s="52"/>
      <c r="D58" s="53">
        <v>1.0979250492721748E-2</v>
      </c>
      <c r="E58" s="53">
        <v>1.0874388761890834</v>
      </c>
      <c r="F58" s="53">
        <v>1.0979250492721748E-2</v>
      </c>
      <c r="G58" s="53">
        <v>1.0874388761890834</v>
      </c>
    </row>
    <row r="59" spans="1:7" ht="30" hidden="1" customHeight="1" x14ac:dyDescent="0.45">
      <c r="A59" s="51" t="s">
        <v>37</v>
      </c>
      <c r="B59" s="52">
        <v>13792.513640000001</v>
      </c>
      <c r="C59" s="52"/>
      <c r="D59" s="53">
        <v>1.0164757474691477E-2</v>
      </c>
      <c r="E59" s="53">
        <v>1.0067674885768017</v>
      </c>
      <c r="F59" s="53">
        <v>1.0164757474691477E-2</v>
      </c>
      <c r="G59" s="53">
        <v>1.0067674885768017</v>
      </c>
    </row>
    <row r="60" spans="1:7" ht="30" hidden="1" customHeight="1" x14ac:dyDescent="0.45">
      <c r="A60" s="51" t="s">
        <v>38</v>
      </c>
      <c r="B60" s="52">
        <v>13823.531779999999</v>
      </c>
      <c r="C60" s="52"/>
      <c r="D60" s="53">
        <v>1.0915366146110106E-2</v>
      </c>
      <c r="E60" s="53">
        <v>1.081111456832772</v>
      </c>
      <c r="F60" s="53">
        <v>1.0915366146110106E-2</v>
      </c>
      <c r="G60" s="53">
        <v>1.081111456832772</v>
      </c>
    </row>
    <row r="61" spans="1:7" ht="30" hidden="1" customHeight="1" x14ac:dyDescent="0.45">
      <c r="A61" s="51" t="s">
        <v>33</v>
      </c>
      <c r="B61" s="52">
        <v>9204.2292600000001</v>
      </c>
      <c r="C61" s="52"/>
      <c r="D61" s="53">
        <v>9.1944901224672027E-3</v>
      </c>
      <c r="E61" s="53">
        <v>0.91066744606432193</v>
      </c>
      <c r="F61" s="53">
        <v>9.1944901224672027E-3</v>
      </c>
      <c r="G61" s="53">
        <v>0.91066744606432193</v>
      </c>
    </row>
    <row r="62" spans="1:7" ht="30" hidden="1" customHeight="1" x14ac:dyDescent="0.45">
      <c r="A62" s="51" t="s">
        <v>2</v>
      </c>
      <c r="B62" s="52">
        <v>194.54438000000002</v>
      </c>
      <c r="C62" s="52"/>
      <c r="D62" s="53">
        <v>8.4962412996785197E-3</v>
      </c>
      <c r="E62" s="53">
        <v>0.84150945430003665</v>
      </c>
      <c r="F62" s="53">
        <v>8.4962412996785197E-3</v>
      </c>
      <c r="G62" s="53">
        <v>0.84150945430003665</v>
      </c>
    </row>
    <row r="63" spans="1:7" ht="30" hidden="1" customHeight="1" x14ac:dyDescent="0.45">
      <c r="A63" s="51" t="s">
        <v>6</v>
      </c>
      <c r="B63" s="52">
        <v>27480.128190000003</v>
      </c>
      <c r="C63" s="52"/>
      <c r="D63" s="53">
        <v>1.0915547337408738E-2</v>
      </c>
      <c r="E63" s="53">
        <v>1.0811294029086258</v>
      </c>
      <c r="F63" s="53">
        <v>1.0915547337408738E-2</v>
      </c>
      <c r="G63" s="53">
        <v>1.0811294029086258</v>
      </c>
    </row>
    <row r="64" spans="1:7" ht="30" hidden="1" customHeight="1" x14ac:dyDescent="0.45">
      <c r="A64" s="51" t="s">
        <v>15</v>
      </c>
      <c r="B64" s="52">
        <v>62281.892229999998</v>
      </c>
      <c r="C64" s="52"/>
      <c r="D64" s="53">
        <v>1.3351891223421619E-2</v>
      </c>
      <c r="E64" s="53">
        <v>1.3224368636658321</v>
      </c>
      <c r="F64" s="53">
        <v>1.3351891223421619E-2</v>
      </c>
      <c r="G64" s="53">
        <v>1.3224368636658321</v>
      </c>
    </row>
    <row r="65" spans="1:7" ht="30" hidden="1" customHeight="1" x14ac:dyDescent="0.45">
      <c r="A65" s="51" t="s">
        <v>16</v>
      </c>
      <c r="B65" s="52">
        <v>79470.447150000007</v>
      </c>
      <c r="C65" s="52"/>
      <c r="D65" s="53">
        <v>1.0904333484188733E-2</v>
      </c>
      <c r="E65" s="53">
        <v>1.0800187278264428</v>
      </c>
      <c r="F65" s="53">
        <v>1.0904333484188733E-2</v>
      </c>
      <c r="G65" s="53">
        <v>1.0800187278264428</v>
      </c>
    </row>
    <row r="66" spans="1:7" ht="30" hidden="1" customHeight="1" x14ac:dyDescent="0.45">
      <c r="A66" s="51" t="e">
        <v>#REF!</v>
      </c>
      <c r="B66" s="52" t="e">
        <v>#REF!</v>
      </c>
      <c r="C66" s="52"/>
      <c r="D66" s="53" t="e">
        <v>#REF!</v>
      </c>
      <c r="E66" s="53" t="e">
        <v>#REF!</v>
      </c>
      <c r="F66" s="53" t="e">
        <v>#REF!</v>
      </c>
      <c r="G66" s="53" t="e">
        <v>#REF!</v>
      </c>
    </row>
    <row r="67" spans="1:7" ht="18.5" hidden="1" x14ac:dyDescent="0.45">
      <c r="A67" s="54"/>
      <c r="B67" s="55"/>
      <c r="C67" s="55"/>
      <c r="D67" s="56"/>
      <c r="E67" s="56"/>
      <c r="F67" s="56"/>
      <c r="G67" s="56"/>
    </row>
    <row r="68" spans="1:7" ht="18.5" hidden="1" x14ac:dyDescent="0.35">
      <c r="A68" s="60" t="s">
        <v>11</v>
      </c>
      <c r="B68" s="61" t="e">
        <v>#REF!</v>
      </c>
      <c r="C68" s="61"/>
      <c r="D68" s="62"/>
      <c r="E68" s="62"/>
      <c r="F68" s="62"/>
      <c r="G68" s="62"/>
    </row>
    <row r="69" spans="1:7" ht="16" hidden="1" thickBot="1" x14ac:dyDescent="0.4">
      <c r="A69" s="32" t="s">
        <v>13</v>
      </c>
      <c r="B69" s="33"/>
      <c r="C69" s="33"/>
      <c r="D69" s="33"/>
      <c r="E69" s="38">
        <v>1.009643E-2</v>
      </c>
      <c r="F69" s="38"/>
      <c r="G69" s="38">
        <v>1.009643E-2</v>
      </c>
    </row>
    <row r="70" spans="1:7" ht="15" hidden="1" thickTop="1" x14ac:dyDescent="0.35"/>
    <row r="71" spans="1:7" ht="15" hidden="1" thickBot="1" x14ac:dyDescent="0.4">
      <c r="A71" s="117" t="s">
        <v>22</v>
      </c>
      <c r="B71" s="123"/>
      <c r="C71" s="123"/>
      <c r="D71" s="123"/>
      <c r="E71" s="123"/>
      <c r="F71" s="123"/>
      <c r="G71" s="123"/>
    </row>
    <row r="72" spans="1:7" ht="15" hidden="1" thickTop="1" x14ac:dyDescent="0.35"/>
    <row r="73" spans="1:7" ht="18.5" hidden="1" x14ac:dyDescent="0.45">
      <c r="A73" s="27" t="s">
        <v>3</v>
      </c>
      <c r="B73" s="26" t="s">
        <v>9</v>
      </c>
      <c r="C73" s="26"/>
      <c r="D73" s="118">
        <v>2018</v>
      </c>
      <c r="E73" s="119"/>
      <c r="F73" s="119"/>
      <c r="G73" s="120"/>
    </row>
    <row r="74" spans="1:7" ht="18.5" hidden="1" x14ac:dyDescent="0.45">
      <c r="A74" s="27"/>
      <c r="B74" s="26"/>
      <c r="C74" s="26"/>
      <c r="D74" s="118" t="s">
        <v>7</v>
      </c>
      <c r="E74" s="119"/>
      <c r="F74" s="121" t="s">
        <v>14</v>
      </c>
      <c r="G74" s="122"/>
    </row>
    <row r="75" spans="1:7" ht="18.5" hidden="1" x14ac:dyDescent="0.45">
      <c r="A75" s="24" t="s">
        <v>12</v>
      </c>
      <c r="B75" s="25" t="s">
        <v>8</v>
      </c>
      <c r="C75" s="25"/>
      <c r="D75" s="34" t="s">
        <v>4</v>
      </c>
      <c r="E75" s="35" t="s">
        <v>5</v>
      </c>
      <c r="F75" s="34" t="s">
        <v>4</v>
      </c>
      <c r="G75" s="36" t="s">
        <v>5</v>
      </c>
    </row>
    <row r="76" spans="1:7" ht="18.5" hidden="1" x14ac:dyDescent="0.45">
      <c r="A76" s="20"/>
      <c r="D76" s="21"/>
      <c r="E76" s="22"/>
      <c r="F76" s="22"/>
      <c r="G76" s="22"/>
    </row>
    <row r="77" spans="1:7" ht="18.5" hidden="1" x14ac:dyDescent="0.45">
      <c r="A77" s="51" t="s">
        <v>0</v>
      </c>
      <c r="B77" s="52">
        <v>17.915740000000003</v>
      </c>
      <c r="C77" s="52"/>
      <c r="D77" s="53">
        <v>8.6124280360440064E-3</v>
      </c>
      <c r="E77" s="53">
        <v>0.85301715913882492</v>
      </c>
      <c r="F77" s="53">
        <v>8.6124280360440064E-3</v>
      </c>
      <c r="G77" s="53">
        <v>0.85301715913882492</v>
      </c>
    </row>
    <row r="78" spans="1:7" ht="18.5" hidden="1" x14ac:dyDescent="0.45">
      <c r="A78" s="51" t="s">
        <v>17</v>
      </c>
      <c r="B78" s="52">
        <v>78.829440000000005</v>
      </c>
      <c r="C78" s="52"/>
      <c r="D78" s="53">
        <v>1.0917890452163403E-2</v>
      </c>
      <c r="E78" s="53">
        <v>1.0813614764984656</v>
      </c>
      <c r="F78" s="53">
        <v>1.0917890452163403E-2</v>
      </c>
      <c r="G78" s="53">
        <v>1.0813614764984656</v>
      </c>
    </row>
    <row r="79" spans="1:7" ht="18.5" hidden="1" x14ac:dyDescent="0.45">
      <c r="A79" s="51" t="s">
        <v>39</v>
      </c>
      <c r="B79" s="52">
        <v>18359.257280000002</v>
      </c>
      <c r="C79" s="52"/>
      <c r="D79" s="53">
        <v>9.8100930405744524E-3</v>
      </c>
      <c r="E79" s="53">
        <v>0.97163978164306108</v>
      </c>
      <c r="F79" s="53">
        <v>9.8100930405744524E-3</v>
      </c>
      <c r="G79" s="53">
        <v>0.97163978164306108</v>
      </c>
    </row>
    <row r="80" spans="1:7" ht="18.5" hidden="1" x14ac:dyDescent="0.45">
      <c r="A80" s="51" t="s">
        <v>19</v>
      </c>
      <c r="B80" s="52">
        <v>40562.116979999999</v>
      </c>
      <c r="C80" s="52"/>
      <c r="D80" s="53">
        <v>1.1371716743888927E-2</v>
      </c>
      <c r="E80" s="53">
        <v>1.1263106606878794</v>
      </c>
      <c r="F80" s="53">
        <v>1.1371716743888927E-2</v>
      </c>
      <c r="G80" s="53">
        <v>1.1263106606878794</v>
      </c>
    </row>
    <row r="81" spans="1:15" ht="18.5" hidden="1" x14ac:dyDescent="0.45">
      <c r="A81" s="54"/>
      <c r="B81" s="55"/>
      <c r="C81" s="55"/>
      <c r="D81" s="56"/>
      <c r="E81" s="56"/>
      <c r="F81" s="56"/>
      <c r="G81" s="56"/>
    </row>
    <row r="82" spans="1:15" ht="18.5" hidden="1" x14ac:dyDescent="0.35">
      <c r="A82" s="30" t="s">
        <v>11</v>
      </c>
      <c r="B82" s="31">
        <v>59018.119440000002</v>
      </c>
      <c r="C82" s="31"/>
      <c r="D82" s="37"/>
      <c r="E82" s="37"/>
      <c r="F82" s="37"/>
      <c r="G82" s="37"/>
    </row>
    <row r="83" spans="1:15" ht="16" hidden="1" thickBot="1" x14ac:dyDescent="0.4">
      <c r="A83" s="32" t="s">
        <v>13</v>
      </c>
      <c r="B83" s="33"/>
      <c r="C83" s="33"/>
      <c r="D83" s="33"/>
      <c r="E83" s="38">
        <v>1.009643E-2</v>
      </c>
      <c r="F83" s="38"/>
      <c r="G83" s="38">
        <v>1.009643E-2</v>
      </c>
    </row>
    <row r="85" spans="1:15" ht="23.25" customHeight="1" thickBot="1" x14ac:dyDescent="0.4">
      <c r="A85" s="117" t="s">
        <v>75</v>
      </c>
      <c r="B85" s="123"/>
      <c r="C85" s="123"/>
      <c r="D85" s="123"/>
      <c r="E85" s="123"/>
      <c r="F85" s="123"/>
      <c r="G85" s="123"/>
    </row>
    <row r="86" spans="1:15" ht="8" customHeight="1" thickTop="1" x14ac:dyDescent="0.35"/>
    <row r="87" spans="1:15" ht="9.75" customHeight="1" x14ac:dyDescent="0.35"/>
    <row r="88" spans="1:15" ht="18.5" x14ac:dyDescent="0.45">
      <c r="A88" s="27" t="s">
        <v>29</v>
      </c>
      <c r="B88" s="26" t="s">
        <v>9</v>
      </c>
      <c r="C88" s="26"/>
      <c r="D88" s="118">
        <v>2025</v>
      </c>
      <c r="E88" s="119"/>
      <c r="F88" s="119"/>
      <c r="G88" s="120"/>
    </row>
    <row r="89" spans="1:15" ht="18.5" x14ac:dyDescent="0.45">
      <c r="A89" s="27"/>
      <c r="B89" s="26"/>
      <c r="C89" s="26"/>
      <c r="D89" s="118" t="s">
        <v>7</v>
      </c>
      <c r="E89" s="119"/>
      <c r="F89" s="121" t="s">
        <v>14</v>
      </c>
      <c r="G89" s="122"/>
      <c r="I89" s="71" t="s">
        <v>32</v>
      </c>
    </row>
    <row r="90" spans="1:15" ht="22.5" customHeight="1" thickBot="1" x14ac:dyDescent="0.5">
      <c r="A90" s="24" t="s">
        <v>12</v>
      </c>
      <c r="B90" s="25" t="s">
        <v>8</v>
      </c>
      <c r="C90" s="25" t="s">
        <v>48</v>
      </c>
      <c r="D90" s="34" t="s">
        <v>30</v>
      </c>
      <c r="E90" s="35" t="s">
        <v>5</v>
      </c>
      <c r="F90" s="34" t="s">
        <v>30</v>
      </c>
      <c r="G90" s="36" t="s">
        <v>5</v>
      </c>
      <c r="I90" s="117" t="s">
        <v>76</v>
      </c>
      <c r="J90" s="123"/>
      <c r="K90" s="123"/>
      <c r="L90" s="123"/>
      <c r="M90" s="123"/>
      <c r="N90" s="123"/>
      <c r="O90" s="123"/>
    </row>
    <row r="91" spans="1:15" ht="19" thickTop="1" x14ac:dyDescent="0.45">
      <c r="A91" s="20"/>
      <c r="D91" s="21"/>
      <c r="E91" s="22"/>
      <c r="F91" s="22"/>
      <c r="G91" s="22"/>
      <c r="I91" s="73" t="s">
        <v>29</v>
      </c>
      <c r="J91" s="74"/>
      <c r="K91" s="101"/>
      <c r="L91" s="77" t="s">
        <v>36</v>
      </c>
      <c r="M91" s="78"/>
      <c r="N91" s="75" t="s">
        <v>14</v>
      </c>
      <c r="O91" s="76"/>
    </row>
    <row r="92" spans="1:15" ht="18.5" x14ac:dyDescent="0.45">
      <c r="A92" s="51" t="s">
        <v>24</v>
      </c>
      <c r="B92" s="102">
        <v>60938.291590000001</v>
      </c>
      <c r="C92" s="102">
        <v>658.14003999999909</v>
      </c>
      <c r="D92" s="106">
        <v>1.1484563928369416E-2</v>
      </c>
      <c r="E92" s="106">
        <v>1.1374875999109997</v>
      </c>
      <c r="F92" s="106">
        <v>1.1484563928369416E-2</v>
      </c>
      <c r="G92" s="106">
        <v>1.1374875999109997</v>
      </c>
      <c r="I92" s="72" t="s">
        <v>34</v>
      </c>
      <c r="J92" s="25" t="s">
        <v>8</v>
      </c>
      <c r="K92" s="25" t="s">
        <v>48</v>
      </c>
      <c r="L92" s="34" t="s">
        <v>30</v>
      </c>
      <c r="M92" s="35" t="s">
        <v>5</v>
      </c>
      <c r="N92" s="34" t="s">
        <v>30</v>
      </c>
      <c r="O92" s="36" t="s">
        <v>5</v>
      </c>
    </row>
    <row r="93" spans="1:15" ht="18.5" x14ac:dyDescent="0.45">
      <c r="A93" s="51" t="s">
        <v>25</v>
      </c>
      <c r="B93" s="102">
        <v>101757.94862000001</v>
      </c>
      <c r="C93" s="102">
        <v>1017.7033699999999</v>
      </c>
      <c r="D93" s="106">
        <v>1.0175930058542353E-2</v>
      </c>
      <c r="E93" s="106">
        <v>1.007874076138036</v>
      </c>
      <c r="F93" s="106">
        <v>1.0175930058542353E-2</v>
      </c>
      <c r="G93" s="106">
        <v>1.007874076138036</v>
      </c>
      <c r="I93" s="81" t="s">
        <v>24</v>
      </c>
      <c r="J93" s="102">
        <v>51645.519</v>
      </c>
      <c r="K93" s="102">
        <v>597.38856999999916</v>
      </c>
      <c r="L93" s="106">
        <v>1.1702801049961237E-2</v>
      </c>
      <c r="M93" s="106">
        <v>1.1591028759632105</v>
      </c>
      <c r="N93" s="106">
        <v>1.1702801049961237E-2</v>
      </c>
      <c r="O93" s="106">
        <v>1.1591028759632105</v>
      </c>
    </row>
    <row r="94" spans="1:15" ht="18.5" x14ac:dyDescent="0.45">
      <c r="A94" s="51" t="s">
        <v>26</v>
      </c>
      <c r="B94" s="102">
        <v>74914.206839999999</v>
      </c>
      <c r="C94" s="102">
        <v>897.18837000000474</v>
      </c>
      <c r="D94" s="106">
        <v>1.213130846747601E-2</v>
      </c>
      <c r="E94" s="106">
        <v>1.2015443545368025</v>
      </c>
      <c r="F94" s="106">
        <v>1.213130846747601E-2</v>
      </c>
      <c r="G94" s="106">
        <v>1.2015443545368025</v>
      </c>
      <c r="I94" s="81" t="s">
        <v>25</v>
      </c>
      <c r="J94" s="102">
        <v>91716.304029999999</v>
      </c>
      <c r="K94" s="102">
        <v>921.40975000000003</v>
      </c>
      <c r="L94" s="106">
        <v>1.0149442983976333E-2</v>
      </c>
      <c r="M94" s="106">
        <v>1.0052506662232426</v>
      </c>
      <c r="N94" s="106">
        <v>0.11660724275095258</v>
      </c>
      <c r="O94" s="106">
        <v>1.0052506662232426</v>
      </c>
    </row>
    <row r="95" spans="1:15" ht="18.5" x14ac:dyDescent="0.45">
      <c r="A95" s="51" t="s">
        <v>27</v>
      </c>
      <c r="B95" s="102">
        <v>62281.892229999998</v>
      </c>
      <c r="C95" s="102">
        <v>820.62415999999644</v>
      </c>
      <c r="D95" s="106">
        <v>1.3351891223421619E-2</v>
      </c>
      <c r="E95" s="106">
        <v>1.3224368636658321</v>
      </c>
      <c r="F95" s="106">
        <v>1.3351891223421619E-2</v>
      </c>
      <c r="G95" s="106">
        <v>1.3224368636658321</v>
      </c>
      <c r="I95" s="81" t="s">
        <v>26</v>
      </c>
      <c r="J95" s="102">
        <v>74914.206839999999</v>
      </c>
      <c r="K95" s="102">
        <v>897.18837000000474</v>
      </c>
      <c r="L95" s="106">
        <v>1.213130846747601E-2</v>
      </c>
      <c r="M95" s="106">
        <v>1.2015443545368025</v>
      </c>
      <c r="N95" s="106">
        <v>0.1045551899607271</v>
      </c>
      <c r="O95" s="106">
        <v>1.2015443545368025</v>
      </c>
    </row>
    <row r="96" spans="1:15" ht="18.5" x14ac:dyDescent="0.45">
      <c r="A96" s="51" t="s">
        <v>28</v>
      </c>
      <c r="B96" s="102">
        <v>79470.447150000007</v>
      </c>
      <c r="C96" s="102">
        <v>857.22479000000658</v>
      </c>
      <c r="D96" s="106">
        <v>1.0904333484188733E-2</v>
      </c>
      <c r="E96" s="106">
        <v>1.0800187278264428</v>
      </c>
      <c r="F96" s="106">
        <v>1.0904333484188733E-2</v>
      </c>
      <c r="G96" s="106">
        <v>1.0800187278264428</v>
      </c>
      <c r="I96" s="81" t="s">
        <v>27</v>
      </c>
      <c r="J96" s="102">
        <v>62281.892229999998</v>
      </c>
      <c r="K96" s="102">
        <v>820.62415999999644</v>
      </c>
      <c r="L96" s="106">
        <v>1.3351891223421619E-2</v>
      </c>
      <c r="M96" s="106">
        <v>1.3224368636658321</v>
      </c>
      <c r="N96" s="106">
        <v>0.10867945373212273</v>
      </c>
      <c r="O96" s="106">
        <v>1.3224368636658321</v>
      </c>
    </row>
    <row r="97" spans="1:15" ht="18.5" x14ac:dyDescent="0.45">
      <c r="A97" s="51" t="s">
        <v>31</v>
      </c>
      <c r="B97" s="102">
        <v>40650.356599999999</v>
      </c>
      <c r="C97" s="102">
        <v>457.06693000000001</v>
      </c>
      <c r="D97" s="106">
        <v>1.1371722261278075E-2</v>
      </c>
      <c r="E97" s="106">
        <v>1.1263112071571906</v>
      </c>
      <c r="F97" s="106">
        <v>1.1371722261278075E-2</v>
      </c>
      <c r="G97" s="106">
        <v>1.1263112071571906</v>
      </c>
      <c r="I97" s="81" t="s">
        <v>28</v>
      </c>
      <c r="J97" s="102">
        <v>79470.447150000007</v>
      </c>
      <c r="K97" s="102">
        <v>857.22479000000658</v>
      </c>
      <c r="L97" s="106">
        <v>1.0904333484188733E-2</v>
      </c>
      <c r="M97" s="106">
        <v>1.0800187278264428</v>
      </c>
      <c r="N97" s="106">
        <v>0.12743582696072786</v>
      </c>
      <c r="O97" s="106">
        <v>1.0800187278264428</v>
      </c>
    </row>
    <row r="98" spans="1:15" ht="18.5" x14ac:dyDescent="0.45">
      <c r="A98" s="54"/>
      <c r="B98" s="55"/>
      <c r="C98" s="55"/>
      <c r="D98" s="56"/>
      <c r="E98" s="56"/>
      <c r="F98" s="56"/>
      <c r="G98" s="56"/>
      <c r="I98" s="81" t="s">
        <v>31</v>
      </c>
      <c r="J98" s="102">
        <v>40562.116979999999</v>
      </c>
      <c r="K98" s="102">
        <v>456.07456000000002</v>
      </c>
      <c r="L98" s="106">
        <v>1.1371716743888927E-2</v>
      </c>
      <c r="M98" s="106">
        <v>1.1263106606878794</v>
      </c>
      <c r="N98" s="106">
        <v>0.11640363703009449</v>
      </c>
      <c r="O98" s="106">
        <v>1.1263106606878794</v>
      </c>
    </row>
    <row r="99" spans="1:15" ht="18.5" x14ac:dyDescent="0.35">
      <c r="A99" s="60" t="s">
        <v>11</v>
      </c>
      <c r="B99" s="103">
        <v>420013.14303000004</v>
      </c>
      <c r="C99" s="103">
        <v>4707.9476600000071</v>
      </c>
      <c r="D99" s="62"/>
      <c r="E99" s="62"/>
      <c r="F99" s="62"/>
      <c r="G99" s="62"/>
      <c r="I99" s="79" t="s">
        <v>35</v>
      </c>
      <c r="J99" s="105">
        <v>400590.48622999998</v>
      </c>
      <c r="K99" s="105">
        <v>4549.9102000000066</v>
      </c>
      <c r="L99" s="80"/>
      <c r="M99" s="80"/>
      <c r="N99" s="80"/>
      <c r="O99" s="80"/>
    </row>
    <row r="100" spans="1:15" hidden="1" x14ac:dyDescent="0.35"/>
    <row r="101" spans="1:15" ht="15" hidden="1" thickBot="1" x14ac:dyDescent="0.4">
      <c r="A101" s="117" t="s">
        <v>23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</row>
    <row r="102" spans="1:15" ht="15" hidden="1" thickTop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</sheetData>
  <mergeCells count="26">
    <mergeCell ref="I90:O90"/>
    <mergeCell ref="A2:G2"/>
    <mergeCell ref="D73:G73"/>
    <mergeCell ref="A34:G34"/>
    <mergeCell ref="I2:O2"/>
    <mergeCell ref="D5:E5"/>
    <mergeCell ref="F5:G5"/>
    <mergeCell ref="D4:G4"/>
    <mergeCell ref="A35:G35"/>
    <mergeCell ref="I24:O24"/>
    <mergeCell ref="A101:O101"/>
    <mergeCell ref="D40:G40"/>
    <mergeCell ref="D41:E41"/>
    <mergeCell ref="F41:G41"/>
    <mergeCell ref="A37:G37"/>
    <mergeCell ref="D74:E74"/>
    <mergeCell ref="F74:G74"/>
    <mergeCell ref="A71:G71"/>
    <mergeCell ref="A51:G51"/>
    <mergeCell ref="D54:G54"/>
    <mergeCell ref="D55:E55"/>
    <mergeCell ref="A85:G85"/>
    <mergeCell ref="D89:E89"/>
    <mergeCell ref="F89:G89"/>
    <mergeCell ref="F55:G55"/>
    <mergeCell ref="D88:G88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9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H19" sqref="H19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7" width="2.7265625" style="1" customWidth="1"/>
    <col min="8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30" t="s">
        <v>78</v>
      </c>
      <c r="B3" s="131"/>
      <c r="C3" s="131"/>
      <c r="D3" s="131"/>
      <c r="E3" s="131"/>
      <c r="F3" s="131"/>
    </row>
    <row r="4" spans="1:11" ht="15" thickTop="1" x14ac:dyDescent="0.35">
      <c r="A4" s="82" t="s">
        <v>29</v>
      </c>
      <c r="B4" s="26"/>
      <c r="C4" s="118" t="s">
        <v>7</v>
      </c>
      <c r="D4" s="119"/>
      <c r="E4" s="121" t="s">
        <v>14</v>
      </c>
      <c r="F4" s="122"/>
    </row>
    <row r="5" spans="1:11" x14ac:dyDescent="0.35">
      <c r="A5" s="91" t="s">
        <v>12</v>
      </c>
      <c r="B5" s="85" t="s">
        <v>8</v>
      </c>
      <c r="C5" s="86" t="s">
        <v>30</v>
      </c>
      <c r="D5" s="87" t="s">
        <v>5</v>
      </c>
      <c r="E5" s="86" t="s">
        <v>30</v>
      </c>
      <c r="F5" s="23" t="s">
        <v>5</v>
      </c>
    </row>
    <row r="6" spans="1:11" x14ac:dyDescent="0.35">
      <c r="A6" t="s">
        <v>24</v>
      </c>
      <c r="B6" s="57">
        <v>60938.291590000001</v>
      </c>
      <c r="C6" s="108">
        <v>1.1484563928369416E-2</v>
      </c>
      <c r="D6" s="108">
        <v>1.1374875999109997</v>
      </c>
      <c r="E6" s="108">
        <v>1.1484563928369416E-2</v>
      </c>
      <c r="F6" s="108">
        <v>1.1374875999109997</v>
      </c>
      <c r="G6" s="112"/>
    </row>
    <row r="7" spans="1:11" x14ac:dyDescent="0.35">
      <c r="A7" t="s">
        <v>25</v>
      </c>
      <c r="B7" s="57">
        <v>101757.94862000001</v>
      </c>
      <c r="C7" s="108">
        <v>1.0175930058542353E-2</v>
      </c>
      <c r="D7" s="108">
        <v>1.007874076138036</v>
      </c>
      <c r="E7" s="108">
        <v>1.0175930058542353E-2</v>
      </c>
      <c r="F7" s="108">
        <v>1.007874076138036</v>
      </c>
      <c r="G7" s="112"/>
      <c r="I7" s="59"/>
      <c r="J7" s="59"/>
      <c r="K7" s="57"/>
    </row>
    <row r="8" spans="1:11" x14ac:dyDescent="0.35">
      <c r="A8" t="s">
        <v>26</v>
      </c>
      <c r="B8" s="57">
        <v>74914.206839999999</v>
      </c>
      <c r="C8" s="108">
        <v>1.213130846747601E-2</v>
      </c>
      <c r="D8" s="108">
        <v>1.2015443545368025</v>
      </c>
      <c r="E8" s="108">
        <v>1.213130846747601E-2</v>
      </c>
      <c r="F8" s="108">
        <v>1.2015443545368025</v>
      </c>
      <c r="G8" s="112"/>
      <c r="I8" s="59"/>
      <c r="J8" s="59"/>
      <c r="K8" s="57"/>
    </row>
    <row r="9" spans="1:11" x14ac:dyDescent="0.35">
      <c r="A9" t="s">
        <v>27</v>
      </c>
      <c r="B9" s="57">
        <v>62281.892229999998</v>
      </c>
      <c r="C9" s="108">
        <v>1.3351891223421619E-2</v>
      </c>
      <c r="D9" s="108">
        <v>1.3224368636658321</v>
      </c>
      <c r="E9" s="108">
        <v>1.3351891223421619E-2</v>
      </c>
      <c r="F9" s="108">
        <v>1.3224368636658321</v>
      </c>
      <c r="G9" s="112"/>
      <c r="I9" s="59"/>
      <c r="J9" s="59"/>
      <c r="K9" s="59"/>
    </row>
    <row r="10" spans="1:11" x14ac:dyDescent="0.35">
      <c r="A10" t="s">
        <v>28</v>
      </c>
      <c r="B10" s="57">
        <v>79470.447150000007</v>
      </c>
      <c r="C10" s="108">
        <v>1.0904333484188733E-2</v>
      </c>
      <c r="D10" s="108">
        <v>1.0800187278264428</v>
      </c>
      <c r="E10" s="108">
        <v>1.0904333484188733E-2</v>
      </c>
      <c r="F10" s="108">
        <v>1.0800187278264428</v>
      </c>
      <c r="G10" s="112"/>
    </row>
    <row r="11" spans="1:11" x14ac:dyDescent="0.35">
      <c r="A11" t="s">
        <v>31</v>
      </c>
      <c r="B11" s="57">
        <v>40650.356599999999</v>
      </c>
      <c r="C11" s="108">
        <v>1.1371722261278075E-2</v>
      </c>
      <c r="D11" s="108">
        <v>1.1263112071571906</v>
      </c>
      <c r="E11" s="108">
        <v>1.1371722261278075E-2</v>
      </c>
      <c r="F11" s="108">
        <v>1.1263112071571906</v>
      </c>
      <c r="G11" s="112"/>
      <c r="I11" s="57"/>
      <c r="J11" s="59"/>
    </row>
    <row r="12" spans="1:11" x14ac:dyDescent="0.35">
      <c r="A12" s="95" t="s">
        <v>11</v>
      </c>
      <c r="B12" s="96">
        <v>420013.14303000004</v>
      </c>
      <c r="C12" s="99">
        <v>1.1439062748853418E-2</v>
      </c>
      <c r="D12" s="99">
        <v>1.1329809396839694</v>
      </c>
      <c r="E12" s="99">
        <v>1.1439062748853418E-2</v>
      </c>
      <c r="F12" s="99">
        <v>1.1329809396839694</v>
      </c>
      <c r="G12" s="113"/>
      <c r="J12" s="59"/>
    </row>
    <row r="13" spans="1:11" x14ac:dyDescent="0.35">
      <c r="A13" s="93" t="s">
        <v>13</v>
      </c>
      <c r="B13" s="94"/>
      <c r="C13" s="94"/>
      <c r="D13" s="97">
        <v>1.009643E-2</v>
      </c>
      <c r="E13" s="98"/>
      <c r="F13" s="97">
        <v>1.009643E-2</v>
      </c>
      <c r="I13" s="59"/>
    </row>
    <row r="14" spans="1:11" x14ac:dyDescent="0.35">
      <c r="I14" s="59"/>
      <c r="J14" s="57"/>
    </row>
    <row r="15" spans="1:11" ht="15" thickBot="1" x14ac:dyDescent="0.4">
      <c r="A15" s="132" t="s">
        <v>76</v>
      </c>
      <c r="B15" s="133"/>
      <c r="C15" s="133"/>
      <c r="D15" s="133"/>
      <c r="E15" s="133"/>
      <c r="F15" s="133"/>
      <c r="I15" s="59"/>
    </row>
    <row r="16" spans="1:11" ht="15" thickTop="1" x14ac:dyDescent="0.35">
      <c r="A16" s="73" t="s">
        <v>29</v>
      </c>
      <c r="B16" s="74"/>
      <c r="C16" s="77" t="s">
        <v>36</v>
      </c>
      <c r="D16" s="78"/>
      <c r="E16" s="75" t="s">
        <v>14</v>
      </c>
      <c r="F16" s="76"/>
      <c r="I16" s="59"/>
    </row>
    <row r="17" spans="1:11" x14ac:dyDescent="0.35">
      <c r="A17" s="84" t="s">
        <v>34</v>
      </c>
      <c r="B17" s="85" t="s">
        <v>8</v>
      </c>
      <c r="C17" s="86" t="s">
        <v>30</v>
      </c>
      <c r="D17" s="87" t="s">
        <v>5</v>
      </c>
      <c r="E17" s="86" t="s">
        <v>30</v>
      </c>
      <c r="F17" s="23" t="s">
        <v>5</v>
      </c>
      <c r="I17" s="59"/>
    </row>
    <row r="18" spans="1:11" x14ac:dyDescent="0.35">
      <c r="A18" s="83" t="s">
        <v>24</v>
      </c>
      <c r="B18" s="57">
        <v>51645.519</v>
      </c>
      <c r="C18" s="108">
        <v>1.1702801049961237E-2</v>
      </c>
      <c r="D18" s="108">
        <v>1.1591028759632105</v>
      </c>
      <c r="E18" s="108">
        <v>1.1702801049961237E-2</v>
      </c>
      <c r="F18" s="108">
        <v>1.1591028759632105</v>
      </c>
      <c r="G18" s="112"/>
      <c r="I18" s="59"/>
    </row>
    <row r="19" spans="1:11" x14ac:dyDescent="0.35">
      <c r="A19" s="83" t="s">
        <v>25</v>
      </c>
      <c r="B19" s="57">
        <v>91716.304029999999</v>
      </c>
      <c r="C19" s="108">
        <v>1.0149442983976333E-2</v>
      </c>
      <c r="D19" s="108">
        <v>1.0052506662232426</v>
      </c>
      <c r="E19" s="108">
        <v>0.11660724275095258</v>
      </c>
      <c r="F19" s="108">
        <v>1.0052506662232426</v>
      </c>
      <c r="G19" s="112"/>
      <c r="I19" s="59"/>
    </row>
    <row r="20" spans="1:11" x14ac:dyDescent="0.35">
      <c r="A20" s="83" t="s">
        <v>26</v>
      </c>
      <c r="B20" s="57">
        <v>74914.206839999999</v>
      </c>
      <c r="C20" s="108">
        <v>1.213130846747601E-2</v>
      </c>
      <c r="D20" s="108">
        <v>1.2015443545368025</v>
      </c>
      <c r="E20" s="108">
        <v>0.1045551899607271</v>
      </c>
      <c r="F20" s="108">
        <v>1.2015443545368025</v>
      </c>
      <c r="G20" s="112"/>
      <c r="I20" s="59"/>
    </row>
    <row r="21" spans="1:11" x14ac:dyDescent="0.35">
      <c r="A21" s="83" t="s">
        <v>27</v>
      </c>
      <c r="B21" s="57">
        <v>62281.892229999998</v>
      </c>
      <c r="C21" s="108">
        <v>1.3351891223421619E-2</v>
      </c>
      <c r="D21" s="108">
        <v>1.3224368636658321</v>
      </c>
      <c r="E21" s="108">
        <v>0.10867945373212273</v>
      </c>
      <c r="F21" s="108">
        <v>1.3224368636658321</v>
      </c>
      <c r="G21" s="112"/>
      <c r="I21" s="59"/>
    </row>
    <row r="22" spans="1:11" x14ac:dyDescent="0.35">
      <c r="A22" s="83" t="s">
        <v>28</v>
      </c>
      <c r="B22" s="57">
        <v>79470.447150000007</v>
      </c>
      <c r="C22" s="108">
        <v>1.0904333484188733E-2</v>
      </c>
      <c r="D22" s="108">
        <v>1.0800187278264428</v>
      </c>
      <c r="E22" s="108">
        <v>0.12743582696072786</v>
      </c>
      <c r="F22" s="108">
        <v>1.0800187278264428</v>
      </c>
      <c r="G22" s="112"/>
      <c r="I22" s="59"/>
    </row>
    <row r="23" spans="1:11" x14ac:dyDescent="0.35">
      <c r="A23" s="83" t="s">
        <v>31</v>
      </c>
      <c r="B23" s="57">
        <v>40562.116979999999</v>
      </c>
      <c r="C23" s="108">
        <v>1.1371716743888927E-2</v>
      </c>
      <c r="D23" s="108">
        <v>1.1263106606878794</v>
      </c>
      <c r="E23" s="108">
        <v>0.11640363703009449</v>
      </c>
      <c r="F23" s="108">
        <v>1.1263106606878794</v>
      </c>
      <c r="G23" s="112"/>
      <c r="I23" s="59"/>
    </row>
    <row r="24" spans="1:11" x14ac:dyDescent="0.35">
      <c r="A24" s="95" t="s">
        <v>35</v>
      </c>
      <c r="B24" s="96">
        <v>400590.48622999998</v>
      </c>
      <c r="C24" s="99">
        <v>1.1491756183385306E-2</v>
      </c>
      <c r="D24" s="99">
        <v>1.1381999561612675</v>
      </c>
      <c r="E24" s="99">
        <v>1.1491756183385306E-2</v>
      </c>
      <c r="F24" s="99">
        <v>1.1381999561612675</v>
      </c>
      <c r="G24" s="113"/>
      <c r="I24" s="59"/>
      <c r="K24" s="57"/>
    </row>
    <row r="25" spans="1:11" x14ac:dyDescent="0.35">
      <c r="A25" s="93" t="s">
        <v>13</v>
      </c>
      <c r="B25" s="94"/>
      <c r="C25" s="94"/>
      <c r="D25" s="97">
        <v>1.009643E-2</v>
      </c>
      <c r="E25" s="98"/>
      <c r="F25" s="97">
        <v>1.009643E-2</v>
      </c>
      <c r="I25" s="57"/>
    </row>
    <row r="27" spans="1:11" ht="15" thickBot="1" x14ac:dyDescent="0.4">
      <c r="A27" s="134" t="s">
        <v>79</v>
      </c>
      <c r="B27" s="135"/>
      <c r="C27" s="135"/>
      <c r="D27" s="135"/>
      <c r="E27" s="135"/>
      <c r="F27" s="135"/>
      <c r="I27" s="57"/>
    </row>
    <row r="28" spans="1:11" ht="15" thickTop="1" x14ac:dyDescent="0.35">
      <c r="A28" s="73" t="s">
        <v>29</v>
      </c>
      <c r="B28" s="74"/>
      <c r="C28" s="77" t="s">
        <v>36</v>
      </c>
      <c r="D28" s="78"/>
      <c r="E28" s="75" t="s">
        <v>14</v>
      </c>
      <c r="F28" s="76"/>
    </row>
    <row r="29" spans="1:11" x14ac:dyDescent="0.35">
      <c r="A29" s="84" t="s">
        <v>34</v>
      </c>
      <c r="B29" s="85" t="s">
        <v>8</v>
      </c>
      <c r="C29" s="86" t="s">
        <v>30</v>
      </c>
      <c r="D29" s="87" t="s">
        <v>5</v>
      </c>
      <c r="E29" s="86" t="s">
        <v>30</v>
      </c>
      <c r="F29" s="23" t="s">
        <v>5</v>
      </c>
    </row>
    <row r="30" spans="1:11" x14ac:dyDescent="0.35">
      <c r="A30" s="88" t="s">
        <v>24</v>
      </c>
      <c r="B30" s="89">
        <v>9196.0274100000006</v>
      </c>
      <c r="C30" s="109">
        <v>1.0269382424577866E-2</v>
      </c>
      <c r="D30" s="109">
        <v>1.0171300573150972</v>
      </c>
      <c r="E30" s="109">
        <v>1.0269382424577866E-2</v>
      </c>
      <c r="F30" s="109">
        <v>1.0171300573150972</v>
      </c>
      <c r="G30" s="112"/>
    </row>
    <row r="31" spans="1:11" x14ac:dyDescent="0.35">
      <c r="A31" s="88" t="s">
        <v>25</v>
      </c>
      <c r="B31" s="89">
        <v>9847.1002100000005</v>
      </c>
      <c r="C31" s="109">
        <v>1.0455816576722565E-2</v>
      </c>
      <c r="D31" s="109">
        <v>1.0355954111227994</v>
      </c>
      <c r="E31" s="109">
        <v>1.0455816576722565E-2</v>
      </c>
      <c r="F31" s="109">
        <v>1.0355954111227994</v>
      </c>
      <c r="G31" s="112"/>
      <c r="I31" s="59"/>
    </row>
    <row r="32" spans="1:11" x14ac:dyDescent="0.35">
      <c r="A32" s="95" t="s">
        <v>41</v>
      </c>
      <c r="B32" s="96">
        <v>19043.127619999999</v>
      </c>
      <c r="C32" s="99">
        <v>1.0365786535045895E-2</v>
      </c>
      <c r="D32" s="99">
        <v>1.0266783937536232</v>
      </c>
      <c r="E32" s="99">
        <v>1.0365786535045895E-2</v>
      </c>
      <c r="F32" s="99">
        <v>1.0266783937536232</v>
      </c>
      <c r="I32" s="59"/>
    </row>
    <row r="33" spans="1:10" x14ac:dyDescent="0.35">
      <c r="A33" s="93" t="s">
        <v>13</v>
      </c>
      <c r="B33" s="94"/>
      <c r="C33" s="94"/>
      <c r="D33" s="97">
        <v>1.009643E-2</v>
      </c>
      <c r="E33" s="98"/>
      <c r="F33" s="97">
        <v>1.009643E-2</v>
      </c>
      <c r="I33" s="59"/>
    </row>
    <row r="34" spans="1:10" x14ac:dyDescent="0.35">
      <c r="A34" s="88"/>
      <c r="B34" s="89"/>
      <c r="C34" s="90"/>
      <c r="D34" s="90"/>
      <c r="E34" s="90"/>
      <c r="F34" s="90"/>
    </row>
    <row r="35" spans="1:10" ht="15" thickBot="1" x14ac:dyDescent="0.4">
      <c r="A35" s="128" t="s">
        <v>80</v>
      </c>
      <c r="B35" s="129"/>
      <c r="C35" s="129"/>
      <c r="D35" s="129"/>
      <c r="E35" s="129"/>
      <c r="F35" s="129"/>
    </row>
    <row r="36" spans="1:10" ht="15" thickTop="1" x14ac:dyDescent="0.35">
      <c r="A36" s="73" t="s">
        <v>29</v>
      </c>
      <c r="B36" s="74"/>
      <c r="C36" s="77" t="s">
        <v>36</v>
      </c>
      <c r="D36" s="78"/>
      <c r="E36" s="75" t="s">
        <v>14</v>
      </c>
      <c r="F36" s="76"/>
      <c r="J36" s="92" t="s">
        <v>42</v>
      </c>
    </row>
    <row r="37" spans="1:10" x14ac:dyDescent="0.35">
      <c r="A37" s="84" t="s">
        <v>34</v>
      </c>
      <c r="B37" s="85" t="s">
        <v>8</v>
      </c>
      <c r="C37" s="86" t="s">
        <v>30</v>
      </c>
      <c r="D37" s="87" t="s">
        <v>5</v>
      </c>
      <c r="E37" s="86" t="s">
        <v>30</v>
      </c>
      <c r="F37" s="23" t="s">
        <v>5</v>
      </c>
    </row>
    <row r="38" spans="1:10" x14ac:dyDescent="0.35">
      <c r="A38" s="88" t="s">
        <v>0</v>
      </c>
      <c r="B38" s="57">
        <v>17.915740000000003</v>
      </c>
      <c r="C38" s="109">
        <v>8.6124280360440064E-3</v>
      </c>
      <c r="D38" s="109">
        <v>0.85301715913882492</v>
      </c>
      <c r="E38" s="109">
        <v>8.6124280360440064E-3</v>
      </c>
      <c r="F38" s="109">
        <v>0.85301715913882492</v>
      </c>
    </row>
    <row r="39" spans="1:10" x14ac:dyDescent="0.35">
      <c r="A39" s="88" t="s">
        <v>17</v>
      </c>
      <c r="B39" s="57">
        <v>78.829440000000005</v>
      </c>
      <c r="C39" s="109">
        <v>1.0917890452163403E-2</v>
      </c>
      <c r="D39" s="109">
        <v>1.0813614764984656</v>
      </c>
      <c r="E39" s="109">
        <v>1.0917890452163403E-2</v>
      </c>
      <c r="F39" s="109">
        <v>1.0813614764984656</v>
      </c>
    </row>
    <row r="40" spans="1:10" x14ac:dyDescent="0.35">
      <c r="A40" s="88" t="s">
        <v>2</v>
      </c>
      <c r="B40" s="57">
        <v>194.54438000000002</v>
      </c>
      <c r="C40" s="109">
        <v>8.4962412996785197E-3</v>
      </c>
      <c r="D40" s="109">
        <v>0.84150945430003665</v>
      </c>
      <c r="E40" s="109">
        <v>8.4962412996785197E-3</v>
      </c>
      <c r="F40" s="109">
        <v>0.84150945430003665</v>
      </c>
    </row>
    <row r="41" spans="1:10" x14ac:dyDescent="0.35">
      <c r="A41" s="88" t="s">
        <v>10</v>
      </c>
      <c r="B41" s="57">
        <v>88.239620000000002</v>
      </c>
      <c r="C41" s="109">
        <v>1.1374258502753642E-2</v>
      </c>
      <c r="D41" s="109">
        <v>1.1265624089657078</v>
      </c>
      <c r="E41" s="109">
        <v>1.1374258502753642E-2</v>
      </c>
      <c r="F41" s="109">
        <v>1.1265624089657078</v>
      </c>
    </row>
    <row r="42" spans="1:10" x14ac:dyDescent="0.35">
      <c r="A42" s="95" t="s">
        <v>45</v>
      </c>
      <c r="B42" s="96">
        <v>379.52918000000005</v>
      </c>
      <c r="C42" s="99">
        <v>9.6738423533836455E-3</v>
      </c>
      <c r="D42" s="99">
        <v>0.95814484460186855</v>
      </c>
      <c r="E42" s="99">
        <v>9.6738423533836455E-3</v>
      </c>
      <c r="F42" s="99">
        <v>0.95814484460186855</v>
      </c>
    </row>
    <row r="43" spans="1:10" x14ac:dyDescent="0.35">
      <c r="A43" s="93" t="s">
        <v>13</v>
      </c>
      <c r="B43" s="94"/>
      <c r="C43" s="94"/>
      <c r="D43" s="97">
        <v>1.009643E-2</v>
      </c>
      <c r="E43" s="98"/>
      <c r="F43" s="97">
        <v>1.009643E-2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43"/>
  <sheetViews>
    <sheetView showGridLines="0" workbookViewId="0">
      <selection activeCell="F17" sqref="F17"/>
    </sheetView>
  </sheetViews>
  <sheetFormatPr defaultRowHeight="14.5" x14ac:dyDescent="0.35"/>
  <cols>
    <col min="1" max="1" width="42.6328125" customWidth="1"/>
    <col min="2" max="2" width="23.453125" customWidth="1"/>
    <col min="3" max="3" width="21.54296875" customWidth="1"/>
    <col min="4" max="4" width="21.36328125" customWidth="1"/>
    <col min="5" max="5" width="14.7265625" customWidth="1"/>
    <col min="6" max="6" width="10.90625" customWidth="1"/>
    <col min="7" max="7" width="19.54296875" customWidth="1"/>
  </cols>
  <sheetData>
    <row r="2" spans="1:7" x14ac:dyDescent="0.35">
      <c r="B2" s="44" t="s">
        <v>81</v>
      </c>
      <c r="C2" s="44" t="s">
        <v>82</v>
      </c>
      <c r="D2" s="44" t="s">
        <v>83</v>
      </c>
      <c r="E2" s="39"/>
      <c r="F2" s="39"/>
      <c r="G2" s="39"/>
    </row>
    <row r="3" spans="1:7" x14ac:dyDescent="0.35">
      <c r="A3" s="40"/>
      <c r="B3" s="63"/>
      <c r="C3" s="64"/>
      <c r="D3" s="64"/>
      <c r="E3" s="42"/>
      <c r="F3" s="43"/>
      <c r="G3" s="42"/>
    </row>
    <row r="4" spans="1:7" x14ac:dyDescent="0.35">
      <c r="A4" s="40" t="s">
        <v>40</v>
      </c>
      <c r="B4" s="40">
        <v>20614981.48</v>
      </c>
      <c r="C4" s="41">
        <v>0</v>
      </c>
      <c r="D4" s="41">
        <v>0</v>
      </c>
      <c r="E4" s="65"/>
      <c r="F4" s="43"/>
      <c r="G4" s="65"/>
    </row>
    <row r="5" spans="1:7" x14ac:dyDescent="0.35">
      <c r="A5" s="40" t="s">
        <v>43</v>
      </c>
      <c r="B5" s="40">
        <v>31030537.52</v>
      </c>
      <c r="C5" s="41">
        <v>0</v>
      </c>
      <c r="D5" s="41">
        <v>0</v>
      </c>
      <c r="E5" s="65"/>
      <c r="F5" s="43"/>
      <c r="G5" s="65"/>
    </row>
    <row r="6" spans="1:7" x14ac:dyDescent="0.35">
      <c r="A6" s="40" t="s">
        <v>67</v>
      </c>
      <c r="B6" s="41">
        <v>18231514.449999999</v>
      </c>
      <c r="C6" s="41">
        <v>0</v>
      </c>
      <c r="D6" s="41">
        <v>0</v>
      </c>
      <c r="E6" s="65"/>
      <c r="F6" s="43"/>
      <c r="G6" s="65"/>
    </row>
    <row r="7" spans="1:7" x14ac:dyDescent="0.35">
      <c r="A7" s="40" t="s">
        <v>37</v>
      </c>
      <c r="B7" s="41">
        <v>13792513.640000001</v>
      </c>
      <c r="C7" s="41">
        <v>0</v>
      </c>
      <c r="D7" s="41">
        <v>0</v>
      </c>
      <c r="E7" s="65"/>
      <c r="F7" s="43"/>
      <c r="G7" s="65"/>
    </row>
    <row r="8" spans="1:7" x14ac:dyDescent="0.35">
      <c r="A8" s="40" t="s">
        <v>38</v>
      </c>
      <c r="B8" s="41">
        <v>13823531.779999999</v>
      </c>
      <c r="C8" s="41">
        <v>0</v>
      </c>
      <c r="D8" s="41">
        <v>0</v>
      </c>
      <c r="E8" s="65"/>
      <c r="F8" s="43"/>
      <c r="G8" s="65"/>
    </row>
    <row r="9" spans="1:7" x14ac:dyDescent="0.35">
      <c r="A9" s="40" t="s">
        <v>33</v>
      </c>
      <c r="B9" s="41">
        <v>9204229.2599999998</v>
      </c>
      <c r="C9" s="41">
        <v>0</v>
      </c>
      <c r="D9" s="41">
        <v>0</v>
      </c>
      <c r="E9" s="65"/>
      <c r="F9" s="43"/>
      <c r="G9" s="65"/>
    </row>
    <row r="10" spans="1:7" x14ac:dyDescent="0.35">
      <c r="A10" s="40" t="s">
        <v>39</v>
      </c>
      <c r="B10" s="41">
        <v>18359257.280000001</v>
      </c>
      <c r="C10" s="41">
        <v>0</v>
      </c>
      <c r="D10" s="41">
        <v>0</v>
      </c>
      <c r="E10" s="65"/>
      <c r="F10" s="43"/>
      <c r="G10" s="65"/>
    </row>
    <row r="11" spans="1:7" x14ac:dyDescent="0.35">
      <c r="A11" s="40" t="s">
        <v>69</v>
      </c>
      <c r="B11" s="41">
        <v>9193850.3800000008</v>
      </c>
      <c r="C11" s="41">
        <v>0</v>
      </c>
      <c r="D11" s="41">
        <v>0</v>
      </c>
      <c r="E11" s="65"/>
      <c r="F11" s="43"/>
      <c r="G11" s="65"/>
    </row>
    <row r="12" spans="1:7" x14ac:dyDescent="0.35">
      <c r="A12" s="40" t="s">
        <v>68</v>
      </c>
      <c r="B12" s="41">
        <v>9111407.2400000002</v>
      </c>
      <c r="C12" s="41">
        <v>0</v>
      </c>
      <c r="D12" s="41">
        <v>0</v>
      </c>
      <c r="E12" s="65"/>
      <c r="F12" s="43"/>
      <c r="G12" s="65"/>
    </row>
    <row r="13" spans="1:7" x14ac:dyDescent="0.35">
      <c r="A13" s="40" t="s">
        <v>6</v>
      </c>
      <c r="B13" s="41">
        <v>27480128.190000001</v>
      </c>
      <c r="C13" s="41">
        <v>0</v>
      </c>
      <c r="D13" s="41">
        <v>0</v>
      </c>
      <c r="E13" s="65"/>
      <c r="F13" s="43"/>
      <c r="G13" s="65"/>
    </row>
    <row r="14" spans="1:7" x14ac:dyDescent="0.35">
      <c r="A14" s="40" t="s">
        <v>46</v>
      </c>
      <c r="B14" s="41">
        <v>36258871.520000003</v>
      </c>
      <c r="C14" s="41">
        <v>0</v>
      </c>
      <c r="D14" s="41">
        <v>0</v>
      </c>
      <c r="E14" s="65"/>
      <c r="F14" s="43"/>
      <c r="G14" s="65"/>
    </row>
    <row r="15" spans="1:7" x14ac:dyDescent="0.35">
      <c r="A15" s="40" t="s">
        <v>47</v>
      </c>
      <c r="B15" s="41">
        <v>11175207.130000001</v>
      </c>
      <c r="C15" s="41">
        <v>0</v>
      </c>
      <c r="D15" s="41">
        <v>0</v>
      </c>
      <c r="E15" s="65"/>
      <c r="F15" s="43"/>
      <c r="G15" s="65"/>
    </row>
    <row r="16" spans="1:7" x14ac:dyDescent="0.35">
      <c r="A16" s="40" t="s">
        <v>15</v>
      </c>
      <c r="B16" s="41">
        <v>62281892.229999997</v>
      </c>
      <c r="C16" s="41">
        <v>0</v>
      </c>
      <c r="D16" s="41">
        <v>0</v>
      </c>
      <c r="E16" s="65"/>
      <c r="F16" s="43"/>
      <c r="G16" s="65"/>
    </row>
    <row r="17" spans="1:7" x14ac:dyDescent="0.35">
      <c r="A17" s="40" t="s">
        <v>16</v>
      </c>
      <c r="B17" s="41">
        <v>79470447.150000006</v>
      </c>
      <c r="C17" s="41">
        <v>0</v>
      </c>
      <c r="D17" s="41">
        <v>0</v>
      </c>
      <c r="E17" s="42"/>
      <c r="F17" s="43"/>
      <c r="G17" s="65"/>
    </row>
    <row r="18" spans="1:7" x14ac:dyDescent="0.35">
      <c r="A18" s="40" t="s">
        <v>19</v>
      </c>
      <c r="B18" s="41">
        <v>40562116.979999997</v>
      </c>
      <c r="C18" s="41">
        <v>0</v>
      </c>
      <c r="D18" s="41">
        <v>0</v>
      </c>
      <c r="E18" s="42"/>
      <c r="F18" s="43"/>
      <c r="G18" s="65"/>
    </row>
    <row r="19" spans="1:7" x14ac:dyDescent="0.35">
      <c r="A19" s="40"/>
      <c r="B19" s="41"/>
      <c r="C19" s="110"/>
      <c r="D19" s="110"/>
      <c r="E19" s="42"/>
      <c r="F19" s="43"/>
      <c r="G19" s="65"/>
    </row>
    <row r="20" spans="1:7" x14ac:dyDescent="0.35">
      <c r="B20" s="111">
        <v>400590486.23000002</v>
      </c>
      <c r="C20" s="111">
        <v>0</v>
      </c>
      <c r="D20" s="111">
        <v>0</v>
      </c>
    </row>
    <row r="21" spans="1:7" x14ac:dyDescent="0.35">
      <c r="C21" s="100"/>
      <c r="D21" s="100"/>
    </row>
    <row r="22" spans="1:7" x14ac:dyDescent="0.35">
      <c r="D22" s="43"/>
    </row>
    <row r="26" spans="1:7" x14ac:dyDescent="0.35">
      <c r="A26" s="49" t="s">
        <v>44</v>
      </c>
      <c r="B26" s="49" t="s">
        <v>49</v>
      </c>
    </row>
    <row r="27" spans="1:7" x14ac:dyDescent="0.35">
      <c r="A27" s="115" t="s">
        <v>40</v>
      </c>
      <c r="B27" s="28" t="s">
        <v>50</v>
      </c>
    </row>
    <row r="28" spans="1:7" x14ac:dyDescent="0.35">
      <c r="A28" s="40" t="s">
        <v>43</v>
      </c>
      <c r="B28" s="28" t="s">
        <v>51</v>
      </c>
    </row>
    <row r="29" spans="1:7" x14ac:dyDescent="0.35">
      <c r="A29" s="40" t="s">
        <v>72</v>
      </c>
      <c r="B29" s="28" t="s">
        <v>52</v>
      </c>
    </row>
    <row r="30" spans="1:7" x14ac:dyDescent="0.35">
      <c r="A30" s="116" t="s">
        <v>67</v>
      </c>
      <c r="B30" s="114" t="s">
        <v>65</v>
      </c>
    </row>
    <row r="31" spans="1:7" x14ac:dyDescent="0.35">
      <c r="A31" s="40" t="s">
        <v>37</v>
      </c>
      <c r="B31" s="28" t="s">
        <v>53</v>
      </c>
    </row>
    <row r="32" spans="1:7" x14ac:dyDescent="0.35">
      <c r="A32" s="40" t="s">
        <v>38</v>
      </c>
      <c r="B32" s="28" t="s">
        <v>54</v>
      </c>
    </row>
    <row r="33" spans="1:2" x14ac:dyDescent="0.35">
      <c r="A33" s="116" t="s">
        <v>33</v>
      </c>
      <c r="B33" s="114" t="s">
        <v>55</v>
      </c>
    </row>
    <row r="34" spans="1:2" x14ac:dyDescent="0.35">
      <c r="A34" s="40" t="s">
        <v>39</v>
      </c>
      <c r="B34" s="28" t="s">
        <v>56</v>
      </c>
    </row>
    <row r="35" spans="1:2" x14ac:dyDescent="0.35">
      <c r="A35" s="116" t="s">
        <v>69</v>
      </c>
      <c r="B35" s="114" t="s">
        <v>71</v>
      </c>
    </row>
    <row r="36" spans="1:2" x14ac:dyDescent="0.35">
      <c r="A36" s="116" t="s">
        <v>68</v>
      </c>
      <c r="B36" s="114" t="s">
        <v>66</v>
      </c>
    </row>
    <row r="37" spans="1:2" x14ac:dyDescent="0.35">
      <c r="A37" s="40" t="s">
        <v>57</v>
      </c>
      <c r="B37" s="28" t="s">
        <v>58</v>
      </c>
    </row>
    <row r="38" spans="1:2" x14ac:dyDescent="0.35">
      <c r="A38" s="40" t="s">
        <v>6</v>
      </c>
      <c r="B38" s="28" t="s">
        <v>59</v>
      </c>
    </row>
    <row r="39" spans="1:2" x14ac:dyDescent="0.35">
      <c r="A39" s="40" t="s">
        <v>46</v>
      </c>
      <c r="B39" s="28" t="s">
        <v>60</v>
      </c>
    </row>
    <row r="40" spans="1:2" x14ac:dyDescent="0.35">
      <c r="A40" s="40" t="s">
        <v>47</v>
      </c>
      <c r="B40" s="28" t="s">
        <v>61</v>
      </c>
    </row>
    <row r="41" spans="1:2" x14ac:dyDescent="0.35">
      <c r="A41" s="40" t="s">
        <v>15</v>
      </c>
      <c r="B41" s="28" t="s">
        <v>62</v>
      </c>
    </row>
    <row r="42" spans="1:2" x14ac:dyDescent="0.35">
      <c r="A42" s="40" t="s">
        <v>16</v>
      </c>
      <c r="B42" s="28" t="s">
        <v>63</v>
      </c>
    </row>
    <row r="43" spans="1:2" x14ac:dyDescent="0.35">
      <c r="A43" s="40" t="s">
        <v>19</v>
      </c>
      <c r="B43" s="28" t="s">
        <v>64</v>
      </c>
    </row>
  </sheetData>
  <pageMargins left="0.25" right="0.25" top="0.75" bottom="0.75" header="0.3" footer="0.3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RESUMO</vt:lpstr>
      <vt:lpstr>Performance por Instituição</vt:lpstr>
      <vt:lpstr>MOV RF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2025-02-11T20:42:14Z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