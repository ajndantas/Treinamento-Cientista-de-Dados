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808C9C71-066E-43AA-B4E0-C06F46630C41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<sst xmlns="http://schemas.openxmlformats.org/spreadsheetml/2006/main" count="197" uniqueCount="60">
  <si>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</si>
  <si>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</si>
  <si>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</si>
  <si>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</si>
  <si>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</si>
  <si>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</si>
  <si>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</si>
  <si>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</si>
  <si>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</si>
  <si>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</si>
  <si>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</si>
  <si>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</si>
  <si>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</si>
  <si>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</si>
  <si>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</si>
  <si>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</si>
  <si>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</si>
  <si>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</si>
  <si>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</si>
  <si>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</si>
  <si>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</si>
  <si>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</si>
  <si>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</si>
  <si>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</si>
  <si>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</si>
  <si>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</si>
  <si>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</si>
  <si>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</si>
  <si>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</si>
  <si>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</si>
  <si>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</si>
  <si>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</si>
  <si>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</si>
  <si>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</si>
  <si>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</si>
  <si>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</si>
  <si>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</si>
  <si>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</si>
  <si>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</si>
  <si>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</si>
  <si>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</si>
  <si>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</si>
  <si>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</si>
  <si>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</si>
  <si>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TOTAL DA CARTEIRA - BLOQUEIOS</t>
  </si>
  <si>
    <t>Porto Seguro FI RF Referenciado DI Crédito Privado</t>
  </si>
  <si>
    <t>Porto Seguro IMA-B5- FICFI RF Longo Prazo</t>
  </si>
  <si>
    <t>Rend. (Mil)</t>
  </si>
  <si>
    <t>Itaú Soberado RF Simples FICFI</t>
  </si>
  <si>
    <t>Itaú Institucional Janeiro RF LP FIF CIC RL</t>
  </si>
  <si>
    <t>Itaú Institucional Optimus RF LP FIC FI</t>
  </si>
  <si>
    <t xml:space="preserve">¹ </t>
  </si>
  <si>
    <t>RENTABILIDADE E DESEMPENHO DATA BASE 30/09/2024 - POR FUNDO DE INVESTIMENTO</t>
  </si>
  <si>
    <t>RENTABILIDADE (%) - EVOLUÇÃO POR FUNDO - DATA BASE 30/09/2024</t>
  </si>
  <si>
    <t>RENTABILIDADE E DESEMPENHO DATA BASE 30/09/2024- POR INSTITUIÇÃO</t>
  </si>
  <si>
    <t>RENTABILIDADE e DESEMPENHO - CARTEIRA RENDA FIXA - DATA BASE 30/09/2024 - POR  INSTITUIÇÃO</t>
  </si>
  <si>
    <t>RENTABILIDADE - EVOLUÇÃO POR CARTEIRA - DATA BASE 30/09/2024</t>
  </si>
  <si>
    <t>RENTABILIDADE E DESEMPENHO DATA BASE 30/09/2024  - POR INSTITUIÇÃO</t>
  </si>
  <si>
    <t>RENTABILIDADE e DESEMPENHO - CARTEIRA CAIXA - DATA BASE 30/09/24 - POR  INSTITUIÇÃO</t>
  </si>
  <si>
    <t>RENTABILIDADE e DESEMPENHO - CARTEIRA DE BLOQUEIOS - DATA BASE 30/09/24 - POR  INSTITUIÇÃO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</si>
</sst>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1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165" fontId="6" fillId="0" borderId="0" xfId="0" applyNumberFormat="1" applyFont="1"/>
    <xf numFmtId="0" fontId="6" fillId="0" borderId="6" xfId="0" applyFont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8" fontId="6" fillId="0" borderId="6" xfId="2" applyNumberFormat="1" applyFont="1" applyFill="1" applyBorder="1" applyAlignment="1">
      <alignment horizontal="center" vertical="center" wrapText="1"/>
    </xf>
    <xf numFmtId="168" fontId="7" fillId="0" borderId="7" xfId="2" applyNumberFormat="1" applyFont="1" applyBorder="1" applyAlignment="1">
      <alignment horizontal="center" vertical="center" wrapText="1"/>
    </xf>
    <xf numFmtId="168" fontId="6" fillId="0" borderId="0" xfId="2" applyNumberFormat="1" applyFont="1" applyFill="1"/>
    <xf numFmtId="168" fontId="3" fillId="0" borderId="0" xfId="0" applyNumberFormat="1" applyFont="1"/>
    <xf numFmtId="168" fontId="6" fillId="0" borderId="0" xfId="2" applyNumberFormat="1" applyFont="1"/>
    <xf numFmtId="168" fontId="6" fillId="0" borderId="0" xfId="2" applyNumberFormat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165" fontId="9" fillId="0" borderId="0" xfId="0" applyNumberFormat="1" applyFont="1"/>
    <xf numFmtId="168" fontId="9" fillId="0" borderId="0" xfId="2" applyNumberFormat="1" applyFont="1" applyFill="1"/>
    <xf numFmtId="0" fontId="9" fillId="0" borderId="5" xfId="0" applyFont="1" applyBorder="1"/>
    <xf numFmtId="165" fontId="9" fillId="0" borderId="5" xfId="0" applyNumberFormat="1" applyFont="1" applyBorder="1"/>
    <xf numFmtId="168" fontId="9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6" fillId="0" borderId="4" xfId="0" applyFont="1" applyBorder="1" applyAlignment="1">
      <alignment horizontal="left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8" fontId="6" fillId="8" borderId="4" xfId="2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0" fillId="0" borderId="4" xfId="0" applyFont="1" applyBorder="1"/>
    <xf numFmtId="0" fontId="0" fillId="3" borderId="4" xfId="0" applyFill="1" applyBorder="1"/>
    <xf numFmtId="0" fontId="9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0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9" fillId="0" borderId="0" xfId="0" applyNumberFormat="1" applyFont="1"/>
    <xf numFmtId="182" fontId="6" fillId="0" borderId="4" xfId="0" applyNumberFormat="1" applyFont="1" applyBorder="1" applyAlignment="1">
      <alignment horizontal="center" vertical="center" wrapText="1"/>
    </xf>
    <xf numFmtId="182" fontId="6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9" fillId="0" borderId="0" xfId="2" applyNumberFormat="1" applyFont="1" applyFill="1"/>
    <xf numFmtId="10" fontId="7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24</xdr:row>
      <xdr:rowOff>0</xdr:rowOff>
    </xdr:from>
    <xdr:to>
      <xdr:col>14</xdr:col>
      <xdr:colOff>992746</xdr:colOff>
      <xdr:row>88</xdr:row>
      <xdr:rowOff>7065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C561C9-8AAF-46FD-1358-0E4133D5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68944" y="5916232"/>
          <a:ext cx="8398098" cy="358193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134154</xdr:rowOff>
    </xdr:from>
    <xdr:to>
      <xdr:col>15</xdr:col>
      <xdr:colOff>25400</xdr:colOff>
      <xdr:row>22</xdr:row>
      <xdr:rowOff>160985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5AB275-C68C-B4CC-D4CD-49DF97389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8944" y="603696"/>
          <a:ext cx="8503991" cy="4963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A35" sqref="A35:G35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7" t="s">
        <v>52</v>
      </c>
      <c r="B2" s="108"/>
      <c r="C2" s="108"/>
      <c r="D2" s="108"/>
      <c r="E2" s="108"/>
      <c r="F2" s="108"/>
      <c r="G2" s="108"/>
      <c r="H2" s="42"/>
      <c r="I2" s="100" t="s">
        <v>53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1">
        <v>2024</v>
      </c>
      <c r="E4" s="102"/>
      <c r="F4" s="102"/>
      <c r="G4" s="103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1" t="s">
        <v>7</v>
      </c>
      <c r="E5" s="102"/>
      <c r="F5" s="104" t="s">
        <v>14</v>
      </c>
      <c r="G5" s="105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47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17.774049999999999</v>
      </c>
      <c r="C8" s="90">
        <v>8.7529999999999997E-2</v>
      </c>
      <c r="D8" s="94">
        <v>4.9535938864848639E-3</v>
      </c>
      <c r="E8" s="94">
        <v>0.59377668695848063</v>
      </c>
      <c r="F8" s="94">
        <v>6.1775780748473119E-2</v>
      </c>
      <c r="G8" s="94">
        <v>0.77313487868003317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76.631339999999994</v>
      </c>
      <c r="C9" s="90">
        <v>0.67823999999999074</v>
      </c>
      <c r="D9" s="94">
        <v>8.929725053780313E-3</v>
      </c>
      <c r="E9" s="94">
        <v>1.0703870118118162</v>
      </c>
      <c r="F9" s="94">
        <v>8.8146713955843628E-2</v>
      </c>
      <c r="G9" s="94">
        <v>1.1031717960436973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15976.347009999999</v>
      </c>
      <c r="C10" s="90">
        <v>129.48211000000001</v>
      </c>
      <c r="D10" s="94">
        <v>8.1003510011006252E-3</v>
      </c>
      <c r="E10" s="94">
        <v>0.97097172090694717</v>
      </c>
      <c r="F10" s="94">
        <v>7.8104011582794231E-2</v>
      </c>
      <c r="G10" s="94">
        <v>0.9774855904347276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40</v>
      </c>
      <c r="B11" s="90">
        <v>20068.446190000002</v>
      </c>
      <c r="C11" s="90">
        <v>170.36505</v>
      </c>
      <c r="D11" s="94">
        <v>8.5618827256845886E-3</v>
      </c>
      <c r="E11" s="94">
        <v>1.0262945399812753</v>
      </c>
      <c r="F11" s="94">
        <v>7.3775367493282396E-2</v>
      </c>
      <c r="G11" s="94">
        <v>0.92331184010011136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43</v>
      </c>
      <c r="B12" s="90">
        <v>30185.342929999999</v>
      </c>
      <c r="C12" s="90">
        <v>287.83301</v>
      </c>
      <c r="D12" s="94">
        <v>9.2332082800561377E-3</v>
      </c>
      <c r="E12" s="94">
        <v>1.1067648959854022</v>
      </c>
      <c r="F12" s="94">
        <v>9.2428414160355063E-2</v>
      </c>
      <c r="G12" s="94">
        <v>1.1567580353117626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16992.533149999999</v>
      </c>
      <c r="C13" s="90">
        <v>113.29923000000001</v>
      </c>
      <c r="D13" s="94">
        <v>8.5921553698595776E-3</v>
      </c>
      <c r="E13" s="94">
        <v>1.0299232569846495</v>
      </c>
      <c r="F13" s="94">
        <v>8.3579696214521201E-2</v>
      </c>
      <c r="G13" s="94">
        <v>1.0460147570781615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48</v>
      </c>
      <c r="B14" s="90">
        <v>17666.26182</v>
      </c>
      <c r="C14" s="90">
        <v>145.05467999999999</v>
      </c>
      <c r="D14" s="94">
        <v>8.2788059999683306E-3</v>
      </c>
      <c r="E14" s="94">
        <v>0.99236273931238173</v>
      </c>
      <c r="F14" s="94">
        <v>7.9399999999999998E-2</v>
      </c>
      <c r="G14" s="94">
        <v>0.99370511587928267</v>
      </c>
      <c r="H14" s="38"/>
      <c r="I14" s="13"/>
      <c r="J14" s="14"/>
      <c r="K14" s="14"/>
      <c r="L14" s="15"/>
      <c r="M14" s="14"/>
      <c r="N14" s="15"/>
      <c r="O14" s="14"/>
    </row>
    <row r="15" spans="1:15" ht="20" customHeight="1" x14ac:dyDescent="0.45">
      <c r="A15" s="43" t="s">
        <v>37</v>
      </c>
      <c r="B15" s="90">
        <v>13404.46307</v>
      </c>
      <c r="C15" s="90">
        <v>109.18817999999999</v>
      </c>
      <c r="D15" s="94">
        <v>8.2125549139973053E-3</v>
      </c>
      <c r="E15" s="94">
        <v>0.98442136356847876</v>
      </c>
      <c r="F15" s="94">
        <v>7.8103140010795213E-2</v>
      </c>
      <c r="G15" s="94">
        <v>0.97747468255621017</v>
      </c>
      <c r="H15" s="39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38</v>
      </c>
      <c r="B16" s="90">
        <v>13460.47126</v>
      </c>
      <c r="C16" s="90">
        <v>117.32953999999999</v>
      </c>
      <c r="D16" s="94">
        <v>8.7932468190596857E-3</v>
      </c>
      <c r="E16" s="94">
        <v>1.0540276581967662</v>
      </c>
      <c r="F16" s="94">
        <v>9.4396851493427913E-2</v>
      </c>
      <c r="G16" s="94">
        <v>1.1813933784876098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33</v>
      </c>
      <c r="B17" s="90">
        <v>8873.8737899999996</v>
      </c>
      <c r="C17" s="90">
        <v>107.98108999999999</v>
      </c>
      <c r="D17" s="94">
        <v>1.2318321630673257E-2</v>
      </c>
      <c r="E17" s="94">
        <v>1.4765708240044084</v>
      </c>
      <c r="F17" s="94">
        <v>9.6799999999999997E-2</v>
      </c>
      <c r="G17" s="94">
        <v>1.2114692092835586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39</v>
      </c>
      <c r="B18" s="90">
        <v>17851.566329999998</v>
      </c>
      <c r="C18" s="90">
        <v>187.75558999999998</v>
      </c>
      <c r="D18" s="94">
        <v>1.0629393496579986E-2</v>
      </c>
      <c r="E18" s="94">
        <v>1.2741226268058077</v>
      </c>
      <c r="F18" s="94">
        <v>8.0220125413696053E-2</v>
      </c>
      <c r="G18" s="94">
        <v>1.003969131235106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50</v>
      </c>
      <c r="B19" s="90">
        <v>8856.2433399999991</v>
      </c>
      <c r="C19" s="90">
        <v>92.533539999999988</v>
      </c>
      <c r="D19" s="94">
        <v>1.0558718291199698E-2</v>
      </c>
      <c r="E19" s="94">
        <v>1.2656509413462236</v>
      </c>
      <c r="F19" s="94">
        <v>8.8800000000000004E-2</v>
      </c>
      <c r="G19" s="94">
        <v>1.1113477870287192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49</v>
      </c>
      <c r="B20" s="90">
        <v>8867.8772599999993</v>
      </c>
      <c r="C20" s="90">
        <v>95.709179999999989</v>
      </c>
      <c r="D20" s="94">
        <v>1.0910550688898679E-2</v>
      </c>
      <c r="E20" s="94">
        <v>1.307824337118602</v>
      </c>
      <c r="F20" s="94">
        <v>8.6599999999999996E-2</v>
      </c>
      <c r="G20" s="94">
        <v>1.0838143959086382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2</v>
      </c>
      <c r="B21" s="90">
        <v>190.28795000000002</v>
      </c>
      <c r="C21" s="90">
        <v>1.28826</v>
      </c>
      <c r="D21" s="94">
        <v>6.8161966256652384E-3</v>
      </c>
      <c r="E21" s="94">
        <v>0.81704288700119854</v>
      </c>
      <c r="F21" s="94">
        <v>6.5215697026086206E-2</v>
      </c>
      <c r="G21" s="94">
        <v>0.81618604244905768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6</v>
      </c>
      <c r="B22" s="90">
        <v>26902.969550000002</v>
      </c>
      <c r="C22" s="90">
        <v>145.36848000000001</v>
      </c>
      <c r="D22" s="94">
        <v>5.4327916954637345E-3</v>
      </c>
      <c r="E22" s="94">
        <v>0.65121710172270908</v>
      </c>
      <c r="F22" s="94">
        <v>6.5448616365428203E-2</v>
      </c>
      <c r="G22" s="94">
        <v>0.81910106938975491</v>
      </c>
      <c r="H22" s="38"/>
      <c r="I22" s="3"/>
      <c r="J22" s="16"/>
      <c r="K22" s="16"/>
      <c r="L22" s="17"/>
      <c r="M22" s="16"/>
      <c r="N22" s="17"/>
      <c r="O22" s="16"/>
    </row>
    <row r="23" spans="1:15" ht="20" customHeight="1" x14ac:dyDescent="0.45">
      <c r="A23" s="43" t="s">
        <v>45</v>
      </c>
      <c r="B23" s="90">
        <v>35254.501759999999</v>
      </c>
      <c r="C23" s="90">
        <v>316.32531</v>
      </c>
      <c r="D23" s="94">
        <v>9.119545088495995E-3</v>
      </c>
      <c r="E23" s="94">
        <v>1.0931403327167324</v>
      </c>
      <c r="F23" s="94">
        <v>8.9646800528325965E-2</v>
      </c>
      <c r="G23" s="94">
        <v>1.1219456461864872</v>
      </c>
      <c r="H23" s="38"/>
      <c r="I23" s="3"/>
      <c r="J23" s="16"/>
      <c r="K23" s="16"/>
      <c r="L23" s="17"/>
      <c r="M23" s="16"/>
      <c r="N23" s="17"/>
      <c r="O23" s="16"/>
    </row>
    <row r="24" spans="1:15" ht="20" customHeight="1" thickBot="1" x14ac:dyDescent="0.5">
      <c r="A24" s="43" t="s">
        <v>46</v>
      </c>
      <c r="B24" s="90">
        <v>10935.129630000001</v>
      </c>
      <c r="C24" s="90">
        <v>17.144939999999998</v>
      </c>
      <c r="D24" s="94">
        <v>3.9297186366069603E-3</v>
      </c>
      <c r="E24" s="94">
        <v>0.47104695423049153</v>
      </c>
      <c r="F24" s="94">
        <v>5.5407864591526801E-2</v>
      </c>
      <c r="G24" s="94">
        <v>0.69343927587590348</v>
      </c>
      <c r="H24" s="38"/>
      <c r="I24" s="100" t="s">
        <v>56</v>
      </c>
      <c r="J24" s="100"/>
      <c r="K24" s="100"/>
      <c r="L24" s="100"/>
      <c r="M24" s="100"/>
      <c r="N24" s="100"/>
      <c r="O24" s="100"/>
    </row>
    <row r="25" spans="1:15" ht="20" customHeight="1" thickTop="1" x14ac:dyDescent="0.45">
      <c r="A25" s="43" t="s">
        <v>15</v>
      </c>
      <c r="B25" s="90">
        <v>60723.737540000002</v>
      </c>
      <c r="C25" s="90">
        <v>460.48378999999909</v>
      </c>
      <c r="D25" s="94">
        <v>7.6412035439621384E-3</v>
      </c>
      <c r="E25" s="94">
        <v>0.9159346988634296</v>
      </c>
      <c r="F25" s="94">
        <v>7.9963554704738149E-2</v>
      </c>
      <c r="G25" s="94">
        <v>1.0007581031988813</v>
      </c>
      <c r="H25" s="39"/>
      <c r="I25" s="13"/>
      <c r="J25" s="14"/>
      <c r="K25" s="14"/>
      <c r="L25" s="15"/>
      <c r="M25" s="14"/>
      <c r="N25" s="15"/>
      <c r="O25" s="14"/>
    </row>
    <row r="26" spans="1:15" ht="20" customHeight="1" x14ac:dyDescent="0.45">
      <c r="A26" s="43" t="s">
        <v>16</v>
      </c>
      <c r="B26" s="90">
        <v>77284.278030000001</v>
      </c>
      <c r="C26" s="90">
        <v>709.23801000000537</v>
      </c>
      <c r="D26" s="94">
        <v>9.2619999937169073E-3</v>
      </c>
      <c r="E26" s="94">
        <v>1.1102160970206734</v>
      </c>
      <c r="F26" s="94">
        <v>9.6248399000312457E-2</v>
      </c>
      <c r="G26" s="94">
        <v>1.2045658247078201</v>
      </c>
      <c r="H26" s="38"/>
      <c r="I26" s="13"/>
      <c r="J26" s="14"/>
      <c r="K26" s="14"/>
      <c r="L26" s="15"/>
      <c r="M26" s="14"/>
      <c r="N26" s="15"/>
      <c r="O26" s="14"/>
    </row>
    <row r="27" spans="1:15" ht="20" customHeight="1" x14ac:dyDescent="0.45">
      <c r="A27" s="43" t="s">
        <v>19</v>
      </c>
      <c r="B27" s="90">
        <v>39459.379829999998</v>
      </c>
      <c r="C27" s="90">
        <v>328.05444</v>
      </c>
      <c r="D27" s="94">
        <v>8.3834226234884568E-3</v>
      </c>
      <c r="E27" s="94">
        <v>1.0049029098507953</v>
      </c>
      <c r="F27" s="94">
        <v>8.4966462858322434E-2</v>
      </c>
      <c r="G27" s="94">
        <v>1.0633703881672802</v>
      </c>
      <c r="H27" s="38"/>
      <c r="J27" s="42"/>
      <c r="K27" s="42"/>
      <c r="L27" s="42"/>
      <c r="M27" s="42"/>
      <c r="N27" s="42"/>
      <c r="O27" s="42"/>
    </row>
    <row r="28" spans="1:15" ht="20" customHeight="1" x14ac:dyDescent="0.45">
      <c r="A28" s="43" t="s">
        <v>10</v>
      </c>
      <c r="B28" s="90">
        <v>85.890429999999995</v>
      </c>
      <c r="C28" s="90">
        <v>0.70595000000000008</v>
      </c>
      <c r="D28" s="94">
        <v>8.2873466489055136E-3</v>
      </c>
      <c r="E28" s="94">
        <v>0.993386488603625</v>
      </c>
      <c r="F28" s="94">
        <v>8.3978071919568395E-2</v>
      </c>
      <c r="G28" s="94">
        <v>1.0510004998507991</v>
      </c>
      <c r="H28" s="39"/>
      <c r="J28" s="14"/>
      <c r="K28" s="14"/>
      <c r="L28" s="15"/>
      <c r="M28" s="14"/>
      <c r="N28" s="15"/>
      <c r="O28" s="14"/>
    </row>
    <row r="29" spans="1:15" ht="18.5" x14ac:dyDescent="0.45">
      <c r="A29" s="43"/>
      <c r="B29" s="28"/>
      <c r="C29" s="28"/>
      <c r="D29" s="38"/>
      <c r="E29" s="38"/>
      <c r="F29" s="38"/>
      <c r="G29" s="38"/>
      <c r="H29" s="41"/>
      <c r="I29" s="3"/>
      <c r="J29" s="11"/>
      <c r="K29" s="11"/>
      <c r="L29" s="8"/>
      <c r="M29" s="11"/>
      <c r="N29" s="8"/>
      <c r="O29" s="11"/>
    </row>
    <row r="30" spans="1:15" ht="20.149999999999999" customHeight="1" x14ac:dyDescent="0.45">
      <c r="A30" s="29" t="s">
        <v>11</v>
      </c>
      <c r="B30" s="92">
        <v>423134.00625999999</v>
      </c>
      <c r="C30" s="92">
        <v>3535.9061500000043</v>
      </c>
      <c r="D30" s="36">
        <v>8.5410447596275772E-3</v>
      </c>
      <c r="E30" s="36">
        <v>1.0237967376317441</v>
      </c>
      <c r="F30" s="36">
        <v>8.4384059768689124E-2</v>
      </c>
      <c r="G30" s="36">
        <v>1.0560815099598178</v>
      </c>
      <c r="H30" s="41"/>
      <c r="I30" s="59"/>
      <c r="J30" s="42"/>
      <c r="K30" s="42"/>
      <c r="L30" s="42"/>
      <c r="M30" s="42"/>
      <c r="N30" s="42"/>
      <c r="O30" s="42"/>
    </row>
    <row r="31" spans="1:15" ht="20.149999999999999" customHeight="1" thickBot="1" x14ac:dyDescent="0.5">
      <c r="A31" s="31" t="s">
        <v>13</v>
      </c>
      <c r="B31" s="32"/>
      <c r="C31" s="32"/>
      <c r="D31" s="32"/>
      <c r="E31" s="37">
        <v>8.3425199999999991E-3</v>
      </c>
      <c r="F31" s="95"/>
      <c r="G31" s="37">
        <v>7.9902979999999998E-2</v>
      </c>
      <c r="H31" s="41"/>
      <c r="I31" s="59"/>
      <c r="J31" s="42"/>
      <c r="K31" s="42"/>
      <c r="L31" s="42"/>
      <c r="M31" s="42"/>
      <c r="N31" s="42"/>
      <c r="O31" s="42"/>
    </row>
    <row r="32" spans="1:15" ht="14.25" customHeight="1" thickTop="1" x14ac:dyDescent="0.45">
      <c r="A32" s="55" t="s">
        <v>51</v>
      </c>
      <c r="B32" s="56"/>
      <c r="C32" s="56"/>
      <c r="D32" s="56"/>
      <c r="E32" s="56"/>
      <c r="F32" s="56"/>
      <c r="G32" s="56"/>
      <c r="H32" s="41"/>
      <c r="I32" s="13"/>
      <c r="J32" s="18"/>
      <c r="K32" s="18"/>
      <c r="L32" s="19"/>
      <c r="M32" s="18"/>
      <c r="N32" s="19"/>
      <c r="O32" s="18"/>
    </row>
    <row r="33" spans="1:15" ht="16.5" customHeight="1" x14ac:dyDescent="0.35">
      <c r="A33" s="58"/>
      <c r="B33" s="57"/>
      <c r="C33" s="57"/>
      <c r="D33" s="57"/>
      <c r="E33" s="57"/>
      <c r="F33" s="57"/>
      <c r="G33" s="57"/>
      <c r="H33" s="50"/>
      <c r="I33" s="13"/>
      <c r="J33" s="18"/>
      <c r="K33" s="18"/>
      <c r="L33" s="19"/>
      <c r="M33" s="18"/>
      <c r="N33" s="19"/>
      <c r="O33" s="18"/>
    </row>
    <row r="34" spans="1:15" ht="15.5" x14ac:dyDescent="0.35">
      <c r="A34" s="109"/>
      <c r="B34" s="110"/>
      <c r="C34" s="110"/>
      <c r="D34" s="110"/>
      <c r="E34" s="110"/>
      <c r="F34" s="110"/>
      <c r="G34" s="110"/>
      <c r="H34" s="50"/>
      <c r="I34" s="13"/>
      <c r="J34" s="18"/>
      <c r="K34" s="18"/>
      <c r="L34" s="19"/>
      <c r="M34" s="18"/>
      <c r="N34" s="19"/>
      <c r="O34" s="18"/>
    </row>
    <row r="35" spans="1:15" ht="15.75" customHeight="1" x14ac:dyDescent="0.35">
      <c r="A35" s="109"/>
      <c r="B35" s="110"/>
      <c r="C35" s="110"/>
      <c r="D35" s="110"/>
      <c r="E35" s="110"/>
      <c r="F35" s="110"/>
      <c r="G35" s="110"/>
      <c r="H35" s="2"/>
      <c r="I35" s="13"/>
      <c r="J35" s="18"/>
      <c r="K35" s="18"/>
      <c r="L35" s="19"/>
      <c r="M35" s="18"/>
      <c r="N35" s="19"/>
      <c r="O35" s="18"/>
    </row>
    <row r="36" spans="1:15" ht="5.25" customHeight="1" x14ac:dyDescent="0.35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 x14ac:dyDescent="0.4">
      <c r="A37" s="100" t="s">
        <v>20</v>
      </c>
      <c r="B37" s="106"/>
      <c r="C37" s="106"/>
      <c r="D37" s="106"/>
      <c r="E37" s="106"/>
      <c r="F37" s="106"/>
      <c r="G37" s="106"/>
      <c r="I37" s="13"/>
      <c r="J37" s="18"/>
      <c r="K37" s="18"/>
      <c r="L37" s="19"/>
      <c r="M37" s="18"/>
      <c r="N37" s="19"/>
      <c r="O37" s="18"/>
    </row>
    <row r="38" spans="1:15" ht="15" hidden="1" thickTop="1" x14ac:dyDescent="0.35">
      <c r="I38" s="13"/>
      <c r="J38" s="18"/>
      <c r="K38" s="18"/>
      <c r="L38" s="19"/>
      <c r="M38" s="18"/>
      <c r="N38" s="19"/>
      <c r="O38" s="18"/>
    </row>
    <row r="39" spans="1:15" hidden="1" x14ac:dyDescent="0.35">
      <c r="I39" s="13"/>
      <c r="J39" s="18"/>
      <c r="K39" s="18"/>
      <c r="L39" s="19"/>
      <c r="M39" s="18"/>
      <c r="N39" s="19"/>
      <c r="O39" s="18"/>
    </row>
    <row r="40" spans="1:15" ht="18.5" hidden="1" x14ac:dyDescent="0.45">
      <c r="A40" s="27" t="s">
        <v>3</v>
      </c>
      <c r="B40" s="26" t="s">
        <v>9</v>
      </c>
      <c r="C40" s="26"/>
      <c r="D40" s="101">
        <v>2018</v>
      </c>
      <c r="E40" s="102"/>
      <c r="F40" s="102"/>
      <c r="G40" s="103"/>
    </row>
    <row r="41" spans="1:15" ht="18.5" hidden="1" x14ac:dyDescent="0.45">
      <c r="A41" s="27"/>
      <c r="B41" s="26"/>
      <c r="C41" s="26"/>
      <c r="D41" s="101" t="s">
        <v>7</v>
      </c>
      <c r="E41" s="102"/>
      <c r="F41" s="104" t="s">
        <v>14</v>
      </c>
      <c r="G41" s="105"/>
    </row>
    <row r="42" spans="1:15" ht="18.5" hidden="1" x14ac:dyDescent="0.45">
      <c r="A42" s="24" t="s">
        <v>12</v>
      </c>
      <c r="B42" s="25" t="s">
        <v>8</v>
      </c>
      <c r="C42" s="25"/>
      <c r="D42" s="33" t="s">
        <v>4</v>
      </c>
      <c r="E42" s="34" t="s">
        <v>5</v>
      </c>
      <c r="F42" s="33" t="s">
        <v>4</v>
      </c>
      <c r="G42" s="35" t="s">
        <v>5</v>
      </c>
    </row>
    <row r="43" spans="1:15" ht="18.5" hidden="1" x14ac:dyDescent="0.45">
      <c r="A43" s="20"/>
      <c r="D43" s="21"/>
      <c r="E43" s="22"/>
      <c r="F43" s="22"/>
      <c r="G43" s="22"/>
    </row>
    <row r="44" spans="1:15" ht="30" hidden="1" customHeight="1" x14ac:dyDescent="0.45">
      <c r="A44" s="43" t="s">
        <v>18</v>
      </c>
      <c r="B44" s="44">
        <v>15976.347009999999</v>
      </c>
      <c r="C44" s="44"/>
      <c r="D44" s="45">
        <v>8.1003510011006252E-3</v>
      </c>
      <c r="E44" s="45">
        <v>0.97097172090694717</v>
      </c>
      <c r="F44" s="45">
        <v>7.8104011582794231E-2</v>
      </c>
      <c r="G44" s="45">
        <v>0.9774855904347276</v>
      </c>
    </row>
    <row r="45" spans="1:15" ht="30" hidden="1" customHeight="1" x14ac:dyDescent="0.45">
      <c r="A45" s="43" t="s">
        <v>1</v>
      </c>
      <c r="B45" s="44">
        <v>16992.533149999999</v>
      </c>
      <c r="C45" s="44"/>
      <c r="D45" s="45">
        <v>8.5921553698595776E-3</v>
      </c>
      <c r="E45" s="45">
        <v>1.0299232569846495</v>
      </c>
      <c r="F45" s="45">
        <v>8.3579696214521201E-2</v>
      </c>
      <c r="G45" s="45">
        <v>1.0460147570781615</v>
      </c>
      <c r="H45" s="43"/>
    </row>
    <row r="46" spans="1:15" ht="18.5" hidden="1" x14ac:dyDescent="0.45">
      <c r="A46" s="46"/>
      <c r="B46" s="47"/>
      <c r="C46" s="47"/>
      <c r="D46" s="48"/>
      <c r="E46" s="48"/>
      <c r="F46" s="48"/>
      <c r="G46" s="48"/>
    </row>
    <row r="47" spans="1:15" ht="18.75" hidden="1" customHeight="1" x14ac:dyDescent="0.35">
      <c r="A47" s="52" t="s">
        <v>11</v>
      </c>
      <c r="B47" s="53">
        <v>32968.880160000001</v>
      </c>
      <c r="C47" s="53"/>
      <c r="D47" s="54"/>
      <c r="E47" s="54"/>
      <c r="F47" s="54"/>
      <c r="G47" s="54"/>
    </row>
    <row r="48" spans="1:15" ht="16" hidden="1" thickBot="1" x14ac:dyDescent="0.4">
      <c r="A48" s="31" t="s">
        <v>13</v>
      </c>
      <c r="B48" s="32"/>
      <c r="C48" s="32"/>
      <c r="D48" s="32"/>
      <c r="E48" s="37">
        <v>8.3425199999999991E-3</v>
      </c>
      <c r="F48" s="37"/>
      <c r="G48" s="37">
        <v>7.9902979999999998E-2</v>
      </c>
    </row>
    <row r="49" spans="1:7" ht="15" hidden="1" thickTop="1" x14ac:dyDescent="0.35"/>
    <row r="50" spans="1:7" hidden="1" x14ac:dyDescent="0.35"/>
    <row r="51" spans="1:7" ht="15" hidden="1" thickBot="1" x14ac:dyDescent="0.4">
      <c r="A51" s="100" t="s">
        <v>21</v>
      </c>
      <c r="B51" s="106"/>
      <c r="C51" s="106"/>
      <c r="D51" s="106"/>
      <c r="E51" s="106"/>
      <c r="F51" s="106"/>
      <c r="G51" s="106"/>
    </row>
    <row r="52" spans="1:7" ht="13.5" hidden="1" customHeight="1" thickTop="1" x14ac:dyDescent="0.35"/>
    <row r="53" spans="1:7" ht="9.75" hidden="1" customHeight="1" x14ac:dyDescent="0.35"/>
    <row r="54" spans="1:7" ht="18.5" hidden="1" x14ac:dyDescent="0.45">
      <c r="A54" s="27" t="s">
        <v>3</v>
      </c>
      <c r="B54" s="26" t="s">
        <v>9</v>
      </c>
      <c r="C54" s="26"/>
      <c r="D54" s="101">
        <v>2018</v>
      </c>
      <c r="E54" s="102"/>
      <c r="F54" s="102"/>
      <c r="G54" s="103"/>
    </row>
    <row r="55" spans="1:7" ht="18.5" hidden="1" x14ac:dyDescent="0.45">
      <c r="A55" s="27"/>
      <c r="B55" s="26"/>
      <c r="C55" s="26"/>
      <c r="D55" s="101" t="s">
        <v>7</v>
      </c>
      <c r="E55" s="102"/>
      <c r="F55" s="104" t="s">
        <v>14</v>
      </c>
      <c r="G55" s="105"/>
    </row>
    <row r="56" spans="1:7" ht="18.5" hidden="1" x14ac:dyDescent="0.45">
      <c r="A56" s="24" t="s">
        <v>12</v>
      </c>
      <c r="B56" s="25" t="s">
        <v>8</v>
      </c>
      <c r="C56" s="25"/>
      <c r="D56" s="33" t="s">
        <v>4</v>
      </c>
      <c r="E56" s="34" t="s">
        <v>5</v>
      </c>
      <c r="F56" s="33" t="s">
        <v>4</v>
      </c>
      <c r="G56" s="35" t="s">
        <v>5</v>
      </c>
    </row>
    <row r="57" spans="1:7" ht="18.5" hidden="1" x14ac:dyDescent="0.45">
      <c r="A57" s="20"/>
      <c r="D57" s="21"/>
      <c r="E57" s="22"/>
      <c r="F57" s="22"/>
      <c r="G57" s="22"/>
    </row>
    <row r="58" spans="1:7" ht="30" hidden="1" customHeight="1" x14ac:dyDescent="0.45">
      <c r="A58" s="43" t="s">
        <v>40</v>
      </c>
      <c r="B58" s="44">
        <v>20068.446190000002</v>
      </c>
      <c r="C58" s="44"/>
      <c r="D58" s="45">
        <v>8.5618827256845886E-3</v>
      </c>
      <c r="E58" s="45">
        <v>1.0262945399812753</v>
      </c>
      <c r="F58" s="45">
        <v>7.3775367493282396E-2</v>
      </c>
      <c r="G58" s="45">
        <v>0.92331184010011136</v>
      </c>
    </row>
    <row r="59" spans="1:7" ht="30" hidden="1" customHeight="1" x14ac:dyDescent="0.45">
      <c r="A59" s="43" t="s">
        <v>37</v>
      </c>
      <c r="B59" s="44">
        <v>13404.46307</v>
      </c>
      <c r="C59" s="44"/>
      <c r="D59" s="45">
        <v>8.2125549139973053E-3</v>
      </c>
      <c r="E59" s="45">
        <v>0.98442136356847876</v>
      </c>
      <c r="F59" s="45">
        <v>7.8103140010795213E-2</v>
      </c>
      <c r="G59" s="45">
        <v>0.97747468255621017</v>
      </c>
    </row>
    <row r="60" spans="1:7" ht="30" hidden="1" customHeight="1" x14ac:dyDescent="0.45">
      <c r="A60" s="43" t="s">
        <v>38</v>
      </c>
      <c r="B60" s="44">
        <v>13460.47126</v>
      </c>
      <c r="C60" s="44"/>
      <c r="D60" s="45">
        <v>8.7932468190596857E-3</v>
      </c>
      <c r="E60" s="45">
        <v>1.0540276581967662</v>
      </c>
      <c r="F60" s="45">
        <v>9.4396851493427913E-2</v>
      </c>
      <c r="G60" s="45">
        <v>1.1813933784876098</v>
      </c>
    </row>
    <row r="61" spans="1:7" ht="30" hidden="1" customHeight="1" x14ac:dyDescent="0.45">
      <c r="A61" s="43" t="s">
        <v>33</v>
      </c>
      <c r="B61" s="44">
        <v>8873.8737899999996</v>
      </c>
      <c r="C61" s="44"/>
      <c r="D61" s="45">
        <v>1.2318321630673257E-2</v>
      </c>
      <c r="E61" s="45">
        <v>1.4765708240044084</v>
      </c>
      <c r="F61" s="45">
        <v>9.6799999999999997E-2</v>
      </c>
      <c r="G61" s="45">
        <v>1.2114692092835586</v>
      </c>
    </row>
    <row r="62" spans="1:7" ht="30" hidden="1" customHeight="1" x14ac:dyDescent="0.45">
      <c r="A62" s="43" t="s">
        <v>2</v>
      </c>
      <c r="B62" s="44">
        <v>190.28795000000002</v>
      </c>
      <c r="C62" s="44"/>
      <c r="D62" s="45">
        <v>6.8161966256652384E-3</v>
      </c>
      <c r="E62" s="45">
        <v>0.81704288700119854</v>
      </c>
      <c r="F62" s="45">
        <v>6.5215697026086206E-2</v>
      </c>
      <c r="G62" s="45">
        <v>0.81618604244905768</v>
      </c>
    </row>
    <row r="63" spans="1:7" ht="30" hidden="1" customHeight="1" x14ac:dyDescent="0.45">
      <c r="A63" s="43" t="s">
        <v>6</v>
      </c>
      <c r="B63" s="44">
        <v>26902.969550000002</v>
      </c>
      <c r="C63" s="44"/>
      <c r="D63" s="45">
        <v>5.4327916954637345E-3</v>
      </c>
      <c r="E63" s="45">
        <v>0.65121710172270908</v>
      </c>
      <c r="F63" s="45">
        <v>6.5448616365428203E-2</v>
      </c>
      <c r="G63" s="45">
        <v>0.81910106938975491</v>
      </c>
    </row>
    <row r="64" spans="1:7" ht="30" hidden="1" customHeight="1" x14ac:dyDescent="0.45">
      <c r="A64" s="43" t="s">
        <v>15</v>
      </c>
      <c r="B64" s="44">
        <v>60723.737540000002</v>
      </c>
      <c r="C64" s="44"/>
      <c r="D64" s="45">
        <v>7.6412035439621384E-3</v>
      </c>
      <c r="E64" s="45">
        <v>0.9159346988634296</v>
      </c>
      <c r="F64" s="45">
        <v>7.9963554704738149E-2</v>
      </c>
      <c r="G64" s="45">
        <v>1.0007581031988813</v>
      </c>
    </row>
    <row r="65" spans="1:7" ht="30" hidden="1" customHeight="1" x14ac:dyDescent="0.45">
      <c r="A65" s="43" t="s">
        <v>16</v>
      </c>
      <c r="B65" s="44">
        <v>77284.278030000001</v>
      </c>
      <c r="C65" s="44"/>
      <c r="D65" s="45">
        <v>9.2619999937169073E-3</v>
      </c>
      <c r="E65" s="45">
        <v>1.1102160970206734</v>
      </c>
      <c r="F65" s="45">
        <v>9.6248399000312457E-2</v>
      </c>
      <c r="G65" s="45">
        <v>1.2045658247078201</v>
      </c>
    </row>
    <row r="66" spans="1:7" ht="30" hidden="1" customHeight="1" x14ac:dyDescent="0.45">
      <c r="A66" s="43" t="e">
        <v>#REF!</v>
      </c>
      <c r="B66" s="44" t="e">
        <v>#REF!</v>
      </c>
      <c r="C66" s="44"/>
      <c r="D66" s="45" t="e">
        <v>#REF!</v>
      </c>
      <c r="E66" s="45" t="e">
        <v>#REF!</v>
      </c>
      <c r="F66" s="45" t="e">
        <v>#REF!</v>
      </c>
      <c r="G66" s="45" t="e">
        <v>#REF!</v>
      </c>
    </row>
    <row r="67" spans="1:7" ht="18.5" hidden="1" x14ac:dyDescent="0.45">
      <c r="A67" s="46"/>
      <c r="B67" s="47"/>
      <c r="C67" s="47"/>
      <c r="D67" s="48"/>
      <c r="E67" s="48"/>
      <c r="F67" s="48"/>
      <c r="G67" s="48"/>
    </row>
    <row r="68" spans="1:7" ht="18.5" hidden="1" x14ac:dyDescent="0.35">
      <c r="A68" s="52" t="s">
        <v>11</v>
      </c>
      <c r="B68" s="53" t="e">
        <v>#REF!</v>
      </c>
      <c r="C68" s="53"/>
      <c r="D68" s="54"/>
      <c r="E68" s="54"/>
      <c r="F68" s="54"/>
      <c r="G68" s="54"/>
    </row>
    <row r="69" spans="1:7" ht="16" hidden="1" thickBot="1" x14ac:dyDescent="0.4">
      <c r="A69" s="31" t="s">
        <v>13</v>
      </c>
      <c r="B69" s="32"/>
      <c r="C69" s="32"/>
      <c r="D69" s="32"/>
      <c r="E69" s="37">
        <v>8.3425199999999991E-3</v>
      </c>
      <c r="F69" s="37"/>
      <c r="G69" s="37">
        <v>7.9902979999999998E-2</v>
      </c>
    </row>
    <row r="70" spans="1:7" ht="15" hidden="1" thickTop="1" x14ac:dyDescent="0.35"/>
    <row r="71" spans="1:7" ht="15" hidden="1" thickBot="1" x14ac:dyDescent="0.4">
      <c r="A71" s="100" t="s">
        <v>22</v>
      </c>
      <c r="B71" s="106"/>
      <c r="C71" s="106"/>
      <c r="D71" s="106"/>
      <c r="E71" s="106"/>
      <c r="F71" s="106"/>
      <c r="G71" s="106"/>
    </row>
    <row r="72" spans="1:7" ht="15" hidden="1" thickTop="1" x14ac:dyDescent="0.35"/>
    <row r="73" spans="1:7" ht="18.5" hidden="1" x14ac:dyDescent="0.45">
      <c r="A73" s="27" t="s">
        <v>3</v>
      </c>
      <c r="B73" s="26" t="s">
        <v>9</v>
      </c>
      <c r="C73" s="26"/>
      <c r="D73" s="101">
        <v>2018</v>
      </c>
      <c r="E73" s="102"/>
      <c r="F73" s="102"/>
      <c r="G73" s="103"/>
    </row>
    <row r="74" spans="1:7" ht="18.5" hidden="1" x14ac:dyDescent="0.45">
      <c r="A74" s="27"/>
      <c r="B74" s="26"/>
      <c r="C74" s="26"/>
      <c r="D74" s="101" t="s">
        <v>7</v>
      </c>
      <c r="E74" s="102"/>
      <c r="F74" s="104" t="s">
        <v>14</v>
      </c>
      <c r="G74" s="105"/>
    </row>
    <row r="75" spans="1:7" ht="18.5" hidden="1" x14ac:dyDescent="0.45">
      <c r="A75" s="24" t="s">
        <v>12</v>
      </c>
      <c r="B75" s="25" t="s">
        <v>8</v>
      </c>
      <c r="C75" s="25"/>
      <c r="D75" s="33" t="s">
        <v>4</v>
      </c>
      <c r="E75" s="34" t="s">
        <v>5</v>
      </c>
      <c r="F75" s="33" t="s">
        <v>4</v>
      </c>
      <c r="G75" s="35" t="s">
        <v>5</v>
      </c>
    </row>
    <row r="76" spans="1:7" ht="18.5" hidden="1" x14ac:dyDescent="0.45">
      <c r="A76" s="20"/>
      <c r="D76" s="21"/>
      <c r="E76" s="22"/>
      <c r="F76" s="22"/>
      <c r="G76" s="22"/>
    </row>
    <row r="77" spans="1:7" ht="18.5" hidden="1" x14ac:dyDescent="0.45">
      <c r="A77" s="43" t="s">
        <v>0</v>
      </c>
      <c r="B77" s="44">
        <v>17.774049999999999</v>
      </c>
      <c r="C77" s="44"/>
      <c r="D77" s="45">
        <v>4.9535938864848639E-3</v>
      </c>
      <c r="E77" s="45">
        <v>0.59377668695848063</v>
      </c>
      <c r="F77" s="45">
        <v>6.1775780748473119E-2</v>
      </c>
      <c r="G77" s="45">
        <v>0.77313487868003317</v>
      </c>
    </row>
    <row r="78" spans="1:7" ht="18.5" hidden="1" x14ac:dyDescent="0.45">
      <c r="A78" s="43" t="s">
        <v>17</v>
      </c>
      <c r="B78" s="44">
        <v>76.631339999999994</v>
      </c>
      <c r="C78" s="44"/>
      <c r="D78" s="45">
        <v>8.929725053780313E-3</v>
      </c>
      <c r="E78" s="45">
        <v>1.0703870118118162</v>
      </c>
      <c r="F78" s="45">
        <v>8.8146713955843628E-2</v>
      </c>
      <c r="G78" s="45">
        <v>1.1031717960436973</v>
      </c>
    </row>
    <row r="79" spans="1:7" ht="18.5" hidden="1" x14ac:dyDescent="0.45">
      <c r="A79" s="43" t="s">
        <v>39</v>
      </c>
      <c r="B79" s="44">
        <v>17851.566329999998</v>
      </c>
      <c r="C79" s="44"/>
      <c r="D79" s="45">
        <v>1.0629393496579986E-2</v>
      </c>
      <c r="E79" s="45">
        <v>1.2741226268058077</v>
      </c>
      <c r="F79" s="45">
        <v>8.0220125413696053E-2</v>
      </c>
      <c r="G79" s="45">
        <v>1.003969131235106</v>
      </c>
    </row>
    <row r="80" spans="1:7" ht="18.5" hidden="1" x14ac:dyDescent="0.45">
      <c r="A80" s="43" t="s">
        <v>19</v>
      </c>
      <c r="B80" s="44">
        <v>39459.379829999998</v>
      </c>
      <c r="C80" s="44"/>
      <c r="D80" s="45">
        <v>8.3834226234884568E-3</v>
      </c>
      <c r="E80" s="45">
        <v>1.0049029098507953</v>
      </c>
      <c r="F80" s="45">
        <v>8.4966462858322434E-2</v>
      </c>
      <c r="G80" s="45">
        <v>1.0633703881672802</v>
      </c>
    </row>
    <row r="81" spans="1:15" ht="18.5" hidden="1" x14ac:dyDescent="0.45">
      <c r="A81" s="46"/>
      <c r="B81" s="47"/>
      <c r="C81" s="47"/>
      <c r="D81" s="48"/>
      <c r="E81" s="48"/>
      <c r="F81" s="48"/>
      <c r="G81" s="48"/>
    </row>
    <row r="82" spans="1:15" ht="18.5" hidden="1" x14ac:dyDescent="0.35">
      <c r="A82" s="29" t="s">
        <v>11</v>
      </c>
      <c r="B82" s="30">
        <v>57405.351549999992</v>
      </c>
      <c r="C82" s="30"/>
      <c r="D82" s="36"/>
      <c r="E82" s="36"/>
      <c r="F82" s="36"/>
      <c r="G82" s="36"/>
    </row>
    <row r="83" spans="1:15" ht="16" hidden="1" thickBot="1" x14ac:dyDescent="0.4">
      <c r="A83" s="31" t="s">
        <v>13</v>
      </c>
      <c r="B83" s="32"/>
      <c r="C83" s="32"/>
      <c r="D83" s="32"/>
      <c r="E83" s="37">
        <v>8.3425199999999991E-3</v>
      </c>
      <c r="F83" s="37"/>
      <c r="G83" s="37">
        <v>7.9902979999999998E-2</v>
      </c>
    </row>
    <row r="85" spans="1:15" ht="23.25" customHeight="1" thickBot="1" x14ac:dyDescent="0.4">
      <c r="A85" s="100" t="s">
        <v>54</v>
      </c>
      <c r="B85" s="106"/>
      <c r="C85" s="106"/>
      <c r="D85" s="106"/>
      <c r="E85" s="106"/>
      <c r="F85" s="106"/>
      <c r="G85" s="106"/>
    </row>
    <row r="86" spans="1:15" ht="8" customHeight="1" thickTop="1" x14ac:dyDescent="0.35"/>
    <row r="87" spans="1:15" ht="9.75" customHeight="1" x14ac:dyDescent="0.35"/>
    <row r="88" spans="1:15" ht="18.5" x14ac:dyDescent="0.45">
      <c r="A88" s="27" t="s">
        <v>29</v>
      </c>
      <c r="B88" s="26" t="s">
        <v>9</v>
      </c>
      <c r="C88" s="26"/>
      <c r="D88" s="101">
        <v>2024</v>
      </c>
      <c r="E88" s="102"/>
      <c r="F88" s="102"/>
      <c r="G88" s="103"/>
    </row>
    <row r="89" spans="1:15" ht="18.5" x14ac:dyDescent="0.45">
      <c r="A89" s="27"/>
      <c r="B89" s="26"/>
      <c r="C89" s="26"/>
      <c r="D89" s="101" t="s">
        <v>7</v>
      </c>
      <c r="E89" s="102"/>
      <c r="F89" s="104" t="s">
        <v>14</v>
      </c>
      <c r="G89" s="105"/>
      <c r="I89" s="60" t="s">
        <v>32</v>
      </c>
    </row>
    <row r="90" spans="1:15" ht="22.5" customHeight="1" thickBot="1" x14ac:dyDescent="0.5">
      <c r="A90" s="24" t="s">
        <v>12</v>
      </c>
      <c r="B90" s="25" t="s">
        <v>8</v>
      </c>
      <c r="C90" s="25" t="s">
        <v>47</v>
      </c>
      <c r="D90" s="33" t="s">
        <v>30</v>
      </c>
      <c r="E90" s="34" t="s">
        <v>5</v>
      </c>
      <c r="F90" s="33" t="s">
        <v>30</v>
      </c>
      <c r="G90" s="35" t="s">
        <v>5</v>
      </c>
      <c r="I90" s="100" t="s">
        <v>55</v>
      </c>
      <c r="J90" s="106"/>
      <c r="K90" s="106"/>
      <c r="L90" s="106"/>
      <c r="M90" s="106"/>
      <c r="N90" s="106"/>
      <c r="O90" s="106"/>
    </row>
    <row r="91" spans="1:15" ht="19" thickTop="1" x14ac:dyDescent="0.45">
      <c r="A91" s="20"/>
      <c r="D91" s="21"/>
      <c r="E91" s="22"/>
      <c r="F91" s="22"/>
      <c r="G91" s="22"/>
      <c r="I91" s="62" t="s">
        <v>29</v>
      </c>
      <c r="J91" s="63"/>
      <c r="K91" s="89"/>
      <c r="L91" s="66" t="s">
        <v>36</v>
      </c>
      <c r="M91" s="67"/>
      <c r="N91" s="64" t="s">
        <v>14</v>
      </c>
      <c r="O91" s="65"/>
    </row>
    <row r="92" spans="1:15" ht="18.5" x14ac:dyDescent="0.45">
      <c r="A92" s="43" t="s">
        <v>24</v>
      </c>
      <c r="B92" s="90">
        <v>66324.541519999999</v>
      </c>
      <c r="C92" s="90">
        <v>588.44594000000006</v>
      </c>
      <c r="D92" s="94">
        <v>8.7556971891994614E-3</v>
      </c>
      <c r="E92" s="94">
        <v>1.0495266645089807</v>
      </c>
      <c r="F92" s="94">
        <v>8.3320741349851749E-2</v>
      </c>
      <c r="G92" s="94">
        <v>1.0427738909093471</v>
      </c>
      <c r="I92" s="61" t="s">
        <v>34</v>
      </c>
      <c r="J92" s="25" t="s">
        <v>8</v>
      </c>
      <c r="K92" s="25" t="s">
        <v>47</v>
      </c>
      <c r="L92" s="33" t="s">
        <v>30</v>
      </c>
      <c r="M92" s="34" t="s">
        <v>5</v>
      </c>
      <c r="N92" s="33" t="s">
        <v>30</v>
      </c>
      <c r="O92" s="35" t="s">
        <v>5</v>
      </c>
    </row>
    <row r="93" spans="1:15" ht="18.5" x14ac:dyDescent="0.45">
      <c r="A93" s="43" t="s">
        <v>25</v>
      </c>
      <c r="B93" s="90">
        <v>106163.57797</v>
      </c>
      <c r="C93" s="90">
        <v>970.13928999999996</v>
      </c>
      <c r="D93" s="94">
        <v>9.5261274277971646E-3</v>
      </c>
      <c r="E93" s="94">
        <v>1.1418764866967255</v>
      </c>
      <c r="F93" s="94">
        <v>8.4759171600536143E-2</v>
      </c>
      <c r="G93" s="94">
        <v>1.0607761012234604</v>
      </c>
      <c r="I93" s="70" t="s">
        <v>24</v>
      </c>
      <c r="J93" s="90">
        <v>50253.789120000001</v>
      </c>
      <c r="K93" s="90">
        <v>458.19806</v>
      </c>
      <c r="L93" s="94">
        <v>8.9651198234482823E-3</v>
      </c>
      <c r="M93" s="94">
        <v>1.0746297070247699</v>
      </c>
      <c r="N93" s="94">
        <v>8.4979470113094605E-2</v>
      </c>
      <c r="O93" s="94">
        <v>1.0635331762732079</v>
      </c>
    </row>
    <row r="94" spans="1:15" ht="18.5" x14ac:dyDescent="0.45">
      <c r="A94" s="43" t="s">
        <v>26</v>
      </c>
      <c r="B94" s="90">
        <v>73092.600940000004</v>
      </c>
      <c r="C94" s="90">
        <v>478.83873000000006</v>
      </c>
      <c r="D94" s="94">
        <v>6.9861411970717465E-3</v>
      </c>
      <c r="E94" s="94">
        <v>0.83741377869897193</v>
      </c>
      <c r="F94" s="94">
        <v>7.5617881029297174E-2</v>
      </c>
      <c r="G94" s="94">
        <v>0.9463712245688104</v>
      </c>
      <c r="I94" s="70" t="s">
        <v>25</v>
      </c>
      <c r="J94" s="90">
        <v>88980.756869999983</v>
      </c>
      <c r="K94" s="90">
        <v>855.55179999999996</v>
      </c>
      <c r="L94" s="94">
        <v>9.7102820575065748E-3</v>
      </c>
      <c r="M94" s="94">
        <v>1.1639507076406859</v>
      </c>
      <c r="N94" s="94">
        <v>8.5026208689733221E-2</v>
      </c>
      <c r="O94" s="94">
        <v>1.064118117869111</v>
      </c>
    </row>
    <row r="95" spans="1:15" ht="18.5" x14ac:dyDescent="0.45">
      <c r="A95" s="43" t="s">
        <v>27</v>
      </c>
      <c r="B95" s="90">
        <v>60723.737540000002</v>
      </c>
      <c r="C95" s="90">
        <v>460.48378999999909</v>
      </c>
      <c r="D95" s="94">
        <v>7.6412035439621384E-3</v>
      </c>
      <c r="E95" s="94">
        <v>0.9159346988634296</v>
      </c>
      <c r="F95" s="94">
        <v>7.9963554704738149E-2</v>
      </c>
      <c r="G95" s="94">
        <v>1.0007581031988813</v>
      </c>
      <c r="I95" s="70" t="s">
        <v>26</v>
      </c>
      <c r="J95" s="90">
        <v>73092.600940000004</v>
      </c>
      <c r="K95" s="90">
        <v>478.83873000000006</v>
      </c>
      <c r="L95" s="94">
        <v>6.9861411970717465E-3</v>
      </c>
      <c r="M95" s="94">
        <v>0.83741377869897193</v>
      </c>
      <c r="N95" s="94">
        <v>7.5617881029297174E-2</v>
      </c>
      <c r="O95" s="94">
        <v>0.9463712245688104</v>
      </c>
    </row>
    <row r="96" spans="1:15" ht="18.5" x14ac:dyDescent="0.45">
      <c r="A96" s="43" t="s">
        <v>28</v>
      </c>
      <c r="B96" s="90">
        <v>77284.278030000001</v>
      </c>
      <c r="C96" s="90">
        <v>709.23801000000537</v>
      </c>
      <c r="D96" s="94">
        <v>9.2619999937169073E-3</v>
      </c>
      <c r="E96" s="94">
        <v>1.1102160970206734</v>
      </c>
      <c r="F96" s="94">
        <v>9.6248399000312457E-2</v>
      </c>
      <c r="G96" s="94">
        <v>1.2045658247078201</v>
      </c>
      <c r="I96" s="70" t="s">
        <v>27</v>
      </c>
      <c r="J96" s="90">
        <v>60723.737540000002</v>
      </c>
      <c r="K96" s="90">
        <v>460.48378999999909</v>
      </c>
      <c r="L96" s="94">
        <v>7.6412035439621384E-3</v>
      </c>
      <c r="M96" s="94">
        <v>0.9159346988634296</v>
      </c>
      <c r="N96" s="94">
        <v>7.9963554704738149E-2</v>
      </c>
      <c r="O96" s="94">
        <v>1.0007581031988813</v>
      </c>
    </row>
    <row r="97" spans="1:15" ht="18.5" x14ac:dyDescent="0.45">
      <c r="A97" s="43" t="s">
        <v>31</v>
      </c>
      <c r="B97" s="90">
        <v>39545.270259999998</v>
      </c>
      <c r="C97" s="90">
        <v>328.76038999999997</v>
      </c>
      <c r="D97" s="94">
        <v>8.3832139510804718E-3</v>
      </c>
      <c r="E97" s="94">
        <v>1.0048778967362946</v>
      </c>
      <c r="F97" s="94">
        <v>8.4964316120617042E-2</v>
      </c>
      <c r="G97" s="94">
        <v>1.0633435213632463</v>
      </c>
      <c r="I97" s="70" t="s">
        <v>28</v>
      </c>
      <c r="J97" s="90">
        <v>77284.278030000001</v>
      </c>
      <c r="K97" s="90">
        <v>709.23801000000537</v>
      </c>
      <c r="L97" s="94">
        <v>9.2619999937169073E-3</v>
      </c>
      <c r="M97" s="94">
        <v>1.1102160970206734</v>
      </c>
      <c r="N97" s="94">
        <v>9.6248399000312457E-2</v>
      </c>
      <c r="O97" s="94">
        <v>1.2045658247078201</v>
      </c>
    </row>
    <row r="98" spans="1:15" ht="18.5" x14ac:dyDescent="0.45">
      <c r="A98" s="46"/>
      <c r="B98" s="47"/>
      <c r="C98" s="47"/>
      <c r="D98" s="48"/>
      <c r="E98" s="48"/>
      <c r="F98" s="48"/>
      <c r="G98" s="48"/>
      <c r="I98" s="70" t="s">
        <v>31</v>
      </c>
      <c r="J98" s="90">
        <v>39459.379829999998</v>
      </c>
      <c r="K98" s="90">
        <v>328.05444</v>
      </c>
      <c r="L98" s="94">
        <v>8.3834226234884551E-3</v>
      </c>
      <c r="M98" s="94">
        <v>1.0049029098507951</v>
      </c>
      <c r="N98" s="94">
        <v>8.4966462858322434E-2</v>
      </c>
      <c r="O98" s="94">
        <v>1.0633703881672802</v>
      </c>
    </row>
    <row r="99" spans="1:15" ht="18.5" x14ac:dyDescent="0.35">
      <c r="A99" s="52" t="s">
        <v>11</v>
      </c>
      <c r="B99" s="91">
        <v>423134.00625999999</v>
      </c>
      <c r="C99" s="91">
        <v>3535.9061500000048</v>
      </c>
      <c r="D99" s="54"/>
      <c r="E99" s="54"/>
      <c r="F99" s="54"/>
      <c r="G99" s="54"/>
      <c r="I99" s="68" t="s">
        <v>35</v>
      </c>
      <c r="J99" s="93">
        <v>389794.54232999997</v>
      </c>
      <c r="K99" s="93">
        <v>3290.3648300000041</v>
      </c>
      <c r="L99" s="69"/>
      <c r="M99" s="69"/>
      <c r="N99" s="69"/>
      <c r="O99" s="69"/>
    </row>
    <row r="100" spans="1:15" hidden="1" x14ac:dyDescent="0.35"/>
    <row r="101" spans="1:15" ht="15" hidden="1" thickBot="1" x14ac:dyDescent="0.4">
      <c r="A101" s="100" t="s">
        <v>23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5" hidden="1" thickTop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</sheetData>
  <mergeCells count="26"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F9" sqref="F9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57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1" t="s">
        <v>7</v>
      </c>
      <c r="D4" s="102"/>
      <c r="E4" s="104" t="s">
        <v>14</v>
      </c>
      <c r="F4" s="105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66324.541519999999</v>
      </c>
      <c r="C6" s="96">
        <v>8.7556971891994614E-3</v>
      </c>
      <c r="D6" s="96">
        <v>1.0495266645089807</v>
      </c>
      <c r="E6" s="96">
        <v>8.3320741349851749E-2</v>
      </c>
      <c r="F6" s="96">
        <v>1.0427738909093471</v>
      </c>
      <c r="G6" s="98"/>
    </row>
    <row r="7" spans="1:11" x14ac:dyDescent="0.35">
      <c r="A7" t="s">
        <v>25</v>
      </c>
      <c r="B7" s="49">
        <v>106163.57797</v>
      </c>
      <c r="C7" s="96">
        <v>9.5261274277971646E-3</v>
      </c>
      <c r="D7" s="96">
        <v>1.1418764866967255</v>
      </c>
      <c r="E7" s="96">
        <v>8.4759171600536143E-2</v>
      </c>
      <c r="F7" s="96">
        <v>1.0607761012234604</v>
      </c>
      <c r="G7" s="98"/>
      <c r="I7" s="51"/>
      <c r="J7" s="51"/>
      <c r="K7" s="49"/>
    </row>
    <row r="8" spans="1:11" x14ac:dyDescent="0.35">
      <c r="A8" t="s">
        <v>26</v>
      </c>
      <c r="B8" s="49">
        <v>73092.600940000004</v>
      </c>
      <c r="C8" s="96">
        <v>6.9861411970717465E-3</v>
      </c>
      <c r="D8" s="96">
        <v>0.83741377869897193</v>
      </c>
      <c r="E8" s="96">
        <v>7.5617881029297174E-2</v>
      </c>
      <c r="F8" s="96">
        <v>0.9463712245688104</v>
      </c>
      <c r="G8" s="98"/>
      <c r="I8" s="51"/>
      <c r="J8" s="51"/>
      <c r="K8" s="49"/>
    </row>
    <row r="9" spans="1:11" x14ac:dyDescent="0.35">
      <c r="A9" t="s">
        <v>27</v>
      </c>
      <c r="B9" s="49">
        <v>60723.737540000002</v>
      </c>
      <c r="C9" s="96">
        <v>7.6412035439621384E-3</v>
      </c>
      <c r="D9" s="96">
        <v>0.9159346988634296</v>
      </c>
      <c r="E9" s="96">
        <v>7.9963554704738149E-2</v>
      </c>
      <c r="F9" s="96">
        <v>1.0007581031988813</v>
      </c>
      <c r="G9" s="98"/>
      <c r="I9" s="51"/>
      <c r="J9" s="51"/>
      <c r="K9" s="51"/>
    </row>
    <row r="10" spans="1:11" x14ac:dyDescent="0.35">
      <c r="A10" t="s">
        <v>28</v>
      </c>
      <c r="B10" s="49">
        <v>77284.278030000001</v>
      </c>
      <c r="C10" s="96">
        <v>9.2619999937169073E-3</v>
      </c>
      <c r="D10" s="96">
        <v>1.1102160970206734</v>
      </c>
      <c r="E10" s="96">
        <v>9.6248399000312457E-2</v>
      </c>
      <c r="F10" s="96">
        <v>1.2045658247078201</v>
      </c>
      <c r="G10" s="98"/>
    </row>
    <row r="11" spans="1:11" x14ac:dyDescent="0.35">
      <c r="A11" t="s">
        <v>31</v>
      </c>
      <c r="B11" s="49">
        <v>39545.270259999998</v>
      </c>
      <c r="C11" s="96">
        <v>8.3832139510804718E-3</v>
      </c>
      <c r="D11" s="96">
        <v>1.0048778967362946</v>
      </c>
      <c r="E11" s="96">
        <v>8.4964316120617042E-2</v>
      </c>
      <c r="F11" s="96">
        <v>1.0633435213632463</v>
      </c>
      <c r="G11" s="98"/>
      <c r="I11" s="49"/>
      <c r="J11" s="51"/>
    </row>
    <row r="12" spans="1:11" x14ac:dyDescent="0.35">
      <c r="A12" s="84" t="s">
        <v>11</v>
      </c>
      <c r="B12" s="85">
        <v>423134.00625999999</v>
      </c>
      <c r="C12" s="88">
        <v>8.5410447596275772E-3</v>
      </c>
      <c r="D12" s="88">
        <v>1.0237967376317441</v>
      </c>
      <c r="E12" s="88">
        <v>8.4384059768689124E-2</v>
      </c>
      <c r="F12" s="88">
        <v>1.0560815099598178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8.3425199999999991E-3</v>
      </c>
      <c r="E13" s="87"/>
      <c r="F13" s="86">
        <v>7.9902979999999998E-2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55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36</v>
      </c>
      <c r="D16" s="67"/>
      <c r="E16" s="64" t="s">
        <v>14</v>
      </c>
      <c r="F16" s="65"/>
      <c r="I16" s="51"/>
    </row>
    <row r="17" spans="1:11" x14ac:dyDescent="0.35">
      <c r="A17" s="73" t="s">
        <v>34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50253.789120000001</v>
      </c>
      <c r="C18" s="96">
        <v>8.9651198234482823E-3</v>
      </c>
      <c r="D18" s="96">
        <v>1.0746297070247699</v>
      </c>
      <c r="E18" s="96">
        <v>8.4979470113094605E-2</v>
      </c>
      <c r="F18" s="96">
        <v>1.0635331762732079</v>
      </c>
      <c r="G18" s="98"/>
      <c r="I18" s="51"/>
    </row>
    <row r="19" spans="1:11" x14ac:dyDescent="0.35">
      <c r="A19" s="72" t="s">
        <v>25</v>
      </c>
      <c r="B19" s="49">
        <v>88980.756869999983</v>
      </c>
      <c r="C19" s="96">
        <v>9.7102820575065748E-3</v>
      </c>
      <c r="D19" s="96">
        <v>1.1639507076406859</v>
      </c>
      <c r="E19" s="96">
        <v>8.5026208689733221E-2</v>
      </c>
      <c r="F19" s="96">
        <v>1.064118117869111</v>
      </c>
      <c r="G19" s="98"/>
      <c r="I19" s="51"/>
    </row>
    <row r="20" spans="1:11" x14ac:dyDescent="0.35">
      <c r="A20" s="72" t="s">
        <v>26</v>
      </c>
      <c r="B20" s="49">
        <v>73092.600940000004</v>
      </c>
      <c r="C20" s="96">
        <v>6.9861411970717465E-3</v>
      </c>
      <c r="D20" s="96">
        <v>0.83741377869897193</v>
      </c>
      <c r="E20" s="96">
        <v>7.5617881029297174E-2</v>
      </c>
      <c r="F20" s="96">
        <v>0.9463712245688104</v>
      </c>
      <c r="G20" s="98"/>
      <c r="I20" s="51"/>
    </row>
    <row r="21" spans="1:11" x14ac:dyDescent="0.35">
      <c r="A21" s="72" t="s">
        <v>27</v>
      </c>
      <c r="B21" s="49">
        <v>60723.737540000002</v>
      </c>
      <c r="C21" s="96">
        <v>7.6412035439621384E-3</v>
      </c>
      <c r="D21" s="96">
        <v>0.9159346988634296</v>
      </c>
      <c r="E21" s="96">
        <v>7.9963554704738149E-2</v>
      </c>
      <c r="F21" s="96">
        <v>1.0007581031988813</v>
      </c>
      <c r="G21" s="98"/>
      <c r="I21" s="51"/>
    </row>
    <row r="22" spans="1:11" x14ac:dyDescent="0.35">
      <c r="A22" s="72" t="s">
        <v>28</v>
      </c>
      <c r="B22" s="49">
        <v>77284.278030000001</v>
      </c>
      <c r="C22" s="96">
        <v>9.2619999937169073E-3</v>
      </c>
      <c r="D22" s="96">
        <v>1.1102160970206734</v>
      </c>
      <c r="E22" s="96">
        <v>9.6248399000312457E-2</v>
      </c>
      <c r="F22" s="96">
        <v>1.2045658247078201</v>
      </c>
      <c r="G22" s="98"/>
      <c r="I22" s="51"/>
    </row>
    <row r="23" spans="1:11" x14ac:dyDescent="0.35">
      <c r="A23" s="72" t="s">
        <v>31</v>
      </c>
      <c r="B23" s="49">
        <v>39459.379829999998</v>
      </c>
      <c r="C23" s="96">
        <v>8.3834226234884551E-3</v>
      </c>
      <c r="D23" s="96">
        <v>1.0049029098507951</v>
      </c>
      <c r="E23" s="96">
        <v>8.4966462858322434E-2</v>
      </c>
      <c r="F23" s="96">
        <v>1.0633703881672802</v>
      </c>
      <c r="G23" s="98"/>
      <c r="I23" s="51"/>
    </row>
    <row r="24" spans="1:11" x14ac:dyDescent="0.35">
      <c r="A24" s="84" t="s">
        <v>35</v>
      </c>
      <c r="B24" s="85">
        <v>389794.54232999997</v>
      </c>
      <c r="C24" s="88">
        <v>8.5578642977570916E-3</v>
      </c>
      <c r="D24" s="88">
        <v>1.0258128596343901</v>
      </c>
      <c r="E24" s="88">
        <v>8.4686260730979623E-2</v>
      </c>
      <c r="F24" s="88">
        <v>1.059863608728731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8.3425199999999991E-3</v>
      </c>
      <c r="E25" s="87"/>
      <c r="F25" s="86">
        <v>7.9902979999999998E-2</v>
      </c>
      <c r="I25" s="49"/>
    </row>
    <row r="27" spans="1:11" ht="15" thickBot="1" x14ac:dyDescent="0.4">
      <c r="A27" s="117" t="s">
        <v>58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36</v>
      </c>
      <c r="D28" s="67"/>
      <c r="E28" s="64" t="s">
        <v>14</v>
      </c>
      <c r="F28" s="65"/>
    </row>
    <row r="29" spans="1:11" x14ac:dyDescent="0.35">
      <c r="A29" s="73" t="s">
        <v>34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15976.347009999999</v>
      </c>
      <c r="C30" s="97">
        <v>8.1003510011006252E-3</v>
      </c>
      <c r="D30" s="97">
        <v>0.97097172090694717</v>
      </c>
      <c r="E30" s="97">
        <v>7.8104011582794231E-2</v>
      </c>
      <c r="F30" s="97">
        <v>0.9774855904347276</v>
      </c>
      <c r="G30" s="98"/>
    </row>
    <row r="31" spans="1:11" x14ac:dyDescent="0.35">
      <c r="A31" s="77" t="s">
        <v>25</v>
      </c>
      <c r="B31" s="78">
        <v>16992.533149999999</v>
      </c>
      <c r="C31" s="97">
        <v>8.5921553698595776E-3</v>
      </c>
      <c r="D31" s="97">
        <v>1.0299232569846495</v>
      </c>
      <c r="E31" s="97">
        <v>8.3579696214521201E-2</v>
      </c>
      <c r="F31" s="97">
        <v>1.0460147570781615</v>
      </c>
      <c r="G31" s="98"/>
      <c r="I31" s="51"/>
    </row>
    <row r="32" spans="1:11" x14ac:dyDescent="0.35">
      <c r="A32" s="84" t="s">
        <v>41</v>
      </c>
      <c r="B32" s="85">
        <v>32968.880160000001</v>
      </c>
      <c r="C32" s="88">
        <v>8.3538325266754778E-3</v>
      </c>
      <c r="D32" s="88">
        <v>1.0013560083374662</v>
      </c>
      <c r="E32" s="88">
        <v>8.0926241278556091E-2</v>
      </c>
      <c r="F32" s="88">
        <v>1.0128062968184177</v>
      </c>
      <c r="I32" s="51"/>
    </row>
    <row r="33" spans="1:10" x14ac:dyDescent="0.35">
      <c r="A33" s="82" t="s">
        <v>13</v>
      </c>
      <c r="B33" s="83"/>
      <c r="C33" s="83"/>
      <c r="D33" s="86">
        <v>8.3425199999999991E-3</v>
      </c>
      <c r="E33" s="87"/>
      <c r="F33" s="86">
        <v>7.9902979999999998E-2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59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36</v>
      </c>
      <c r="D36" s="67"/>
      <c r="E36" s="64" t="s">
        <v>14</v>
      </c>
      <c r="F36" s="65"/>
      <c r="J36" s="81" t="s">
        <v>42</v>
      </c>
    </row>
    <row r="37" spans="1:10" x14ac:dyDescent="0.35">
      <c r="A37" s="73" t="s">
        <v>34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17.774049999999999</v>
      </c>
      <c r="C38" s="97">
        <v>4.9535938864848639E-3</v>
      </c>
      <c r="D38" s="97">
        <v>0.59377668695848063</v>
      </c>
      <c r="E38" s="97">
        <v>6.1775780748473119E-2</v>
      </c>
      <c r="F38" s="97">
        <v>0.77313487868003317</v>
      </c>
    </row>
    <row r="39" spans="1:10" x14ac:dyDescent="0.35">
      <c r="A39" s="77" t="s">
        <v>17</v>
      </c>
      <c r="B39" s="49">
        <v>76.631339999999994</v>
      </c>
      <c r="C39" s="97">
        <v>8.929725053780313E-3</v>
      </c>
      <c r="D39" s="97">
        <v>1.0703870118118162</v>
      </c>
      <c r="E39" s="97">
        <v>8.8146713955843628E-2</v>
      </c>
      <c r="F39" s="97">
        <v>1.1031717960436973</v>
      </c>
    </row>
    <row r="40" spans="1:10" x14ac:dyDescent="0.35">
      <c r="A40" s="77" t="s">
        <v>2</v>
      </c>
      <c r="B40" s="49">
        <v>190.28795000000002</v>
      </c>
      <c r="C40" s="97">
        <v>6.8161966256652384E-3</v>
      </c>
      <c r="D40" s="97">
        <v>0.81704288700119854</v>
      </c>
      <c r="E40" s="97">
        <v>6.5215697026086206E-2</v>
      </c>
      <c r="F40" s="97">
        <v>0.81618604244905768</v>
      </c>
    </row>
    <row r="41" spans="1:10" x14ac:dyDescent="0.35">
      <c r="A41" s="77" t="s">
        <v>10</v>
      </c>
      <c r="B41" s="49">
        <v>85.890429999999995</v>
      </c>
      <c r="C41" s="97">
        <v>8.2873466489055136E-3</v>
      </c>
      <c r="D41" s="97">
        <v>0.993386488603625</v>
      </c>
      <c r="E41" s="97">
        <v>8.3978071919568395E-2</v>
      </c>
      <c r="F41" s="97">
        <v>1.0510004998507991</v>
      </c>
    </row>
    <row r="42" spans="1:10" x14ac:dyDescent="0.35">
      <c r="A42" s="84" t="s">
        <v>44</v>
      </c>
      <c r="B42" s="85">
        <v>370.58377000000002</v>
      </c>
      <c r="C42" s="88">
        <v>7.5048782412924951E-3</v>
      </c>
      <c r="D42" s="88">
        <v>0.89959367688570069</v>
      </c>
      <c r="E42" s="88">
        <v>7.4141079156011327E-2</v>
      </c>
      <c r="F42" s="88">
        <v>0.92788878657606166</v>
      </c>
    </row>
    <row r="43" spans="1:10" x14ac:dyDescent="0.35">
      <c r="A43" s="82" t="s">
        <v>13</v>
      </c>
      <c r="B43" s="83"/>
      <c r="C43" s="83"/>
      <c r="D43" s="86">
        <v>8.3425199999999991E-3</v>
      </c>
      <c r="E43" s="87"/>
      <c r="F43" s="86">
        <v>7.9902979999999998E-2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2024-10-04T17:12:18Z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