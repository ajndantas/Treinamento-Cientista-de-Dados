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Investimentos Financeiros\2024\CNSEG\"/>
    </mc:Choice>
  </mc:AlternateContent>
  <xr:revisionPtr revIDLastSave="0" documentId="13_ncr:1_{6B4A87B6-8BF9-42F2-B775-6EE7E50E7796}" xr6:coauthVersionLast="47" xr6:coauthVersionMax="47" xr10:uidLastSave="{00000000-0000-0000-0000-000000000000}"/>
  <bookViews>
    <workbookView xWindow="-19320" yWindow="-120" windowWidth="19440" windowHeight="14880" tabRatio="844" xr2:uid="{00000000-000D-0000-FFFF-FFFF00000000}"/>
  </bookViews>
  <sheets>
    <sheet name="RESUMO" sheetId="3" r:id="rId1"/>
    <sheet name="Performance por Instituição" sheetId="16" r:id="rId2"/>
  </sheets>
  <definedNames>
    <definedName name="_xlnm.Print_Area" localSheetId="0">RESUMO!$A$1:$O$96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<sst xmlns="http://schemas.openxmlformats.org/spreadsheetml/2006/main" count="194" uniqueCount="58">
  <si>
    <t>Bradesco FIC Renda Fixa Marte</t>
  </si>
  <si>
    <t>Itaú Institucional Referenciado DI FI</t>
  </si>
  <si>
    <t>Itaú BBA Federal Provision CP FICFI</t>
  </si>
  <si>
    <t>FUNDOS DE INVESTIMENTO</t>
  </si>
  <si>
    <t>Fundo</t>
  </si>
  <si>
    <t>(%) Bench</t>
  </si>
  <si>
    <t>Porto Seguro Clássico Renda Fixa FIC FI</t>
  </si>
  <si>
    <t>MÊS</t>
  </si>
  <si>
    <t>Saldo (Mil)</t>
  </si>
  <si>
    <t xml:space="preserve"> </t>
  </si>
  <si>
    <t>BB Institucional RF</t>
  </si>
  <si>
    <t>TOTAL DOS FUNDOS DE INVESTIMENTOS</t>
  </si>
  <si>
    <t xml:space="preserve">BENCH = CDI  </t>
  </si>
  <si>
    <t>CDI</t>
  </si>
  <si>
    <t>ANO</t>
  </si>
  <si>
    <t>Mapfre Renda Fixa FI</t>
  </si>
  <si>
    <t>Sulamerica Excellence FI RF Crédito Privado</t>
  </si>
  <si>
    <t>Bradesco HSBC DI CP Executivo</t>
  </si>
  <si>
    <t>Bradesco FI Ref DI Federal Extra</t>
  </si>
  <si>
    <t>BB Solidez RF LP</t>
  </si>
  <si>
    <t>RENTABILIDADE E DESEMPENHO DATA BASE 31/01/18  - NOVA CARTEIRA CAIXA</t>
  </si>
  <si>
    <t>RENTABILIDADE E DESEMPENHO DATA BASE 31/01/18  - NOVA CARTEIRA RENDA FIXA</t>
  </si>
  <si>
    <t xml:space="preserve">RENTABILIDADE E DESEMPENHO DATA BASE 31/01/18  - CARTEIRA ANTIGA </t>
  </si>
  <si>
    <t>COMPOSIÇÃO DAS CARTEIRAS em 31/01/18</t>
  </si>
  <si>
    <t>Bradesco Asset</t>
  </si>
  <si>
    <t>Itaú Asset</t>
  </si>
  <si>
    <t>Porto Seguro Investimentos</t>
  </si>
  <si>
    <t>Mapfre Investimentos</t>
  </si>
  <si>
    <t>Sulamerica Investimentos</t>
  </si>
  <si>
    <t>INSTITUIÇÕES</t>
  </si>
  <si>
    <t>Rentab.</t>
  </si>
  <si>
    <t>BB DTVM</t>
  </si>
  <si>
    <t>¹ IPCA PROJETADO: FONTE ANBIMA</t>
  </si>
  <si>
    <t>BENCH = CDI</t>
  </si>
  <si>
    <t>TOTAL DA CARTEIRA - RENDA FIXA</t>
  </si>
  <si>
    <t xml:space="preserve"> MÊS</t>
  </si>
  <si>
    <t>TOTAL DA CARTEIRA - CAIXA</t>
  </si>
  <si>
    <t/>
  </si>
  <si>
    <t>Bradesco H FI RF CP LP Performance Institucional</t>
  </si>
  <si>
    <t>Institucional Active FIX IB MMFI</t>
  </si>
  <si>
    <t>Itaú Institucional Global Dinamico RF LP FIC</t>
  </si>
  <si>
    <t>TOTAL DA CARTEIRA - BLOQUEIOS</t>
  </si>
  <si>
    <r>
      <t>Bradesco FI Multimercado Plus I</t>
    </r>
    <r>
      <rPr>
        <sz val="8"/>
        <color theme="1"/>
        <rFont val="Calibri"/>
        <family val="2"/>
        <scheme val="minor"/>
      </rPr>
      <t xml:space="preserve"> </t>
    </r>
  </si>
  <si>
    <t xml:space="preserve">Porto Seguro FI RF Ref. DI Crédito Privado </t>
  </si>
  <si>
    <t xml:space="preserve">Porto Seguro IMA-B5- FICFI RF Longo Prazo </t>
  </si>
  <si>
    <t>Rend. (Mil)</t>
  </si>
  <si>
    <t>Itaú Institucional Legend RF Longo Prazo FICFI¹</t>
  </si>
  <si>
    <t>Itaú Corporate Crédito Privado Dif IQ RF</t>
  </si>
  <si>
    <t>¹ Rentabilidade anual calcuada com base no resgate total em fev/24 - CDI do período 1,7764</t>
  </si>
  <si>
    <t>RENTABILIDADE E DESEMPENHO DATA BASE 31/05/2024 - POR FUNDO DE INVESTIMENTO</t>
  </si>
  <si>
    <t>RENTABILIDADE (%) - EVOLUÇÃO POR FUNDO - DATA BASE 31/052024</t>
  </si>
  <si>
    <t>RENTABILIDADE E DESEMPENHO DATA BASE 31/05/2024- POR INSTITUIÇÃO</t>
  </si>
  <si>
    <t>RENTABILIDADE - EVOLUÇÃO POR CARTEIRA - DATA BASE 31/05/2024</t>
  </si>
  <si>
    <t>RENTABILIDADE e DESEMPENHO - CARTEIRA RENDA FIXA - DATA BASE 31/05/2024 - POR  INSTITUIÇÃO</t>
  </si>
  <si>
    <t>RENTABILIDADE E DESEMPENHO DATA BASE 31/05/2024  - POR INSTITUIÇÃO</t>
  </si>
  <si>
    <t>RENTABILIDADE e DESEMPENHO - CARTEIRA CAIXA - DATA BASE 31/05/24 - POR  INSTITUIÇÃO</t>
  </si>
  <si>
    <t>RENTABILIDADE e DESEMPENHO - CARTEIRA DE BLOQUEIOS - DATA BASE 31/05/24 - POR  INSTITUIÇÃO</t>
  </si>
  <si>
    <t xml:space="preserve">Bradesco FI Multimercado Plus 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</si>
</sst>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5" formatCode="_-* #,##0_-;\-* #,##0_-;_-* &quot;-&quot;??_-;_-@_-"/>
    <numFmt numFmtId="166" formatCode="0.0%"/>
    <numFmt numFmtId="167" formatCode="_(* #,##0.00_);_(* \(#,##0.00\);_(* &quot;-&quot;??_);_(@_)"/>
    <numFmt numFmtId="168" formatCode="0.000%"/>
    <numFmt numFmtId="182" formatCode="_-* #,##0.0_-;\-* #,##0.0_-;_-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2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</cellStyleXfs>
  <cellXfs count="119">
    <xf numFmtId="0" fontId="0" fillId="0" borderId="0" xfId="0"/>
    <xf numFmtId="43" fontId="0" fillId="0" borderId="0" xfId="1" applyFont="1"/>
    <xf numFmtId="0" fontId="3" fillId="0" borderId="0" xfId="0" applyFont="1" applyAlignment="1">
      <alignment horizontal="center" vertical="center" wrapText="1"/>
    </xf>
    <xf numFmtId="0" fontId="0" fillId="4" borderId="0" xfId="0" applyFill="1"/>
    <xf numFmtId="43" fontId="0" fillId="4" borderId="0" xfId="1" applyFont="1" applyFill="1" applyBorder="1"/>
    <xf numFmtId="9" fontId="0" fillId="4" borderId="0" xfId="2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9" fontId="2" fillId="4" borderId="0" xfId="2" applyFont="1" applyFill="1" applyBorder="1" applyAlignment="1">
      <alignment horizontal="center"/>
    </xf>
    <xf numFmtId="43" fontId="0" fillId="4" borderId="0" xfId="2" applyNumberFormat="1" applyFont="1" applyFill="1" applyBorder="1"/>
    <xf numFmtId="9" fontId="2" fillId="4" borderId="0" xfId="2" applyFont="1" applyFill="1" applyBorder="1"/>
    <xf numFmtId="43" fontId="2" fillId="4" borderId="0" xfId="1" applyFont="1" applyFill="1" applyBorder="1" applyAlignment="1">
      <alignment horizontal="center"/>
    </xf>
    <xf numFmtId="43" fontId="2" fillId="4" borderId="0" xfId="1" applyFont="1" applyFill="1" applyBorder="1"/>
    <xf numFmtId="0" fontId="5" fillId="4" borderId="0" xfId="0" applyFont="1" applyFill="1"/>
    <xf numFmtId="43" fontId="5" fillId="4" borderId="0" xfId="1" applyFont="1" applyFill="1" applyBorder="1" applyAlignment="1">
      <alignment horizontal="center"/>
    </xf>
    <xf numFmtId="10" fontId="5" fillId="4" borderId="0" xfId="2" applyNumberFormat="1" applyFont="1" applyFill="1" applyBorder="1" applyAlignment="1">
      <alignment horizontal="center"/>
    </xf>
    <xf numFmtId="43" fontId="0" fillId="4" borderId="0" xfId="1" applyFont="1" applyFill="1" applyBorder="1" applyAlignment="1">
      <alignment horizontal="center"/>
    </xf>
    <xf numFmtId="10" fontId="0" fillId="4" borderId="0" xfId="2" applyNumberFormat="1" applyFont="1" applyFill="1" applyBorder="1" applyAlignment="1">
      <alignment horizontal="center"/>
    </xf>
    <xf numFmtId="43" fontId="5" fillId="4" borderId="0" xfId="1" applyFont="1" applyFill="1" applyBorder="1"/>
    <xf numFmtId="10" fontId="5" fillId="4" borderId="0" xfId="2" applyNumberFormat="1" applyFont="1" applyFill="1" applyBorder="1"/>
    <xf numFmtId="0" fontId="6" fillId="0" borderId="0" xfId="0" applyFont="1" applyAlignment="1">
      <alignment horizontal="center"/>
    </xf>
    <xf numFmtId="43" fontId="6" fillId="0" borderId="0" xfId="1" applyFont="1" applyFill="1"/>
    <xf numFmtId="9" fontId="6" fillId="0" borderId="0" xfId="2" applyFont="1" applyFill="1"/>
    <xf numFmtId="9" fontId="2" fillId="6" borderId="3" xfId="2" applyFont="1" applyFill="1" applyBorder="1"/>
    <xf numFmtId="0" fontId="6" fillId="6" borderId="0" xfId="0" applyFont="1" applyFill="1" applyAlignment="1">
      <alignment horizontal="center"/>
    </xf>
    <xf numFmtId="43" fontId="6" fillId="6" borderId="0" xfId="1" applyFont="1" applyFill="1"/>
    <xf numFmtId="0" fontId="2" fillId="7" borderId="0" xfId="0" applyFont="1" applyFill="1"/>
    <xf numFmtId="0" fontId="6" fillId="7" borderId="0" xfId="0" applyFont="1" applyFill="1" applyAlignment="1">
      <alignment horizontal="center"/>
    </xf>
    <xf numFmtId="165" fontId="7" fillId="0" borderId="0" xfId="0" applyNumberFormat="1" applyFont="1"/>
    <xf numFmtId="0" fontId="7" fillId="0" borderId="6" xfId="0" applyFont="1" applyBorder="1" applyAlignment="1">
      <alignment horizontal="left" vertical="center" wrapText="1"/>
    </xf>
    <xf numFmtId="165" fontId="7" fillId="0" borderId="6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43" fontId="6" fillId="6" borderId="2" xfId="1" applyFont="1" applyFill="1" applyBorder="1"/>
    <xf numFmtId="9" fontId="6" fillId="6" borderId="0" xfId="2" applyFont="1" applyFill="1" applyBorder="1"/>
    <xf numFmtId="9" fontId="6" fillId="6" borderId="3" xfId="2" applyFont="1" applyFill="1" applyBorder="1"/>
    <xf numFmtId="168" fontId="7" fillId="0" borderId="6" xfId="2" applyNumberFormat="1" applyFont="1" applyFill="1" applyBorder="1" applyAlignment="1">
      <alignment horizontal="center" vertical="center" wrapText="1"/>
    </xf>
    <xf numFmtId="168" fontId="8" fillId="0" borderId="7" xfId="2" applyNumberFormat="1" applyFont="1" applyBorder="1" applyAlignment="1">
      <alignment horizontal="center" vertical="center" wrapText="1"/>
    </xf>
    <xf numFmtId="168" fontId="7" fillId="0" borderId="0" xfId="2" applyNumberFormat="1" applyFont="1" applyFill="1"/>
    <xf numFmtId="168" fontId="3" fillId="0" borderId="0" xfId="0" applyNumberFormat="1" applyFont="1"/>
    <xf numFmtId="168" fontId="7" fillId="0" borderId="0" xfId="2" applyNumberFormat="1" applyFont="1"/>
    <xf numFmtId="168" fontId="7" fillId="0" borderId="0" xfId="2" applyNumberFormat="1" applyFont="1" applyBorder="1"/>
    <xf numFmtId="0" fontId="0" fillId="0" borderId="0" xfId="0" applyAlignment="1">
      <alignment horizontal="center" vertical="center"/>
    </xf>
    <xf numFmtId="0" fontId="10" fillId="0" borderId="0" xfId="0" applyFont="1"/>
    <xf numFmtId="165" fontId="10" fillId="0" borderId="0" xfId="0" applyNumberFormat="1" applyFont="1"/>
    <xf numFmtId="168" fontId="10" fillId="0" borderId="0" xfId="2" applyNumberFormat="1" applyFont="1" applyFill="1"/>
    <xf numFmtId="0" fontId="10" fillId="0" borderId="5" xfId="0" applyFont="1" applyBorder="1"/>
    <xf numFmtId="165" fontId="10" fillId="0" borderId="5" xfId="0" applyNumberFormat="1" applyFont="1" applyBorder="1"/>
    <xf numFmtId="168" fontId="10" fillId="0" borderId="5" xfId="2" applyNumberFormat="1" applyFont="1" applyFill="1" applyBorder="1"/>
    <xf numFmtId="165" fontId="0" fillId="0" borderId="0" xfId="0" applyNumberFormat="1"/>
    <xf numFmtId="0" fontId="0" fillId="0" borderId="0" xfId="0" applyAlignment="1">
      <alignment vertical="center" wrapText="1"/>
    </xf>
    <xf numFmtId="165" fontId="0" fillId="0" borderId="0" xfId="1" applyNumberFormat="1" applyFont="1"/>
    <xf numFmtId="0" fontId="7" fillId="0" borderId="4" xfId="0" applyFont="1" applyBorder="1" applyAlignment="1">
      <alignment horizontal="left" vertical="center" wrapText="1"/>
    </xf>
    <xf numFmtId="165" fontId="7" fillId="0" borderId="4" xfId="0" applyNumberFormat="1" applyFont="1" applyBorder="1" applyAlignment="1">
      <alignment horizontal="center" vertical="center" wrapText="1"/>
    </xf>
    <xf numFmtId="168" fontId="7" fillId="8" borderId="4" xfId="2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vertical="top"/>
    </xf>
    <xf numFmtId="43" fontId="6" fillId="6" borderId="0" xfId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left" vertical="center"/>
    </xf>
    <xf numFmtId="0" fontId="11" fillId="0" borderId="4" xfId="0" applyFont="1" applyBorder="1"/>
    <xf numFmtId="0" fontId="0" fillId="3" borderId="4" xfId="0" applyFill="1" applyBorder="1"/>
    <xf numFmtId="0" fontId="10" fillId="0" borderId="0" xfId="0" applyFont="1" applyAlignment="1">
      <alignment horizontal="left" vertical="center"/>
    </xf>
    <xf numFmtId="0" fontId="2" fillId="7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43" fontId="2" fillId="6" borderId="0" xfId="1" applyFont="1" applyFill="1" applyAlignment="1">
      <alignment horizontal="center"/>
    </xf>
    <xf numFmtId="43" fontId="2" fillId="6" borderId="0" xfId="1" applyFont="1" applyFill="1"/>
    <xf numFmtId="43" fontId="2" fillId="6" borderId="2" xfId="1" applyFont="1" applyFill="1" applyBorder="1"/>
    <xf numFmtId="9" fontId="2" fillId="6" borderId="0" xfId="2" applyFont="1" applyFill="1" applyBorder="1"/>
    <xf numFmtId="0" fontId="1" fillId="0" borderId="0" xfId="0" applyFont="1" applyAlignment="1">
      <alignment horizontal="left" vertical="center"/>
    </xf>
    <xf numFmtId="165" fontId="1" fillId="0" borderId="0" xfId="0" applyNumberFormat="1" applyFont="1"/>
    <xf numFmtId="168" fontId="1" fillId="0" borderId="0" xfId="2" applyNumberFormat="1" applyFont="1" applyFill="1"/>
    <xf numFmtId="0" fontId="2" fillId="6" borderId="0" xfId="0" applyFont="1" applyFill="1" applyAlignment="1">
      <alignment horizontal="center"/>
    </xf>
    <xf numFmtId="0" fontId="0" fillId="0" borderId="0" xfId="0" quotePrefix="1"/>
    <xf numFmtId="0" fontId="11" fillId="0" borderId="5" xfId="0" applyFont="1" applyBorder="1" applyAlignment="1">
      <alignment horizontal="left" vertical="center" wrapText="1"/>
    </xf>
    <xf numFmtId="165" fontId="3" fillId="0" borderId="5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165" fontId="3" fillId="0" borderId="6" xfId="0" applyNumberFormat="1" applyFont="1" applyBorder="1" applyAlignment="1">
      <alignment horizontal="center" vertical="center" wrapText="1"/>
    </xf>
    <xf numFmtId="10" fontId="3" fillId="0" borderId="5" xfId="2" applyNumberFormat="1" applyFont="1" applyBorder="1" applyAlignment="1">
      <alignment horizontal="center" vertical="center" wrapText="1"/>
    </xf>
    <xf numFmtId="10" fontId="3" fillId="0" borderId="5" xfId="0" applyNumberFormat="1" applyFont="1" applyBorder="1" applyAlignment="1">
      <alignment horizontal="center" vertical="center" wrapText="1"/>
    </xf>
    <xf numFmtId="10" fontId="3" fillId="0" borderId="6" xfId="2" applyNumberFormat="1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182" fontId="10" fillId="0" borderId="0" xfId="0" applyNumberFormat="1" applyFont="1"/>
    <xf numFmtId="182" fontId="7" fillId="0" borderId="4" xfId="0" applyNumberFormat="1" applyFont="1" applyBorder="1" applyAlignment="1">
      <alignment horizontal="center" vertical="center" wrapText="1"/>
    </xf>
    <xf numFmtId="182" fontId="7" fillId="0" borderId="6" xfId="0" applyNumberFormat="1" applyFont="1" applyBorder="1" applyAlignment="1">
      <alignment horizontal="center" vertical="center" wrapText="1"/>
    </xf>
    <xf numFmtId="182" fontId="3" fillId="0" borderId="4" xfId="0" applyNumberFormat="1" applyFont="1" applyBorder="1"/>
    <xf numFmtId="10" fontId="10" fillId="0" borderId="0" xfId="2" applyNumberFormat="1" applyFont="1" applyFill="1"/>
    <xf numFmtId="10" fontId="8" fillId="0" borderId="7" xfId="2" applyNumberFormat="1" applyFont="1" applyBorder="1" applyAlignment="1">
      <alignment horizontal="center" vertical="center" wrapText="1"/>
    </xf>
    <xf numFmtId="10" fontId="0" fillId="0" borderId="0" xfId="2" applyNumberFormat="1" applyFont="1" applyFill="1"/>
    <xf numFmtId="10" fontId="1" fillId="0" borderId="0" xfId="2" applyNumberFormat="1" applyFont="1" applyFill="1"/>
    <xf numFmtId="166" fontId="0" fillId="0" borderId="0" xfId="2" applyNumberFormat="1" applyFont="1"/>
    <xf numFmtId="166" fontId="0" fillId="0" borderId="0" xfId="1" applyNumberFormat="1" applyFont="1"/>
    <xf numFmtId="0" fontId="3" fillId="5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3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</cellXfs>
  <cellStyles count="15">
    <cellStyle name="Normal" xfId="0" builtinId="0"/>
    <cellStyle name="Normal 2" xfId="3" xr:uid="{00000000-0005-0000-0000-000001000000}"/>
    <cellStyle name="Normal 2 2" xfId="12" xr:uid="{00000000-0005-0000-0000-000002000000}"/>
    <cellStyle name="Normal 3" xfId="9" xr:uid="{00000000-0005-0000-0000-000003000000}"/>
    <cellStyle name="Normal 4" xfId="6" xr:uid="{00000000-0005-0000-0000-000004000000}"/>
    <cellStyle name="Porcentagem" xfId="2" builtinId="5"/>
    <cellStyle name="Porcentagem 2" xfId="7" xr:uid="{00000000-0005-0000-0000-000006000000}"/>
    <cellStyle name="Porcentagem 2 2" xfId="13" xr:uid="{00000000-0005-0000-0000-000007000000}"/>
    <cellStyle name="Porcentagem 3" xfId="10" xr:uid="{00000000-0005-0000-0000-000008000000}"/>
    <cellStyle name="Separador de milhares 2" xfId="8" xr:uid="{00000000-0005-0000-0000-000009000000}"/>
    <cellStyle name="Separador de milhares 2 2" xfId="14" xr:uid="{00000000-0005-0000-0000-00000A000000}"/>
    <cellStyle name="Vírgula" xfId="1" builtinId="3"/>
    <cellStyle name="Vírgula 2" xfId="5" xr:uid="{00000000-0005-0000-0000-00000C000000}"/>
    <cellStyle name="Vírgula 2 2" xfId="11" xr:uid="{00000000-0005-0000-0000-00000D000000}"/>
    <cellStyle name="Vírgula 3" xfId="4" xr:uid="{00000000-0005-0000-0000-00000E000000}"/>
  </cellStyles>
  <dxfs count="0"/>
  <tableStyles count="0" defaultTableStyle="TableStyleMedium2" defaultPivotStyle="PivotStyleLight16"/>
  <colors>
    <mruColors>
      <color rgb="FFFFFFCC"/>
      <color rgb="FFFF9900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605946594919554"/>
          <c:y val="6.4040001334096496E-3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6904693020392706E-2"/>
          <c:y val="0.2765942537498724"/>
          <c:w val="0.81534399476287645"/>
          <c:h val="0.66491033085930307"/>
        </c:manualLayout>
      </c:layout>
      <c:pie3DChart>
        <c:varyColors val="1"/>
        <c:ser>
          <c:idx val="0"/>
          <c:order val="0"/>
          <c:explosion val="32"/>
          <c:dLbls>
            <c:dLbl>
              <c:idx val="0"/>
              <c:layout>
                <c:manualLayout>
                  <c:x val="-0.35105510061200129"/>
                  <c:y val="1.32806612267421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27-4F19-AF9B-075162FC6DBB}"/>
                </c:ext>
              </c:extLst>
            </c:dLbl>
            <c:dLbl>
              <c:idx val="1"/>
              <c:layout>
                <c:manualLayout>
                  <c:x val="0.23825325019584767"/>
                  <c:y val="0.106564664432616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27-4F19-AF9B-075162FC6DBB}"/>
                </c:ext>
              </c:extLst>
            </c:dLbl>
            <c:dLbl>
              <c:idx val="2"/>
              <c:layout>
                <c:manualLayout>
                  <c:x val="-0.1820408597269513"/>
                  <c:y val="-0.296758313931100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27-4F19-AF9B-075162FC6DBB}"/>
                </c:ext>
              </c:extLst>
            </c:dLbl>
            <c:dLbl>
              <c:idx val="3"/>
              <c:layout>
                <c:manualLayout>
                  <c:x val="-0.15902894574064153"/>
                  <c:y val="0.1025236322057635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27-4F19-AF9B-075162FC6DB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327-4F19-AF9B-075162FC6DB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6.9194201467114483E-2"/>
                  <c:y val="3.30816823892301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E4-4AEE-983D-BB74B42C0199}"/>
                </c:ext>
              </c:extLst>
            </c:dLbl>
            <c:dLbl>
              <c:idx val="1"/>
              <c:layout>
                <c:manualLayout>
                  <c:x val="-0.12964515233822732"/>
                  <c:y val="5.7033786275056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E4-4AEE-983D-BB74B42C01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E4-4AEE-983D-BB74B42C019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136298251526334E-2"/>
          <c:y val="0.2197362329546689"/>
          <c:w val="0.80760011067724191"/>
          <c:h val="0.66655012025116533"/>
        </c:manualLayout>
      </c:layout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0.24654428330124789"/>
                  <c:y val="-0.208964716033830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83-40AD-B528-5A2457A884B3}"/>
                </c:ext>
              </c:extLst>
            </c:dLbl>
            <c:dLbl>
              <c:idx val="1"/>
              <c:layout>
                <c:manualLayout>
                  <c:x val="-4.5733152985033859E-2"/>
                  <c:y val="7.62302991315535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83-40AD-B528-5A2457A884B3}"/>
                </c:ext>
              </c:extLst>
            </c:dLbl>
            <c:dLbl>
              <c:idx val="2"/>
              <c:layout>
                <c:manualLayout>
                  <c:x val="-0.10726395073095971"/>
                  <c:y val="0.392626155088069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83-40AD-B528-5A2457A884B3}"/>
                </c:ext>
              </c:extLst>
            </c:dLbl>
            <c:dLbl>
              <c:idx val="3"/>
              <c:layout>
                <c:manualLayout>
                  <c:x val="-8.8628879473289734E-2"/>
                  <c:y val="3.541042908337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83-40AD-B528-5A2457A884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883-40AD-B528-5A2457A884B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901055972454037E-2"/>
          <c:y val="0.24213816592473369"/>
          <c:w val="0.81762626329000798"/>
          <c:h val="0.65469540945974258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0FC-405B-93F4-D7FD62D8050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1.279387631573772E-2"/>
                  <c:y val="-0.29416965956801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63-4CB7-B70B-FA5985FF5595}"/>
                </c:ext>
              </c:extLst>
            </c:dLbl>
            <c:dLbl>
              <c:idx val="1"/>
              <c:layout>
                <c:manualLayout>
                  <c:x val="-3.4769017968546846E-2"/>
                  <c:y val="-3.97041672500714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63-4CB7-B70B-FA5985FF5595}"/>
                </c:ext>
              </c:extLst>
            </c:dLbl>
            <c:dLbl>
              <c:idx val="2"/>
              <c:layout>
                <c:manualLayout>
                  <c:x val="-0.27912781639435968"/>
                  <c:y val="0.185438616014972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63-4CB7-B70B-FA5985FF5595}"/>
                </c:ext>
              </c:extLst>
            </c:dLbl>
            <c:dLbl>
              <c:idx val="3"/>
              <c:layout>
                <c:manualLayout>
                  <c:x val="1.2236439195100611E-3"/>
                  <c:y val="-5.18183499638052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63-4CB7-B70B-FA5985FF559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A63-4CB7-B70B-FA5985FF559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111C-430E-AD49-70D0330FEF1F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1C-430E-AD49-70D0330FEF1F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1C-430E-AD49-70D0330FEF1F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1C-430E-AD49-70D0330FEF1F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1C-430E-AD49-70D0330FEF1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11C-430E-AD49-70D0330FEF1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A7BD-4B04-A601-A05797CF6837}"/>
              </c:ext>
            </c:extLst>
          </c:dPt>
          <c:dLbls>
            <c:dLbl>
              <c:idx val="0"/>
              <c:layout>
                <c:manualLayout>
                  <c:x val="-0.3"/>
                  <c:y val="-0.122614553817646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BD-4B04-A601-A05797CF683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BD-4B04-A601-A05797CF6837}"/>
                </c:ext>
              </c:extLst>
            </c:dLbl>
            <c:dLbl>
              <c:idx val="2"/>
              <c:layout>
                <c:manualLayout>
                  <c:x val="2.1654855643044625E-2"/>
                  <c:y val="-9.08634702764773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BD-4B04-A601-A05797CF6837}"/>
                </c:ext>
              </c:extLst>
            </c:dLbl>
            <c:dLbl>
              <c:idx val="3"/>
              <c:layout>
                <c:manualLayout>
                  <c:x val="0.40449540682414697"/>
                  <c:y val="-1.75700516357758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BD-4B04-A601-A05797CF68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A7BD-4B04-A601-A05797CF683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166666666666663E-2"/>
          <c:y val="0.34845340210387976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D3F3-4305-B7DD-A58963F328AB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2.84478984027050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F3-4305-B7DD-A58963F328AB}"/>
                </c:ext>
              </c:extLst>
            </c:dLbl>
            <c:dLbl>
              <c:idx val="1"/>
              <c:layout>
                <c:manualLayout>
                  <c:x val="-0.14516666666666667"/>
                  <c:y val="-0.14289691426249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F3-4305-B7DD-A58963F328AB}"/>
                </c:ext>
              </c:extLst>
            </c:dLbl>
            <c:dLbl>
              <c:idx val="2"/>
              <c:layout>
                <c:manualLayout>
                  <c:x val="-6.1229221347331581E-3"/>
                  <c:y val="-9.69776579308269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F3-4305-B7DD-A58963F328AB}"/>
                </c:ext>
              </c:extLst>
            </c:dLbl>
            <c:dLbl>
              <c:idx val="3"/>
              <c:layout>
                <c:manualLayout>
                  <c:x val="6.5606517935258041E-2"/>
                  <c:y val="-9.10598932564872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F3-4305-B7DD-A58963F328A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3F3-4305-B7DD-A58963F328A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28AD-41F3-90C8-6A4CD2E4FD87}"/>
              </c:ext>
            </c:extLst>
          </c:dPt>
          <c:dLbls>
            <c:dLbl>
              <c:idx val="0"/>
              <c:layout>
                <c:manualLayout>
                  <c:x val="-0.20555555555555549"/>
                  <c:y val="-0.285925221056150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AD-41F3-90C8-6A4CD2E4FD8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AD-41F3-90C8-6A4CD2E4FD87}"/>
                </c:ext>
              </c:extLst>
            </c:dLbl>
            <c:dLbl>
              <c:idx val="2"/>
              <c:layout>
                <c:manualLayout>
                  <c:x val="-0.12001181102362204"/>
                  <c:y val="0.138772951503471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AD-41F3-90C8-6A4CD2E4FD87}"/>
                </c:ext>
              </c:extLst>
            </c:dLbl>
            <c:dLbl>
              <c:idx val="3"/>
              <c:layout>
                <c:manualLayout>
                  <c:x val="0.13227318460192475"/>
                  <c:y val="-1.348727832098590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AD-41F3-90C8-6A4CD2E4FD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28AD-41F3-90C8-6A4CD2E4FD8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416666666666667"/>
          <c:y val="0.17289428042827268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E316-4A86-AE7A-0E8DACB7729D}"/>
              </c:ext>
            </c:extLst>
          </c:dPt>
          <c:dLbls>
            <c:dLbl>
              <c:idx val="0"/>
              <c:layout>
                <c:manualLayout>
                  <c:x val="-0.20833333333333334"/>
                  <c:y val="3.6613424590156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16-4A86-AE7A-0E8DACB7729D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16-4A86-AE7A-0E8DACB7729D}"/>
                </c:ext>
              </c:extLst>
            </c:dLbl>
            <c:dLbl>
              <c:idx val="2"/>
              <c:layout>
                <c:manualLayout>
                  <c:x val="-9.5011811023622064E-2"/>
                  <c:y val="-3.26624628090405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16-4A86-AE7A-0E8DACB7729D}"/>
                </c:ext>
              </c:extLst>
            </c:dLbl>
            <c:dLbl>
              <c:idx val="3"/>
              <c:layout>
                <c:manualLayout>
                  <c:x val="0.15679330708661418"/>
                  <c:y val="5.18370043415572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16-4A86-AE7A-0E8DACB7729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316-4A86-AE7A-0E8DACB7729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BF85-491B-8483-1269E6A8CAB4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85-491B-8483-1269E6A8CAB4}"/>
                </c:ext>
              </c:extLst>
            </c:dLbl>
            <c:dLbl>
              <c:idx val="1"/>
              <c:layout>
                <c:manualLayout>
                  <c:x val="-7.2222222222222219E-4"/>
                  <c:y val="-0.299193573016441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85-491B-8483-1269E6A8CAB4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85-491B-8483-1269E6A8CAB4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85-491B-8483-1269E6A8CA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F85-491B-8483-1269E6A8CAB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emf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99</xdr:row>
      <xdr:rowOff>53664</xdr:rowOff>
    </xdr:from>
    <xdr:to>
      <xdr:col>1</xdr:col>
      <xdr:colOff>389050</xdr:colOff>
      <xdr:row>115</xdr:row>
      <xdr:rowOff>83972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563450</xdr:colOff>
      <xdr:row>99</xdr:row>
      <xdr:rowOff>80492</xdr:rowOff>
    </xdr:from>
    <xdr:to>
      <xdr:col>6</xdr:col>
      <xdr:colOff>791514</xdr:colOff>
      <xdr:row>115</xdr:row>
      <xdr:rowOff>67077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80493</xdr:colOff>
      <xdr:row>99</xdr:row>
      <xdr:rowOff>93906</xdr:rowOff>
    </xdr:from>
    <xdr:to>
      <xdr:col>9</xdr:col>
      <xdr:colOff>80493</xdr:colOff>
      <xdr:row>115</xdr:row>
      <xdr:rowOff>80491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348802</xdr:colOff>
      <xdr:row>99</xdr:row>
      <xdr:rowOff>67077</xdr:rowOff>
    </xdr:from>
    <xdr:to>
      <xdr:col>14</xdr:col>
      <xdr:colOff>764682</xdr:colOff>
      <xdr:row>115</xdr:row>
      <xdr:rowOff>93909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116</xdr:row>
      <xdr:rowOff>160986</xdr:rowOff>
    </xdr:from>
    <xdr:to>
      <xdr:col>1</xdr:col>
      <xdr:colOff>348803</xdr:colOff>
      <xdr:row>133</xdr:row>
      <xdr:rowOff>93908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536620</xdr:colOff>
      <xdr:row>116</xdr:row>
      <xdr:rowOff>174403</xdr:rowOff>
    </xdr:from>
    <xdr:to>
      <xdr:col>6</xdr:col>
      <xdr:colOff>764684</xdr:colOff>
      <xdr:row>133</xdr:row>
      <xdr:rowOff>107325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80493</xdr:colOff>
      <xdr:row>116</xdr:row>
      <xdr:rowOff>174403</xdr:rowOff>
    </xdr:from>
    <xdr:to>
      <xdr:col>9</xdr:col>
      <xdr:colOff>107326</xdr:colOff>
      <xdr:row>133</xdr:row>
      <xdr:rowOff>92150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402464</xdr:colOff>
      <xdr:row>117</xdr:row>
      <xdr:rowOff>0</xdr:rowOff>
    </xdr:from>
    <xdr:to>
      <xdr:col>14</xdr:col>
      <xdr:colOff>791512</xdr:colOff>
      <xdr:row>133</xdr:row>
      <xdr:rowOff>105563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1395212</xdr:colOff>
      <xdr:row>135</xdr:row>
      <xdr:rowOff>120739</xdr:rowOff>
    </xdr:from>
    <xdr:to>
      <xdr:col>4</xdr:col>
      <xdr:colOff>160988</xdr:colOff>
      <xdr:row>152</xdr:row>
      <xdr:rowOff>38487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670775</xdr:colOff>
      <xdr:row>135</xdr:row>
      <xdr:rowOff>80491</xdr:rowOff>
    </xdr:from>
    <xdr:to>
      <xdr:col>8</xdr:col>
      <xdr:colOff>1180563</xdr:colOff>
      <xdr:row>151</xdr:row>
      <xdr:rowOff>186056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1609859</xdr:colOff>
      <xdr:row>135</xdr:row>
      <xdr:rowOff>80492</xdr:rowOff>
    </xdr:from>
    <xdr:to>
      <xdr:col>13</xdr:col>
      <xdr:colOff>107324</xdr:colOff>
      <xdr:row>151</xdr:row>
      <xdr:rowOff>134155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8</xdr:col>
      <xdr:colOff>1590093</xdr:colOff>
      <xdr:row>3</xdr:row>
      <xdr:rowOff>7065</xdr:rowOff>
    </xdr:from>
    <xdr:to>
      <xdr:col>13</xdr:col>
      <xdr:colOff>542969</xdr:colOff>
      <xdr:row>21</xdr:row>
      <xdr:rowOff>10241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B1A23B4-2D19-2E9E-C2E4-CA64F018C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4389" y="718086"/>
          <a:ext cx="5587195" cy="44437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23</xdr:row>
      <xdr:rowOff>7066</xdr:rowOff>
    </xdr:from>
    <xdr:to>
      <xdr:col>15</xdr:col>
      <xdr:colOff>0</xdr:colOff>
      <xdr:row>85</xdr:row>
      <xdr:rowOff>40247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21C08385-65CB-19A3-D805-288604E25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954296" y="5668404"/>
          <a:ext cx="8478591" cy="3091913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0.1124</cdr:x>
      <cdr:y>0.17893</cdr:y>
    </cdr:from>
    <cdr:to>
      <cdr:x>0.1224</cdr:x>
      <cdr:y>0.26436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513874" y="448867"/>
          <a:ext cx="45719" cy="21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153"/>
  <sheetViews>
    <sheetView showGridLines="0" tabSelected="1" zoomScale="71" zoomScaleNormal="71" zoomScaleSheetLayoutView="71" workbookViewId="0">
      <selection activeCell="A91" sqref="A91"/>
    </sheetView>
  </sheetViews>
  <sheetFormatPr defaultRowHeight="14.5" x14ac:dyDescent="0.35"/>
  <cols>
    <col min="1" max="1" width="54.54296875" customWidth="1"/>
    <col min="2" max="2" width="15.7265625" customWidth="1"/>
    <col min="3" max="3" width="14.453125" bestFit="1" customWidth="1"/>
    <col min="4" max="4" width="10.90625" bestFit="1" customWidth="1"/>
    <col min="5" max="5" width="11.7265625" bestFit="1" customWidth="1"/>
    <col min="6" max="6" width="10.90625" bestFit="1" customWidth="1"/>
    <col min="7" max="7" width="11.7265625" bestFit="1" customWidth="1"/>
    <col min="8" max="8" width="12.54296875" bestFit="1" customWidth="1"/>
    <col min="9" max="9" width="41" customWidth="1"/>
    <col min="10" max="10" width="14.81640625" customWidth="1"/>
    <col min="11" max="11" width="14.453125" bestFit="1" customWidth="1"/>
    <col min="12" max="12" width="12" customWidth="1"/>
    <col min="13" max="13" width="12.90625" customWidth="1"/>
    <col min="14" max="14" width="10.90625" bestFit="1" customWidth="1"/>
    <col min="15" max="15" width="15.36328125" customWidth="1"/>
  </cols>
  <sheetData>
    <row r="2" spans="1:15" ht="23.25" customHeight="1" thickBot="1" x14ac:dyDescent="0.4">
      <c r="A2" s="107" t="s">
        <v>49</v>
      </c>
      <c r="B2" s="108"/>
      <c r="C2" s="108"/>
      <c r="D2" s="108"/>
      <c r="E2" s="108"/>
      <c r="F2" s="108"/>
      <c r="G2" s="108"/>
      <c r="H2" s="42"/>
      <c r="I2" s="100" t="s">
        <v>50</v>
      </c>
      <c r="J2" s="100"/>
      <c r="K2" s="100"/>
      <c r="L2" s="100"/>
      <c r="M2" s="100"/>
      <c r="N2" s="100"/>
      <c r="O2" s="100"/>
    </row>
    <row r="3" spans="1:15" ht="19.5" customHeight="1" thickTop="1" x14ac:dyDescent="0.35">
      <c r="I3" s="3"/>
      <c r="J3" s="4"/>
      <c r="K3" s="4"/>
      <c r="L3" s="5"/>
      <c r="M3" s="4"/>
      <c r="N3" s="5"/>
      <c r="O3" s="5"/>
    </row>
    <row r="4" spans="1:15" ht="15" customHeight="1" x14ac:dyDescent="0.45">
      <c r="A4" s="27" t="s">
        <v>3</v>
      </c>
      <c r="B4" s="26" t="s">
        <v>9</v>
      </c>
      <c r="C4" s="26"/>
      <c r="D4" s="101">
        <v>2023</v>
      </c>
      <c r="E4" s="102"/>
      <c r="F4" s="102"/>
      <c r="G4" s="103"/>
      <c r="I4" s="6"/>
      <c r="J4" s="7"/>
      <c r="K4" s="7"/>
      <c r="L4" s="8"/>
      <c r="M4" s="7"/>
      <c r="N4" s="8"/>
      <c r="O4" s="7"/>
    </row>
    <row r="5" spans="1:15" ht="15" customHeight="1" x14ac:dyDescent="0.45">
      <c r="A5" s="27"/>
      <c r="B5" s="26"/>
      <c r="C5" s="26"/>
      <c r="D5" s="101" t="s">
        <v>7</v>
      </c>
      <c r="E5" s="102"/>
      <c r="F5" s="104" t="s">
        <v>14</v>
      </c>
      <c r="G5" s="105"/>
      <c r="I5" s="6"/>
      <c r="J5" s="7"/>
      <c r="K5" s="7"/>
      <c r="L5" s="8"/>
      <c r="M5" s="7"/>
      <c r="N5" s="8"/>
      <c r="O5" s="7"/>
    </row>
    <row r="6" spans="1:15" ht="18.5" x14ac:dyDescent="0.45">
      <c r="A6" s="24" t="s">
        <v>12</v>
      </c>
      <c r="B6" s="25" t="s">
        <v>8</v>
      </c>
      <c r="C6" s="25" t="s">
        <v>45</v>
      </c>
      <c r="D6" s="33" t="s">
        <v>4</v>
      </c>
      <c r="E6" s="34" t="s">
        <v>5</v>
      </c>
      <c r="F6" s="33" t="s">
        <v>4</v>
      </c>
      <c r="G6" s="35" t="s">
        <v>5</v>
      </c>
      <c r="I6" s="4"/>
      <c r="J6" s="9"/>
      <c r="K6" s="9"/>
      <c r="L6" s="5"/>
      <c r="M6" s="4"/>
      <c r="N6" s="5"/>
      <c r="O6" s="4"/>
    </row>
    <row r="7" spans="1:15" ht="20" customHeight="1" x14ac:dyDescent="0.45">
      <c r="A7" s="20"/>
      <c r="D7" s="21"/>
      <c r="E7" s="22"/>
      <c r="F7" s="22"/>
      <c r="G7" s="22"/>
      <c r="I7" s="4"/>
      <c r="J7" s="9"/>
      <c r="K7" s="9"/>
      <c r="L7" s="5"/>
      <c r="M7" s="4"/>
      <c r="N7" s="5"/>
      <c r="O7" s="4"/>
    </row>
    <row r="8" spans="1:15" ht="20" customHeight="1" x14ac:dyDescent="0.45">
      <c r="A8" s="43" t="s">
        <v>0</v>
      </c>
      <c r="B8" s="90">
        <v>17.648169999999997</v>
      </c>
      <c r="C8" s="90">
        <v>-6.7300000000000181E-3</v>
      </c>
      <c r="D8" s="94">
        <v>6.1770514459549286E-3</v>
      </c>
      <c r="E8" s="94">
        <v>0.74123401727670812</v>
      </c>
      <c r="F8" s="94">
        <v>3.6520364244392978E-2</v>
      </c>
      <c r="G8" s="94">
        <v>0.831357723022073</v>
      </c>
      <c r="H8" s="38"/>
      <c r="I8" s="6"/>
      <c r="J8" s="11"/>
      <c r="K8" s="11"/>
      <c r="L8" s="8"/>
      <c r="M8" s="11"/>
      <c r="N8" s="8"/>
      <c r="O8" s="11"/>
    </row>
    <row r="9" spans="1:15" ht="20" customHeight="1" x14ac:dyDescent="0.45">
      <c r="A9" s="43" t="s">
        <v>17</v>
      </c>
      <c r="B9" s="90">
        <v>73.884270000000001</v>
      </c>
      <c r="C9" s="90">
        <v>4.0940000000000053E-2</v>
      </c>
      <c r="D9" s="94">
        <v>8.9439088094980246E-3</v>
      </c>
      <c r="E9" s="94">
        <v>1.0732514558158877</v>
      </c>
      <c r="F9" s="94">
        <v>4.9138948000849725E-2</v>
      </c>
      <c r="G9" s="94">
        <v>1.118609980127965</v>
      </c>
      <c r="H9" s="39"/>
      <c r="I9" s="3"/>
      <c r="J9" s="11"/>
      <c r="K9" s="11"/>
      <c r="L9" s="8"/>
      <c r="M9" s="11"/>
      <c r="N9" s="8"/>
      <c r="O9" s="11"/>
    </row>
    <row r="10" spans="1:15" ht="20" customHeight="1" x14ac:dyDescent="0.45">
      <c r="A10" s="43" t="s">
        <v>18</v>
      </c>
      <c r="B10" s="90">
        <v>24380.011200000001</v>
      </c>
      <c r="C10" s="90">
        <v>45.72495</v>
      </c>
      <c r="D10" s="94">
        <v>8.0693961078501797E-3</v>
      </c>
      <c r="E10" s="94">
        <v>0.96831165263091845</v>
      </c>
      <c r="F10" s="94">
        <v>4.2846074812603163E-2</v>
      </c>
      <c r="G10" s="94">
        <v>0.97535761029842438</v>
      </c>
      <c r="H10" s="40"/>
      <c r="I10" s="7"/>
      <c r="J10" s="12"/>
      <c r="K10" s="12"/>
      <c r="L10" s="10"/>
      <c r="M10" s="12"/>
      <c r="N10" s="10"/>
      <c r="O10" s="12"/>
    </row>
    <row r="11" spans="1:15" ht="20" customHeight="1" x14ac:dyDescent="0.45">
      <c r="A11" s="43" t="s">
        <v>42</v>
      </c>
      <c r="B11" s="90">
        <v>19416.820250000001</v>
      </c>
      <c r="C11" s="90">
        <v>48.917649999999995</v>
      </c>
      <c r="D11" s="94">
        <v>8.0704493626759799E-3</v>
      </c>
      <c r="E11" s="94">
        <v>0.96843804113724297</v>
      </c>
      <c r="F11" s="94">
        <v>3.8909694746332324E-2</v>
      </c>
      <c r="G11" s="94">
        <v>0.88574897586792745</v>
      </c>
      <c r="H11" s="39"/>
      <c r="I11" s="7"/>
      <c r="J11" s="12"/>
      <c r="K11" s="12"/>
      <c r="L11" s="10"/>
      <c r="M11" s="12"/>
      <c r="N11" s="10"/>
      <c r="O11" s="12"/>
    </row>
    <row r="12" spans="1:15" ht="20" customHeight="1" x14ac:dyDescent="0.45">
      <c r="A12" s="43" t="s">
        <v>38</v>
      </c>
      <c r="B12" s="90">
        <v>29061.1345</v>
      </c>
      <c r="C12" s="90">
        <v>10.296829999998183</v>
      </c>
      <c r="D12" s="94">
        <v>9.1113783066234522E-3</v>
      </c>
      <c r="E12" s="94">
        <v>1.0933474658963735</v>
      </c>
      <c r="F12" s="94">
        <v>5.1742534477337232E-2</v>
      </c>
      <c r="G12" s="94">
        <v>1.1778786038004694</v>
      </c>
      <c r="H12" s="39"/>
      <c r="I12" s="7"/>
      <c r="J12" s="12"/>
      <c r="K12" s="12"/>
      <c r="L12" s="10"/>
      <c r="M12" s="12"/>
      <c r="N12" s="10"/>
      <c r="O12" s="12"/>
    </row>
    <row r="13" spans="1:15" ht="20" customHeight="1" x14ac:dyDescent="0.45">
      <c r="A13" s="43" t="s">
        <v>1</v>
      </c>
      <c r="B13" s="90">
        <v>24788.397579999997</v>
      </c>
      <c r="C13" s="90">
        <v>126.53014999999999</v>
      </c>
      <c r="D13" s="94">
        <v>8.6101350067873117E-3</v>
      </c>
      <c r="E13" s="94">
        <v>1.0331992563466734</v>
      </c>
      <c r="F13" s="94">
        <v>4.6270908855712944E-2</v>
      </c>
      <c r="G13" s="94">
        <v>1.0533212968803667</v>
      </c>
      <c r="H13" s="38"/>
      <c r="I13" s="13"/>
      <c r="J13" s="14"/>
      <c r="K13" s="14"/>
      <c r="L13" s="15"/>
      <c r="M13" s="14"/>
      <c r="N13" s="15"/>
      <c r="O13" s="14"/>
    </row>
    <row r="14" spans="1:15" ht="20" customHeight="1" x14ac:dyDescent="0.45">
      <c r="A14" s="43" t="s">
        <v>39</v>
      </c>
      <c r="B14" s="90">
        <v>26631.059960000002</v>
      </c>
      <c r="C14" s="90">
        <v>22.774200000000011</v>
      </c>
      <c r="D14" s="94">
        <v>8.2846482634353347E-3</v>
      </c>
      <c r="E14" s="94">
        <v>0.99414148769184207</v>
      </c>
      <c r="F14" s="94">
        <v>4.2279981287431934E-2</v>
      </c>
      <c r="G14" s="94">
        <v>0.96247093093908176</v>
      </c>
      <c r="H14" s="39"/>
      <c r="I14" s="3"/>
      <c r="J14" s="16"/>
      <c r="K14" s="16"/>
      <c r="L14" s="17"/>
      <c r="M14" s="16"/>
      <c r="N14" s="17"/>
      <c r="O14" s="16"/>
    </row>
    <row r="15" spans="1:15" ht="20" customHeight="1" x14ac:dyDescent="0.45">
      <c r="A15" s="43" t="s">
        <v>47</v>
      </c>
      <c r="B15" s="90">
        <v>38063.07791</v>
      </c>
      <c r="C15" s="90">
        <v>58.05895000000001</v>
      </c>
      <c r="D15" s="94">
        <v>1.060226450961399E-2</v>
      </c>
      <c r="E15" s="94">
        <v>1.2722508762393085</v>
      </c>
      <c r="F15" s="94">
        <v>5.3444436841367127E-2</v>
      </c>
      <c r="G15" s="94">
        <v>1.216621089080665</v>
      </c>
      <c r="H15" s="38"/>
      <c r="I15" s="3"/>
      <c r="J15" s="16"/>
      <c r="K15" s="16"/>
      <c r="L15" s="17"/>
      <c r="M15" s="16"/>
      <c r="N15" s="17"/>
      <c r="O15" s="16"/>
    </row>
    <row r="16" spans="1:15" ht="20" customHeight="1" x14ac:dyDescent="0.45">
      <c r="A16" s="43" t="s">
        <v>46</v>
      </c>
      <c r="B16" s="90">
        <v>0</v>
      </c>
      <c r="C16" s="90">
        <v>0</v>
      </c>
      <c r="D16" s="94">
        <v>0</v>
      </c>
      <c r="E16" s="94">
        <v>0</v>
      </c>
      <c r="F16" s="94">
        <v>1.6195606829077835E-2</v>
      </c>
      <c r="G16" s="94">
        <v>0.91170945896632716</v>
      </c>
      <c r="H16" s="38"/>
      <c r="I16" s="3"/>
      <c r="J16" s="16"/>
      <c r="K16" s="16"/>
      <c r="L16" s="17"/>
      <c r="M16" s="16"/>
      <c r="N16" s="17"/>
      <c r="O16" s="16"/>
    </row>
    <row r="17" spans="1:15" ht="20" customHeight="1" x14ac:dyDescent="0.45">
      <c r="A17" s="43" t="s">
        <v>40</v>
      </c>
      <c r="B17" s="90">
        <v>21354.94687</v>
      </c>
      <c r="C17" s="90">
        <v>22.106049999999989</v>
      </c>
      <c r="D17" s="94">
        <v>8.7127509730595687E-3</v>
      </c>
      <c r="E17" s="94">
        <v>1.0455129703544346</v>
      </c>
      <c r="F17" s="94">
        <v>4.1728604806851255E-2</v>
      </c>
      <c r="G17" s="94">
        <v>0.94991927366764983</v>
      </c>
      <c r="H17" s="38"/>
      <c r="I17" s="3"/>
      <c r="J17" s="16"/>
      <c r="K17" s="16"/>
      <c r="L17" s="17"/>
      <c r="M17" s="16"/>
      <c r="N17" s="17"/>
      <c r="O17" s="16"/>
    </row>
    <row r="18" spans="1:15" ht="20" customHeight="1" x14ac:dyDescent="0.45">
      <c r="A18" s="43" t="s">
        <v>2</v>
      </c>
      <c r="B18" s="90">
        <v>185.10058999999998</v>
      </c>
      <c r="C18" s="90">
        <v>-0.29778999999999994</v>
      </c>
      <c r="D18" s="94">
        <v>6.807788045858354E-3</v>
      </c>
      <c r="E18" s="94">
        <v>0.81692116799584735</v>
      </c>
      <c r="F18" s="94">
        <v>3.617730703059463E-2</v>
      </c>
      <c r="G18" s="94">
        <v>0.82354829203663371</v>
      </c>
      <c r="H18" s="38"/>
      <c r="I18" s="3"/>
      <c r="J18" s="16"/>
      <c r="K18" s="16"/>
      <c r="L18" s="17"/>
      <c r="M18" s="16"/>
      <c r="N18" s="17"/>
      <c r="O18" s="16"/>
    </row>
    <row r="19" spans="1:15" ht="20" customHeight="1" x14ac:dyDescent="0.45">
      <c r="A19" s="43" t="s">
        <v>6</v>
      </c>
      <c r="B19" s="90">
        <v>20864.04869</v>
      </c>
      <c r="C19" s="90">
        <v>9.901290000002831</v>
      </c>
      <c r="D19" s="94">
        <v>6.9598200182119374E-3</v>
      </c>
      <c r="E19" s="94">
        <v>0.83516470548426258</v>
      </c>
      <c r="F19" s="94">
        <v>3.296848555370735E-2</v>
      </c>
      <c r="G19" s="94">
        <v>0.75050196372628819</v>
      </c>
      <c r="H19" s="38"/>
      <c r="I19" s="3"/>
      <c r="J19" s="16"/>
      <c r="K19" s="16"/>
      <c r="L19" s="17"/>
      <c r="M19" s="16"/>
      <c r="N19" s="17"/>
      <c r="O19" s="16"/>
    </row>
    <row r="20" spans="1:15" ht="20" customHeight="1" x14ac:dyDescent="0.45">
      <c r="A20" s="43" t="s">
        <v>43</v>
      </c>
      <c r="B20" s="90">
        <v>39408.213686917363</v>
      </c>
      <c r="C20" s="90">
        <v>19.781256917364896</v>
      </c>
      <c r="D20" s="94">
        <v>9.2212272641547521E-3</v>
      </c>
      <c r="E20" s="94">
        <v>1.1065291246209266</v>
      </c>
      <c r="F20" s="94">
        <v>5.0519260319508597E-2</v>
      </c>
      <c r="G20" s="94">
        <v>1.1500317178362831</v>
      </c>
      <c r="H20" s="38"/>
      <c r="I20" s="3"/>
      <c r="J20" s="16"/>
      <c r="K20" s="16"/>
      <c r="L20" s="17"/>
      <c r="M20" s="16"/>
      <c r="N20" s="17"/>
      <c r="O20" s="16"/>
    </row>
    <row r="21" spans="1:15" ht="20" customHeight="1" x14ac:dyDescent="0.45">
      <c r="A21" s="43" t="s">
        <v>44</v>
      </c>
      <c r="B21" s="90">
        <v>10510.175140000001</v>
      </c>
      <c r="C21" s="90">
        <v>47.28872000000068</v>
      </c>
      <c r="D21" s="94">
        <v>1.0669068925658332E-2</v>
      </c>
      <c r="E21" s="94">
        <v>1.2802672746956949</v>
      </c>
      <c r="F21" s="94">
        <v>3.1186282826187517E-2</v>
      </c>
      <c r="G21" s="94">
        <v>0.70993150304852815</v>
      </c>
      <c r="H21" s="38"/>
      <c r="I21" s="3"/>
      <c r="J21" s="16"/>
      <c r="K21" s="16"/>
      <c r="L21" s="17"/>
      <c r="M21" s="16"/>
      <c r="N21" s="17"/>
      <c r="O21" s="16"/>
    </row>
    <row r="22" spans="1:15" ht="20" customHeight="1" x14ac:dyDescent="0.45">
      <c r="A22" s="43" t="s">
        <v>15</v>
      </c>
      <c r="B22" s="90">
        <v>58680.380219999999</v>
      </c>
      <c r="C22" s="90">
        <v>90.041769999995822</v>
      </c>
      <c r="D22" s="94">
        <v>8.1621515474636919E-3</v>
      </c>
      <c r="E22" s="94">
        <v>0.97944212284482846</v>
      </c>
      <c r="F22" s="94">
        <v>4.3622718044583619E-2</v>
      </c>
      <c r="G22" s="94">
        <v>0.99303729017836717</v>
      </c>
      <c r="H22" s="39"/>
      <c r="I22" s="13"/>
      <c r="J22" s="14"/>
      <c r="K22" s="14"/>
      <c r="L22" s="15"/>
      <c r="M22" s="14"/>
      <c r="N22" s="15"/>
      <c r="O22" s="14"/>
    </row>
    <row r="23" spans="1:15" ht="20" customHeight="1" thickBot="1" x14ac:dyDescent="0.5">
      <c r="A23" s="43" t="s">
        <v>16</v>
      </c>
      <c r="B23" s="90">
        <v>74371.174209999997</v>
      </c>
      <c r="C23" s="90">
        <v>15.526559999987484</v>
      </c>
      <c r="D23" s="94">
        <v>9.2783918416883271E-3</v>
      </c>
      <c r="E23" s="94">
        <v>1.113388761426912</v>
      </c>
      <c r="F23" s="94">
        <v>5.4927117604363973E-2</v>
      </c>
      <c r="G23" s="94">
        <v>1.2503731649045784</v>
      </c>
      <c r="H23" s="38"/>
      <c r="I23" s="100" t="s">
        <v>52</v>
      </c>
      <c r="J23" s="100"/>
      <c r="K23" s="100"/>
      <c r="L23" s="100"/>
      <c r="M23" s="100"/>
      <c r="N23" s="100"/>
      <c r="O23" s="100"/>
    </row>
    <row r="24" spans="1:15" ht="20" customHeight="1" thickTop="1" x14ac:dyDescent="0.45">
      <c r="A24" s="43" t="s">
        <v>19</v>
      </c>
      <c r="B24" s="90">
        <v>38058.487450000001</v>
      </c>
      <c r="C24" s="90">
        <v>27.647830000000017</v>
      </c>
      <c r="D24" s="94">
        <v>8.777710480565748E-3</v>
      </c>
      <c r="E24" s="94">
        <v>1.0533079834169619</v>
      </c>
      <c r="F24" s="94">
        <v>4.6447832921749255E-2</v>
      </c>
      <c r="G24" s="94">
        <v>1.0573488358091532</v>
      </c>
      <c r="H24" s="38"/>
      <c r="J24" s="42"/>
      <c r="K24" s="42"/>
      <c r="L24" s="42"/>
      <c r="M24" s="42"/>
      <c r="N24" s="42"/>
      <c r="O24" s="42"/>
    </row>
    <row r="25" spans="1:15" ht="20" customHeight="1" x14ac:dyDescent="0.45">
      <c r="A25" s="43" t="s">
        <v>10</v>
      </c>
      <c r="B25" s="90">
        <v>82.891869999999997</v>
      </c>
      <c r="C25" s="90">
        <v>3.8949999999999929E-2</v>
      </c>
      <c r="D25" s="94">
        <v>8.5094081021799273E-3</v>
      </c>
      <c r="E25" s="94">
        <v>1.0211122260210845</v>
      </c>
      <c r="F25" s="94">
        <v>4.6134769720726165E-2</v>
      </c>
      <c r="G25" s="94">
        <v>1.0502221952252078</v>
      </c>
      <c r="H25" s="39"/>
      <c r="J25" s="14"/>
      <c r="K25" s="14"/>
      <c r="L25" s="15"/>
      <c r="M25" s="14"/>
      <c r="N25" s="15"/>
      <c r="O25" s="14"/>
    </row>
    <row r="26" spans="1:15" ht="18.5" x14ac:dyDescent="0.45">
      <c r="A26" s="43"/>
      <c r="B26" s="28"/>
      <c r="C26" s="28"/>
      <c r="D26" s="38"/>
      <c r="E26" s="38"/>
      <c r="F26" s="38"/>
      <c r="G26" s="38"/>
      <c r="H26" s="41"/>
      <c r="I26" s="3"/>
      <c r="J26" s="11"/>
      <c r="K26" s="11"/>
      <c r="L26" s="8"/>
      <c r="M26" s="11"/>
      <c r="N26" s="8"/>
      <c r="O26" s="11"/>
    </row>
    <row r="27" spans="1:15" ht="20.149999999999999" customHeight="1" x14ac:dyDescent="0.45">
      <c r="A27" s="29" t="s">
        <v>11</v>
      </c>
      <c r="B27" s="92">
        <v>425947.45256691735</v>
      </c>
      <c r="C27" s="92">
        <v>544.3715769173499</v>
      </c>
      <c r="D27" s="36">
        <v>8.8471890610519067E-3</v>
      </c>
      <c r="E27" s="36">
        <v>1.0616452763436968</v>
      </c>
      <c r="F27" s="36">
        <v>4.6803722828242883E-2</v>
      </c>
      <c r="G27" s="36">
        <v>1.0654503930753709</v>
      </c>
      <c r="H27" s="41"/>
      <c r="I27" s="59"/>
      <c r="J27" s="42"/>
      <c r="K27" s="42"/>
      <c r="L27" s="42"/>
      <c r="M27" s="42"/>
      <c r="N27" s="42"/>
      <c r="O27" s="42"/>
    </row>
    <row r="28" spans="1:15" ht="20.149999999999999" customHeight="1" thickBot="1" x14ac:dyDescent="0.5">
      <c r="A28" s="31" t="s">
        <v>13</v>
      </c>
      <c r="B28" s="32"/>
      <c r="C28" s="32"/>
      <c r="D28" s="32"/>
      <c r="E28" s="37">
        <v>8.3334699999999991E-3</v>
      </c>
      <c r="F28" s="95"/>
      <c r="G28" s="37">
        <v>4.3928580000000002E-2</v>
      </c>
      <c r="H28" s="41"/>
      <c r="I28" s="59"/>
      <c r="J28" s="42"/>
      <c r="K28" s="42"/>
      <c r="L28" s="42"/>
      <c r="M28" s="42"/>
      <c r="N28" s="42"/>
      <c r="O28" s="42"/>
    </row>
    <row r="29" spans="1:15" ht="14.25" customHeight="1" thickTop="1" x14ac:dyDescent="0.45">
      <c r="A29" s="55" t="s">
        <v>48</v>
      </c>
      <c r="B29" s="56"/>
      <c r="C29" s="56"/>
      <c r="D29" s="56"/>
      <c r="E29" s="56"/>
      <c r="F29" s="56"/>
      <c r="G29" s="56"/>
      <c r="H29" s="41"/>
      <c r="I29" s="13"/>
      <c r="J29" s="18"/>
      <c r="K29" s="18"/>
      <c r="L29" s="19"/>
      <c r="M29" s="18"/>
      <c r="N29" s="19"/>
      <c r="O29" s="18"/>
    </row>
    <row r="30" spans="1:15" ht="16.5" customHeight="1" x14ac:dyDescent="0.35">
      <c r="A30" s="58"/>
      <c r="B30" s="57"/>
      <c r="C30" s="57"/>
      <c r="D30" s="57"/>
      <c r="E30" s="57"/>
      <c r="F30" s="57"/>
      <c r="G30" s="57"/>
      <c r="H30" s="50"/>
      <c r="I30" s="13"/>
      <c r="J30" s="18"/>
      <c r="K30" s="18"/>
      <c r="L30" s="19"/>
      <c r="M30" s="18"/>
      <c r="N30" s="19"/>
      <c r="O30" s="18"/>
    </row>
    <row r="31" spans="1:15" ht="15.5" x14ac:dyDescent="0.35">
      <c r="A31" s="109"/>
      <c r="B31" s="110"/>
      <c r="C31" s="110"/>
      <c r="D31" s="110"/>
      <c r="E31" s="110"/>
      <c r="F31" s="110"/>
      <c r="G31" s="110"/>
      <c r="H31" s="50"/>
      <c r="I31" s="13"/>
      <c r="J31" s="18"/>
      <c r="K31" s="18"/>
      <c r="L31" s="19"/>
      <c r="M31" s="18"/>
      <c r="N31" s="19"/>
      <c r="O31" s="18"/>
    </row>
    <row r="32" spans="1:15" ht="15.75" customHeight="1" x14ac:dyDescent="0.35">
      <c r="A32" s="109"/>
      <c r="B32" s="110"/>
      <c r="C32" s="110"/>
      <c r="D32" s="110"/>
      <c r="E32" s="110"/>
      <c r="F32" s="110"/>
      <c r="G32" s="110"/>
      <c r="H32" s="2"/>
      <c r="I32" s="13"/>
      <c r="J32" s="18"/>
      <c r="K32" s="18"/>
      <c r="L32" s="19"/>
      <c r="M32" s="18"/>
      <c r="N32" s="19"/>
      <c r="O32" s="18"/>
    </row>
    <row r="33" spans="1:15" ht="5.25" customHeight="1" x14ac:dyDescent="0.35">
      <c r="A33" s="2"/>
      <c r="B33" s="2"/>
      <c r="C33" s="2"/>
      <c r="D33" s="2"/>
      <c r="E33" s="2"/>
      <c r="F33" s="2"/>
      <c r="G33" s="2"/>
      <c r="H33" s="2"/>
      <c r="I33" s="13"/>
      <c r="J33" s="18"/>
      <c r="K33" s="18"/>
      <c r="L33" s="19"/>
      <c r="M33" s="18"/>
      <c r="N33" s="19"/>
      <c r="O33" s="18"/>
    </row>
    <row r="34" spans="1:15" ht="23.25" hidden="1" customHeight="1" thickBot="1" x14ac:dyDescent="0.4">
      <c r="A34" s="100" t="s">
        <v>20</v>
      </c>
      <c r="B34" s="106"/>
      <c r="C34" s="106"/>
      <c r="D34" s="106"/>
      <c r="E34" s="106"/>
      <c r="F34" s="106"/>
      <c r="G34" s="106"/>
      <c r="I34" s="13"/>
      <c r="J34" s="18"/>
      <c r="K34" s="18"/>
      <c r="L34" s="19"/>
      <c r="M34" s="18"/>
      <c r="N34" s="19"/>
      <c r="O34" s="18"/>
    </row>
    <row r="35" spans="1:15" ht="15" hidden="1" thickTop="1" x14ac:dyDescent="0.35">
      <c r="I35" s="13"/>
      <c r="J35" s="18"/>
      <c r="K35" s="18"/>
      <c r="L35" s="19"/>
      <c r="M35" s="18"/>
      <c r="N35" s="19"/>
      <c r="O35" s="18"/>
    </row>
    <row r="36" spans="1:15" hidden="1" x14ac:dyDescent="0.35">
      <c r="I36" s="13"/>
      <c r="J36" s="18"/>
      <c r="K36" s="18"/>
      <c r="L36" s="19"/>
      <c r="M36" s="18"/>
      <c r="N36" s="19"/>
      <c r="O36" s="18"/>
    </row>
    <row r="37" spans="1:15" ht="18.5" hidden="1" x14ac:dyDescent="0.45">
      <c r="A37" s="27" t="s">
        <v>3</v>
      </c>
      <c r="B37" s="26" t="s">
        <v>9</v>
      </c>
      <c r="C37" s="26"/>
      <c r="D37" s="101">
        <v>2018</v>
      </c>
      <c r="E37" s="102"/>
      <c r="F37" s="102"/>
      <c r="G37" s="103"/>
    </row>
    <row r="38" spans="1:15" ht="18.5" hidden="1" x14ac:dyDescent="0.45">
      <c r="A38" s="27"/>
      <c r="B38" s="26"/>
      <c r="C38" s="26"/>
      <c r="D38" s="101" t="s">
        <v>7</v>
      </c>
      <c r="E38" s="102"/>
      <c r="F38" s="104" t="s">
        <v>14</v>
      </c>
      <c r="G38" s="105"/>
    </row>
    <row r="39" spans="1:15" ht="18.5" hidden="1" x14ac:dyDescent="0.45">
      <c r="A39" s="24" t="s">
        <v>12</v>
      </c>
      <c r="B39" s="25" t="s">
        <v>8</v>
      </c>
      <c r="C39" s="25"/>
      <c r="D39" s="33" t="s">
        <v>4</v>
      </c>
      <c r="E39" s="34" t="s">
        <v>5</v>
      </c>
      <c r="F39" s="33" t="s">
        <v>4</v>
      </c>
      <c r="G39" s="35" t="s">
        <v>5</v>
      </c>
    </row>
    <row r="40" spans="1:15" ht="18.5" hidden="1" x14ac:dyDescent="0.45">
      <c r="A40" s="20"/>
      <c r="D40" s="21"/>
      <c r="E40" s="22"/>
      <c r="F40" s="22"/>
      <c r="G40" s="22"/>
    </row>
    <row r="41" spans="1:15" ht="30" hidden="1" customHeight="1" x14ac:dyDescent="0.45">
      <c r="A41" s="43" t="s">
        <v>18</v>
      </c>
      <c r="B41" s="44">
        <v>24380.011200000001</v>
      </c>
      <c r="C41" s="44"/>
      <c r="D41" s="45">
        <v>8.0693961078501797E-3</v>
      </c>
      <c r="E41" s="45">
        <v>0.96831165263091845</v>
      </c>
      <c r="F41" s="45">
        <v>4.2846074812603163E-2</v>
      </c>
      <c r="G41" s="45">
        <v>0.97535761029842438</v>
      </c>
    </row>
    <row r="42" spans="1:15" ht="30" hidden="1" customHeight="1" x14ac:dyDescent="0.45">
      <c r="A42" s="43" t="s">
        <v>1</v>
      </c>
      <c r="B42" s="44">
        <v>24788.397579999997</v>
      </c>
      <c r="C42" s="44"/>
      <c r="D42" s="45">
        <v>8.6101350067873117E-3</v>
      </c>
      <c r="E42" s="45">
        <v>1.0331992563466734</v>
      </c>
      <c r="F42" s="45">
        <v>4.6270908855712944E-2</v>
      </c>
      <c r="G42" s="45">
        <v>1.0533212968803667</v>
      </c>
      <c r="H42" s="43"/>
    </row>
    <row r="43" spans="1:15" ht="18.5" hidden="1" x14ac:dyDescent="0.45">
      <c r="A43" s="46"/>
      <c r="B43" s="47"/>
      <c r="C43" s="47"/>
      <c r="D43" s="48"/>
      <c r="E43" s="48"/>
      <c r="F43" s="48"/>
      <c r="G43" s="48"/>
    </row>
    <row r="44" spans="1:15" ht="18.75" hidden="1" customHeight="1" x14ac:dyDescent="0.35">
      <c r="A44" s="52" t="s">
        <v>11</v>
      </c>
      <c r="B44" s="53">
        <v>49168.408779999998</v>
      </c>
      <c r="C44" s="53"/>
      <c r="D44" s="54"/>
      <c r="E44" s="54"/>
      <c r="F44" s="54"/>
      <c r="G44" s="54"/>
    </row>
    <row r="45" spans="1:15" ht="16" hidden="1" thickBot="1" x14ac:dyDescent="0.4">
      <c r="A45" s="31" t="s">
        <v>13</v>
      </c>
      <c r="B45" s="32"/>
      <c r="C45" s="32"/>
      <c r="D45" s="32"/>
      <c r="E45" s="37">
        <v>8.3334699999999991E-3</v>
      </c>
      <c r="F45" s="37"/>
      <c r="G45" s="37">
        <v>4.3928580000000002E-2</v>
      </c>
    </row>
    <row r="46" spans="1:15" ht="15" hidden="1" thickTop="1" x14ac:dyDescent="0.35"/>
    <row r="47" spans="1:15" hidden="1" x14ac:dyDescent="0.35"/>
    <row r="48" spans="1:15" ht="15" hidden="1" thickBot="1" x14ac:dyDescent="0.4">
      <c r="A48" s="100" t="s">
        <v>21</v>
      </c>
      <c r="B48" s="106"/>
      <c r="C48" s="106"/>
      <c r="D48" s="106"/>
      <c r="E48" s="106"/>
      <c r="F48" s="106"/>
      <c r="G48" s="106"/>
    </row>
    <row r="49" spans="1:7" ht="13.5" hidden="1" customHeight="1" thickTop="1" x14ac:dyDescent="0.35"/>
    <row r="50" spans="1:7" ht="9.75" hidden="1" customHeight="1" x14ac:dyDescent="0.35"/>
    <row r="51" spans="1:7" ht="18.5" hidden="1" x14ac:dyDescent="0.45">
      <c r="A51" s="27" t="s">
        <v>3</v>
      </c>
      <c r="B51" s="26" t="s">
        <v>9</v>
      </c>
      <c r="C51" s="26"/>
      <c r="D51" s="101">
        <v>2018</v>
      </c>
      <c r="E51" s="102"/>
      <c r="F51" s="102"/>
      <c r="G51" s="103"/>
    </row>
    <row r="52" spans="1:7" ht="18.5" hidden="1" x14ac:dyDescent="0.45">
      <c r="A52" s="27"/>
      <c r="B52" s="26"/>
      <c r="C52" s="26"/>
      <c r="D52" s="101" t="s">
        <v>7</v>
      </c>
      <c r="E52" s="102"/>
      <c r="F52" s="104" t="s">
        <v>14</v>
      </c>
      <c r="G52" s="105"/>
    </row>
    <row r="53" spans="1:7" ht="18.5" hidden="1" x14ac:dyDescent="0.45">
      <c r="A53" s="24" t="s">
        <v>12</v>
      </c>
      <c r="B53" s="25" t="s">
        <v>8</v>
      </c>
      <c r="C53" s="25"/>
      <c r="D53" s="33" t="s">
        <v>4</v>
      </c>
      <c r="E53" s="34" t="s">
        <v>5</v>
      </c>
      <c r="F53" s="33" t="s">
        <v>4</v>
      </c>
      <c r="G53" s="35" t="s">
        <v>5</v>
      </c>
    </row>
    <row r="54" spans="1:7" ht="18.5" hidden="1" x14ac:dyDescent="0.45">
      <c r="A54" s="20"/>
      <c r="D54" s="21"/>
      <c r="E54" s="22"/>
      <c r="F54" s="22"/>
      <c r="G54" s="22"/>
    </row>
    <row r="55" spans="1:7" ht="30" hidden="1" customHeight="1" x14ac:dyDescent="0.45">
      <c r="A55" s="43" t="s">
        <v>57</v>
      </c>
      <c r="B55" s="44">
        <v>19416.820250000001</v>
      </c>
      <c r="C55" s="44"/>
      <c r="D55" s="45">
        <v>8.0704493626759799E-3</v>
      </c>
      <c r="E55" s="45">
        <v>0.96843804113724297</v>
      </c>
      <c r="F55" s="45">
        <v>3.8909694746332324E-2</v>
      </c>
      <c r="G55" s="45">
        <v>0.88574897586792745</v>
      </c>
    </row>
    <row r="56" spans="1:7" ht="30" hidden="1" customHeight="1" x14ac:dyDescent="0.45">
      <c r="A56" s="43" t="s">
        <v>39</v>
      </c>
      <c r="B56" s="44">
        <v>26631.059960000002</v>
      </c>
      <c r="C56" s="44"/>
      <c r="D56" s="45">
        <v>8.2846482634353347E-3</v>
      </c>
      <c r="E56" s="45">
        <v>0.99414148769184207</v>
      </c>
      <c r="F56" s="45">
        <v>4.2279981287431934E-2</v>
      </c>
      <c r="G56" s="45">
        <v>0.96247093093908176</v>
      </c>
    </row>
    <row r="57" spans="1:7" ht="30" hidden="1" customHeight="1" x14ac:dyDescent="0.45">
      <c r="A57" s="43" t="s">
        <v>47</v>
      </c>
      <c r="B57" s="44">
        <v>38063.07791</v>
      </c>
      <c r="C57" s="44"/>
      <c r="D57" s="45">
        <v>1.060226450961399E-2</v>
      </c>
      <c r="E57" s="45">
        <v>1.2722508762393085</v>
      </c>
      <c r="F57" s="45">
        <v>5.3444436841367127E-2</v>
      </c>
      <c r="G57" s="45">
        <v>1.216621089080665</v>
      </c>
    </row>
    <row r="58" spans="1:7" ht="30" hidden="1" customHeight="1" x14ac:dyDescent="0.45">
      <c r="A58" s="43" t="s">
        <v>46</v>
      </c>
      <c r="B58" s="44">
        <v>0</v>
      </c>
      <c r="C58" s="44"/>
      <c r="D58" s="45">
        <v>0</v>
      </c>
      <c r="E58" s="45">
        <v>0</v>
      </c>
      <c r="F58" s="45">
        <v>1.6195606829077835E-2</v>
      </c>
      <c r="G58" s="45">
        <v>0.91170945896632716</v>
      </c>
    </row>
    <row r="59" spans="1:7" ht="30" hidden="1" customHeight="1" x14ac:dyDescent="0.45">
      <c r="A59" s="43" t="s">
        <v>2</v>
      </c>
      <c r="B59" s="44">
        <v>185.10058999999998</v>
      </c>
      <c r="C59" s="44"/>
      <c r="D59" s="45">
        <v>6.807788045858354E-3</v>
      </c>
      <c r="E59" s="45">
        <v>0.81692116799584735</v>
      </c>
      <c r="F59" s="45">
        <v>3.617730703059463E-2</v>
      </c>
      <c r="G59" s="45">
        <v>0.82354829203663371</v>
      </c>
    </row>
    <row r="60" spans="1:7" ht="30" hidden="1" customHeight="1" x14ac:dyDescent="0.45">
      <c r="A60" s="43" t="s">
        <v>6</v>
      </c>
      <c r="B60" s="44">
        <v>20864.04869</v>
      </c>
      <c r="C60" s="44"/>
      <c r="D60" s="45">
        <v>6.9598200182119374E-3</v>
      </c>
      <c r="E60" s="45">
        <v>0.83516470548426258</v>
      </c>
      <c r="F60" s="45">
        <v>3.296848555370735E-2</v>
      </c>
      <c r="G60" s="45">
        <v>0.75050196372628819</v>
      </c>
    </row>
    <row r="61" spans="1:7" ht="30" hidden="1" customHeight="1" x14ac:dyDescent="0.45">
      <c r="A61" s="43" t="s">
        <v>15</v>
      </c>
      <c r="B61" s="44">
        <v>58680.380219999999</v>
      </c>
      <c r="C61" s="44"/>
      <c r="D61" s="45">
        <v>8.1621515474636919E-3</v>
      </c>
      <c r="E61" s="45">
        <v>0.97944212284482846</v>
      </c>
      <c r="F61" s="45">
        <v>4.3622718044583619E-2</v>
      </c>
      <c r="G61" s="45">
        <v>0.99303729017836717</v>
      </c>
    </row>
    <row r="62" spans="1:7" ht="30" hidden="1" customHeight="1" x14ac:dyDescent="0.45">
      <c r="A62" s="43" t="s">
        <v>16</v>
      </c>
      <c r="B62" s="44">
        <v>74371.174209999997</v>
      </c>
      <c r="C62" s="44"/>
      <c r="D62" s="45">
        <v>9.2783918416883271E-3</v>
      </c>
      <c r="E62" s="45">
        <v>1.113388761426912</v>
      </c>
      <c r="F62" s="45">
        <v>5.4927117604363973E-2</v>
      </c>
      <c r="G62" s="45">
        <v>1.2503731649045784</v>
      </c>
    </row>
    <row r="63" spans="1:7" ht="30" hidden="1" customHeight="1" x14ac:dyDescent="0.45">
      <c r="A63" s="43" t="e">
        <v>#REF!</v>
      </c>
      <c r="B63" s="44" t="e">
        <v>#REF!</v>
      </c>
      <c r="C63" s="44"/>
      <c r="D63" s="45" t="e">
        <v>#REF!</v>
      </c>
      <c r="E63" s="45" t="e">
        <v>#REF!</v>
      </c>
      <c r="F63" s="45" t="e">
        <v>#REF!</v>
      </c>
      <c r="G63" s="45" t="e">
        <v>#REF!</v>
      </c>
    </row>
    <row r="64" spans="1:7" ht="18.5" hidden="1" x14ac:dyDescent="0.45">
      <c r="A64" s="46"/>
      <c r="B64" s="47"/>
      <c r="C64" s="47"/>
      <c r="D64" s="48"/>
      <c r="E64" s="48"/>
      <c r="F64" s="48"/>
      <c r="G64" s="48"/>
    </row>
    <row r="65" spans="1:7" ht="18.5" hidden="1" x14ac:dyDescent="0.35">
      <c r="A65" s="52" t="s">
        <v>11</v>
      </c>
      <c r="B65" s="53" t="e">
        <v>#REF!</v>
      </c>
      <c r="C65" s="53"/>
      <c r="D65" s="54"/>
      <c r="E65" s="54"/>
      <c r="F65" s="54"/>
      <c r="G65" s="54"/>
    </row>
    <row r="66" spans="1:7" ht="16" hidden="1" thickBot="1" x14ac:dyDescent="0.4">
      <c r="A66" s="31" t="s">
        <v>13</v>
      </c>
      <c r="B66" s="32"/>
      <c r="C66" s="32"/>
      <c r="D66" s="32"/>
      <c r="E66" s="37">
        <v>8.3334699999999991E-3</v>
      </c>
      <c r="F66" s="37"/>
      <c r="G66" s="37">
        <v>4.3928580000000002E-2</v>
      </c>
    </row>
    <row r="67" spans="1:7" ht="15" hidden="1" thickTop="1" x14ac:dyDescent="0.35"/>
    <row r="68" spans="1:7" ht="15" hidden="1" thickBot="1" x14ac:dyDescent="0.4">
      <c r="A68" s="100" t="s">
        <v>22</v>
      </c>
      <c r="B68" s="106"/>
      <c r="C68" s="106"/>
      <c r="D68" s="106"/>
      <c r="E68" s="106"/>
      <c r="F68" s="106"/>
      <c r="G68" s="106"/>
    </row>
    <row r="69" spans="1:7" ht="15" hidden="1" thickTop="1" x14ac:dyDescent="0.35"/>
    <row r="70" spans="1:7" ht="18.5" hidden="1" x14ac:dyDescent="0.45">
      <c r="A70" s="27" t="s">
        <v>3</v>
      </c>
      <c r="B70" s="26" t="s">
        <v>9</v>
      </c>
      <c r="C70" s="26"/>
      <c r="D70" s="101">
        <v>2018</v>
      </c>
      <c r="E70" s="102"/>
      <c r="F70" s="102"/>
      <c r="G70" s="103"/>
    </row>
    <row r="71" spans="1:7" ht="18.5" hidden="1" x14ac:dyDescent="0.45">
      <c r="A71" s="27"/>
      <c r="B71" s="26"/>
      <c r="C71" s="26"/>
      <c r="D71" s="101" t="s">
        <v>7</v>
      </c>
      <c r="E71" s="102"/>
      <c r="F71" s="104" t="s">
        <v>14</v>
      </c>
      <c r="G71" s="105"/>
    </row>
    <row r="72" spans="1:7" ht="18.5" hidden="1" x14ac:dyDescent="0.45">
      <c r="A72" s="24" t="s">
        <v>12</v>
      </c>
      <c r="B72" s="25" t="s">
        <v>8</v>
      </c>
      <c r="C72" s="25"/>
      <c r="D72" s="33" t="s">
        <v>4</v>
      </c>
      <c r="E72" s="34" t="s">
        <v>5</v>
      </c>
      <c r="F72" s="33" t="s">
        <v>4</v>
      </c>
      <c r="G72" s="35" t="s">
        <v>5</v>
      </c>
    </row>
    <row r="73" spans="1:7" ht="18.5" hidden="1" x14ac:dyDescent="0.45">
      <c r="A73" s="20"/>
      <c r="D73" s="21"/>
      <c r="E73" s="22"/>
      <c r="F73" s="22"/>
      <c r="G73" s="22"/>
    </row>
    <row r="74" spans="1:7" ht="18.5" hidden="1" x14ac:dyDescent="0.45">
      <c r="A74" s="43" t="s">
        <v>0</v>
      </c>
      <c r="B74" s="44">
        <v>17.648169999999997</v>
      </c>
      <c r="C74" s="44"/>
      <c r="D74" s="45">
        <v>6.1770514459549286E-3</v>
      </c>
      <c r="E74" s="45">
        <v>0.74123401727670812</v>
      </c>
      <c r="F74" s="45">
        <v>3.6520364244392978E-2</v>
      </c>
      <c r="G74" s="45">
        <v>0.831357723022073</v>
      </c>
    </row>
    <row r="75" spans="1:7" ht="18.5" hidden="1" x14ac:dyDescent="0.45">
      <c r="A75" s="43" t="s">
        <v>17</v>
      </c>
      <c r="B75" s="44">
        <v>73.884270000000001</v>
      </c>
      <c r="C75" s="44"/>
      <c r="D75" s="45">
        <v>8.9439088094980246E-3</v>
      </c>
      <c r="E75" s="45">
        <v>1.0732514558158877</v>
      </c>
      <c r="F75" s="45">
        <v>4.9138948000849725E-2</v>
      </c>
      <c r="G75" s="45">
        <v>1.118609980127965</v>
      </c>
    </row>
    <row r="76" spans="1:7" ht="18.5" hidden="1" x14ac:dyDescent="0.45">
      <c r="A76" s="43" t="s">
        <v>40</v>
      </c>
      <c r="B76" s="44">
        <v>21354.94687</v>
      </c>
      <c r="C76" s="44"/>
      <c r="D76" s="45">
        <v>8.7127509730595687E-3</v>
      </c>
      <c r="E76" s="45">
        <v>1.0455129703544346</v>
      </c>
      <c r="F76" s="45">
        <v>4.1728604806851255E-2</v>
      </c>
      <c r="G76" s="45">
        <v>0.94991927366764983</v>
      </c>
    </row>
    <row r="77" spans="1:7" ht="18.5" hidden="1" x14ac:dyDescent="0.45">
      <c r="A77" s="43" t="s">
        <v>19</v>
      </c>
      <c r="B77" s="44">
        <v>38058.487450000001</v>
      </c>
      <c r="C77" s="44"/>
      <c r="D77" s="45">
        <v>8.777710480565748E-3</v>
      </c>
      <c r="E77" s="45">
        <v>1.0533079834169619</v>
      </c>
      <c r="F77" s="45">
        <v>4.6447832921749255E-2</v>
      </c>
      <c r="G77" s="45">
        <v>1.0573488358091532</v>
      </c>
    </row>
    <row r="78" spans="1:7" ht="18.5" hidden="1" x14ac:dyDescent="0.45">
      <c r="A78" s="46"/>
      <c r="B78" s="47"/>
      <c r="C78" s="47"/>
      <c r="D78" s="48"/>
      <c r="E78" s="48"/>
      <c r="F78" s="48"/>
      <c r="G78" s="48"/>
    </row>
    <row r="79" spans="1:7" ht="18.5" hidden="1" x14ac:dyDescent="0.35">
      <c r="A79" s="29" t="s">
        <v>11</v>
      </c>
      <c r="B79" s="30">
        <v>59504.966759999996</v>
      </c>
      <c r="C79" s="30"/>
      <c r="D79" s="36"/>
      <c r="E79" s="36"/>
      <c r="F79" s="36"/>
      <c r="G79" s="36"/>
    </row>
    <row r="80" spans="1:7" ht="16" hidden="1" thickBot="1" x14ac:dyDescent="0.4">
      <c r="A80" s="31" t="s">
        <v>13</v>
      </c>
      <c r="B80" s="32"/>
      <c r="C80" s="32"/>
      <c r="D80" s="32"/>
      <c r="E80" s="37">
        <v>8.3334699999999991E-3</v>
      </c>
      <c r="F80" s="37"/>
      <c r="G80" s="37">
        <v>4.3928580000000002E-2</v>
      </c>
    </row>
    <row r="82" spans="1:15" ht="23.25" customHeight="1" thickBot="1" x14ac:dyDescent="0.4">
      <c r="A82" s="100" t="s">
        <v>51</v>
      </c>
      <c r="B82" s="106"/>
      <c r="C82" s="106"/>
      <c r="D82" s="106"/>
      <c r="E82" s="106"/>
      <c r="F82" s="106"/>
      <c r="G82" s="106"/>
    </row>
    <row r="83" spans="1:15" ht="8" customHeight="1" thickTop="1" x14ac:dyDescent="0.35"/>
    <row r="84" spans="1:15" ht="9.75" customHeight="1" x14ac:dyDescent="0.35"/>
    <row r="85" spans="1:15" ht="18.5" x14ac:dyDescent="0.45">
      <c r="A85" s="27" t="s">
        <v>29</v>
      </c>
      <c r="B85" s="26" t="s">
        <v>9</v>
      </c>
      <c r="C85" s="26"/>
      <c r="D85" s="101">
        <v>2023</v>
      </c>
      <c r="E85" s="102"/>
      <c r="F85" s="102"/>
      <c r="G85" s="103"/>
    </row>
    <row r="86" spans="1:15" ht="18.5" x14ac:dyDescent="0.45">
      <c r="A86" s="27"/>
      <c r="B86" s="26"/>
      <c r="C86" s="26"/>
      <c r="D86" s="101" t="s">
        <v>7</v>
      </c>
      <c r="E86" s="102"/>
      <c r="F86" s="104" t="s">
        <v>14</v>
      </c>
      <c r="G86" s="105"/>
      <c r="I86" s="60" t="s">
        <v>32</v>
      </c>
    </row>
    <row r="87" spans="1:15" ht="22.5" customHeight="1" thickBot="1" x14ac:dyDescent="0.5">
      <c r="A87" s="24" t="s">
        <v>12</v>
      </c>
      <c r="B87" s="25" t="s">
        <v>8</v>
      </c>
      <c r="C87" s="25" t="s">
        <v>45</v>
      </c>
      <c r="D87" s="33" t="s">
        <v>30</v>
      </c>
      <c r="E87" s="34" t="s">
        <v>5</v>
      </c>
      <c r="F87" s="33" t="s">
        <v>30</v>
      </c>
      <c r="G87" s="35" t="s">
        <v>5</v>
      </c>
      <c r="I87" s="100" t="s">
        <v>53</v>
      </c>
      <c r="J87" s="106"/>
      <c r="K87" s="106"/>
      <c r="L87" s="106"/>
      <c r="M87" s="106"/>
      <c r="N87" s="106"/>
      <c r="O87" s="106"/>
    </row>
    <row r="88" spans="1:15" ht="19" thickTop="1" x14ac:dyDescent="0.45">
      <c r="A88" s="20"/>
      <c r="D88" s="21"/>
      <c r="E88" s="22"/>
      <c r="F88" s="22"/>
      <c r="G88" s="22"/>
      <c r="I88" s="62" t="s">
        <v>29</v>
      </c>
      <c r="J88" s="63"/>
      <c r="K88" s="89"/>
      <c r="L88" s="66" t="s">
        <v>35</v>
      </c>
      <c r="M88" s="67"/>
      <c r="N88" s="64" t="s">
        <v>14</v>
      </c>
      <c r="O88" s="65"/>
    </row>
    <row r="89" spans="1:15" ht="18.5" x14ac:dyDescent="0.45">
      <c r="A89" s="43" t="s">
        <v>24</v>
      </c>
      <c r="B89" s="90">
        <v>72949.498389999993</v>
      </c>
      <c r="C89" s="90">
        <v>104.97363999999817</v>
      </c>
      <c r="D89" s="94">
        <v>8.485202284266866E-3</v>
      </c>
      <c r="E89" s="94">
        <v>1.0182075755077857</v>
      </c>
      <c r="F89" s="94">
        <v>4.5347291926653231E-2</v>
      </c>
      <c r="G89" s="94">
        <v>1.0322958749555124</v>
      </c>
      <c r="I89" s="61" t="s">
        <v>33</v>
      </c>
      <c r="J89" s="25" t="s">
        <v>8</v>
      </c>
      <c r="K89" s="25" t="s">
        <v>45</v>
      </c>
      <c r="L89" s="33" t="s">
        <v>30</v>
      </c>
      <c r="M89" s="34" t="s">
        <v>5</v>
      </c>
      <c r="N89" s="33" t="s">
        <v>30</v>
      </c>
      <c r="O89" s="35" t="s">
        <v>5</v>
      </c>
    </row>
    <row r="90" spans="1:15" ht="18.5" x14ac:dyDescent="0.45">
      <c r="A90" s="43" t="s">
        <v>25</v>
      </c>
      <c r="B90" s="90">
        <v>111022.58291</v>
      </c>
      <c r="C90" s="90">
        <v>229.17156</v>
      </c>
      <c r="D90" s="94">
        <v>9.2317767008232247E-3</v>
      </c>
      <c r="E90" s="94">
        <v>1.1077950362601923</v>
      </c>
      <c r="F90" s="94">
        <v>4.6882450473437406E-2</v>
      </c>
      <c r="G90" s="94">
        <v>1.0672425667626271</v>
      </c>
      <c r="I90" s="70" t="s">
        <v>24</v>
      </c>
      <c r="J90" s="90">
        <v>48477.954750000004</v>
      </c>
      <c r="K90" s="90">
        <v>59.214479999998176</v>
      </c>
      <c r="L90" s="94">
        <v>8.6944562169461777E-3</v>
      </c>
      <c r="M90" s="94">
        <v>1.043317635624317</v>
      </c>
      <c r="N90" s="94">
        <v>4.6602611730204815E-2</v>
      </c>
      <c r="O90" s="94">
        <v>1.0608722551515395</v>
      </c>
    </row>
    <row r="91" spans="1:15" ht="18.5" x14ac:dyDescent="0.45">
      <c r="A91" s="43" t="s">
        <v>26</v>
      </c>
      <c r="B91" s="90">
        <v>70782.437516917373</v>
      </c>
      <c r="C91" s="90">
        <v>76.971266917368411</v>
      </c>
      <c r="D91" s="94">
        <v>8.7696316060900132E-3</v>
      </c>
      <c r="E91" s="94">
        <v>1.0523385343788378</v>
      </c>
      <c r="F91" s="94">
        <v>4.2475270614332067E-2</v>
      </c>
      <c r="G91" s="94">
        <v>0.9669165407653072</v>
      </c>
      <c r="I91" s="70" t="s">
        <v>25</v>
      </c>
      <c r="J91" s="90">
        <v>86049.084740000006</v>
      </c>
      <c r="K91" s="90">
        <v>102.9392</v>
      </c>
      <c r="L91" s="94">
        <v>9.4160689944852681E-3</v>
      </c>
      <c r="M91" s="94">
        <v>1.1299097488183516</v>
      </c>
      <c r="N91" s="94">
        <v>4.7081646841138081E-2</v>
      </c>
      <c r="O91" s="94">
        <v>1.0717771173376895</v>
      </c>
    </row>
    <row r="92" spans="1:15" ht="18.5" x14ac:dyDescent="0.45">
      <c r="A92" s="43" t="s">
        <v>27</v>
      </c>
      <c r="B92" s="90">
        <v>58680.380219999999</v>
      </c>
      <c r="C92" s="90">
        <v>90.041769999995822</v>
      </c>
      <c r="D92" s="94">
        <v>8.1621515474636919E-3</v>
      </c>
      <c r="E92" s="94">
        <v>0.97944212284482846</v>
      </c>
      <c r="F92" s="94">
        <v>4.3622718044583619E-2</v>
      </c>
      <c r="G92" s="94">
        <v>0.99303729017836717</v>
      </c>
      <c r="I92" s="70" t="s">
        <v>26</v>
      </c>
      <c r="J92" s="90">
        <v>70782.437516917373</v>
      </c>
      <c r="K92" s="90">
        <v>76.971266917368411</v>
      </c>
      <c r="L92" s="94">
        <v>8.7696316060900132E-3</v>
      </c>
      <c r="M92" s="94">
        <v>1.0523385343788378</v>
      </c>
      <c r="N92" s="94">
        <v>4.2475270614332067E-2</v>
      </c>
      <c r="O92" s="94">
        <v>0.9669165407653072</v>
      </c>
    </row>
    <row r="93" spans="1:15" ht="18.5" x14ac:dyDescent="0.45">
      <c r="A93" s="43" t="s">
        <v>28</v>
      </c>
      <c r="B93" s="90">
        <v>74371.174209999997</v>
      </c>
      <c r="C93" s="90">
        <v>15.526559999987484</v>
      </c>
      <c r="D93" s="94">
        <v>9.2783918416883254E-3</v>
      </c>
      <c r="E93" s="94">
        <v>1.1133887614269118</v>
      </c>
      <c r="F93" s="94">
        <v>5.4927117604363973E-2</v>
      </c>
      <c r="G93" s="94">
        <v>1.2503731649045784</v>
      </c>
      <c r="I93" s="70" t="s">
        <v>27</v>
      </c>
      <c r="J93" s="90">
        <v>58680.380219999999</v>
      </c>
      <c r="K93" s="90">
        <v>90.041769999995822</v>
      </c>
      <c r="L93" s="94">
        <v>8.1621515474636919E-3</v>
      </c>
      <c r="M93" s="94">
        <v>0.97944212284482846</v>
      </c>
      <c r="N93" s="94">
        <v>4.3622718044583619E-2</v>
      </c>
      <c r="O93" s="94">
        <v>0.99303729017836717</v>
      </c>
    </row>
    <row r="94" spans="1:15" ht="18.5" x14ac:dyDescent="0.45">
      <c r="A94" s="43" t="s">
        <v>31</v>
      </c>
      <c r="B94" s="90">
        <v>38141.37932</v>
      </c>
      <c r="C94" s="90">
        <v>27.686780000000017</v>
      </c>
      <c r="D94" s="94">
        <v>8.777127384561715E-3</v>
      </c>
      <c r="E94" s="94">
        <v>1.053238013043992</v>
      </c>
      <c r="F94" s="94">
        <v>4.6447152547976114E-2</v>
      </c>
      <c r="G94" s="94">
        <v>1.0573333476287217</v>
      </c>
      <c r="I94" s="70" t="s">
        <v>28</v>
      </c>
      <c r="J94" s="90">
        <v>74371.174209999997</v>
      </c>
      <c r="K94" s="90">
        <v>15.526559999987484</v>
      </c>
      <c r="L94" s="94">
        <v>9.2783918416883254E-3</v>
      </c>
      <c r="M94" s="94">
        <v>1.1133887614269118</v>
      </c>
      <c r="N94" s="94">
        <v>5.4927117604363973E-2</v>
      </c>
      <c r="O94" s="94">
        <v>1.2503731649045784</v>
      </c>
    </row>
    <row r="95" spans="1:15" ht="18.5" x14ac:dyDescent="0.45">
      <c r="A95" s="46"/>
      <c r="B95" s="47"/>
      <c r="C95" s="47"/>
      <c r="D95" s="48"/>
      <c r="E95" s="48"/>
      <c r="F95" s="48"/>
      <c r="G95" s="48"/>
      <c r="I95" s="70" t="s">
        <v>31</v>
      </c>
      <c r="J95" s="90">
        <v>38058.487450000001</v>
      </c>
      <c r="K95" s="90">
        <v>27.647830000000017</v>
      </c>
      <c r="L95" s="94">
        <v>8.777710480565748E-3</v>
      </c>
      <c r="M95" s="94">
        <v>1.0533079834169619</v>
      </c>
      <c r="N95" s="94">
        <v>4.6447832921749255E-2</v>
      </c>
      <c r="O95" s="94">
        <v>1.0573488358091532</v>
      </c>
    </row>
    <row r="96" spans="1:15" ht="18.5" x14ac:dyDescent="0.35">
      <c r="A96" s="52" t="s">
        <v>11</v>
      </c>
      <c r="B96" s="91">
        <v>425947.45256691735</v>
      </c>
      <c r="C96" s="91">
        <v>544.3715769173499</v>
      </c>
      <c r="D96" s="54"/>
      <c r="E96" s="54"/>
      <c r="F96" s="54"/>
      <c r="G96" s="54"/>
      <c r="I96" s="68" t="s">
        <v>34</v>
      </c>
      <c r="J96" s="93">
        <v>376419.51888691739</v>
      </c>
      <c r="K96" s="93">
        <v>372.34110691734986</v>
      </c>
      <c r="L96" s="69"/>
      <c r="M96" s="69"/>
      <c r="N96" s="69"/>
      <c r="O96" s="69"/>
    </row>
    <row r="97" spans="1:15" hidden="1" x14ac:dyDescent="0.35"/>
    <row r="98" spans="1:15" ht="15" hidden="1" thickBot="1" x14ac:dyDescent="0.4">
      <c r="A98" s="100" t="s">
        <v>23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</row>
    <row r="99" spans="1:15" ht="15" hidden="1" thickTop="1" x14ac:dyDescent="0.35"/>
    <row r="100" spans="1:15" hidden="1" x14ac:dyDescent="0.35"/>
    <row r="101" spans="1:15" hidden="1" x14ac:dyDescent="0.35"/>
    <row r="102" spans="1:15" hidden="1" x14ac:dyDescent="0.35"/>
    <row r="103" spans="1:15" hidden="1" x14ac:dyDescent="0.35"/>
    <row r="104" spans="1:15" hidden="1" x14ac:dyDescent="0.35"/>
    <row r="105" spans="1:15" hidden="1" x14ac:dyDescent="0.35"/>
    <row r="106" spans="1:15" hidden="1" x14ac:dyDescent="0.35"/>
    <row r="107" spans="1:15" hidden="1" x14ac:dyDescent="0.35"/>
    <row r="108" spans="1:15" hidden="1" x14ac:dyDescent="0.35"/>
    <row r="109" spans="1:15" hidden="1" x14ac:dyDescent="0.35"/>
    <row r="110" spans="1:15" hidden="1" x14ac:dyDescent="0.35"/>
    <row r="111" spans="1:15" hidden="1" x14ac:dyDescent="0.35"/>
    <row r="112" spans="1:15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</sheetData>
  <mergeCells count="26">
    <mergeCell ref="I87:O87"/>
    <mergeCell ref="A2:G2"/>
    <mergeCell ref="D70:G70"/>
    <mergeCell ref="A31:G31"/>
    <mergeCell ref="I2:O2"/>
    <mergeCell ref="D5:E5"/>
    <mergeCell ref="F5:G5"/>
    <mergeCell ref="D4:G4"/>
    <mergeCell ref="A32:G32"/>
    <mergeCell ref="I23:O23"/>
    <mergeCell ref="A98:O98"/>
    <mergeCell ref="D37:G37"/>
    <mergeCell ref="D38:E38"/>
    <mergeCell ref="F38:G38"/>
    <mergeCell ref="A34:G34"/>
    <mergeCell ref="D71:E71"/>
    <mergeCell ref="F71:G71"/>
    <mergeCell ref="A68:G68"/>
    <mergeCell ref="A48:G48"/>
    <mergeCell ref="D51:G51"/>
    <mergeCell ref="D52:E52"/>
    <mergeCell ref="A82:G82"/>
    <mergeCell ref="D86:E86"/>
    <mergeCell ref="F86:G86"/>
    <mergeCell ref="F52:G52"/>
    <mergeCell ref="D85:G85"/>
  </mergeCells>
  <printOptions horizontalCentered="1" verticalCentered="1"/>
  <pageMargins left="0.7" right="0.7" top="0.75" bottom="0.75" header="0.3" footer="0.3"/>
  <pageSetup paperSize="9" scale="49" fitToHeight="0" orientation="landscape" r:id="rId1"/>
  <rowBreaks count="1" manualBreakCount="1">
    <brk id="96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K43"/>
  <sheetViews>
    <sheetView showGridLines="0" workbookViewId="0">
      <selection activeCell="D9" sqref="D9"/>
    </sheetView>
  </sheetViews>
  <sheetFormatPr defaultRowHeight="14.5" x14ac:dyDescent="0.35"/>
  <cols>
    <col min="1" max="1" width="32.7265625" bestFit="1" customWidth="1"/>
    <col min="2" max="2" width="15.453125" bestFit="1" customWidth="1"/>
    <col min="3" max="3" width="11.81640625" bestFit="1" customWidth="1"/>
    <col min="4" max="4" width="13.54296875" bestFit="1" customWidth="1"/>
    <col min="5" max="5" width="11.81640625" bestFit="1" customWidth="1"/>
    <col min="6" max="6" width="12.54296875" bestFit="1" customWidth="1"/>
    <col min="7" max="8" width="14.26953125" style="1" bestFit="1" customWidth="1"/>
    <col min="9" max="9" width="11.08984375" bestFit="1" customWidth="1"/>
    <col min="10" max="10" width="10.08984375" bestFit="1" customWidth="1"/>
  </cols>
  <sheetData>
    <row r="3" spans="1:11" ht="15" thickBot="1" x14ac:dyDescent="0.4">
      <c r="A3" s="113" t="s">
        <v>54</v>
      </c>
      <c r="B3" s="114"/>
      <c r="C3" s="114"/>
      <c r="D3" s="114"/>
      <c r="E3" s="114"/>
      <c r="F3" s="114"/>
    </row>
    <row r="4" spans="1:11" ht="15" thickTop="1" x14ac:dyDescent="0.35">
      <c r="A4" s="71" t="s">
        <v>29</v>
      </c>
      <c r="B4" s="26"/>
      <c r="C4" s="101" t="s">
        <v>7</v>
      </c>
      <c r="D4" s="102"/>
      <c r="E4" s="104" t="s">
        <v>14</v>
      </c>
      <c r="F4" s="105"/>
    </row>
    <row r="5" spans="1:11" x14ac:dyDescent="0.35">
      <c r="A5" s="80" t="s">
        <v>12</v>
      </c>
      <c r="B5" s="74" t="s">
        <v>8</v>
      </c>
      <c r="C5" s="75" t="s">
        <v>30</v>
      </c>
      <c r="D5" s="76" t="s">
        <v>5</v>
      </c>
      <c r="E5" s="75" t="s">
        <v>30</v>
      </c>
      <c r="F5" s="23" t="s">
        <v>5</v>
      </c>
    </row>
    <row r="6" spans="1:11" x14ac:dyDescent="0.35">
      <c r="A6" t="s">
        <v>24</v>
      </c>
      <c r="B6" s="49">
        <v>72949.498389999993</v>
      </c>
      <c r="C6" s="96">
        <v>8.485202284266866E-3</v>
      </c>
      <c r="D6" s="96">
        <v>1.0182075755077857</v>
      </c>
      <c r="E6" s="96">
        <v>4.5347291926653231E-2</v>
      </c>
      <c r="F6" s="96">
        <v>1.0322958749555124</v>
      </c>
      <c r="G6" s="98"/>
    </row>
    <row r="7" spans="1:11" x14ac:dyDescent="0.35">
      <c r="A7" t="s">
        <v>25</v>
      </c>
      <c r="B7" s="49">
        <v>111022.58291</v>
      </c>
      <c r="C7" s="96">
        <v>9.2317767008232247E-3</v>
      </c>
      <c r="D7" s="96">
        <v>1.1077950362601923</v>
      </c>
      <c r="E7" s="96">
        <v>4.6882450473437406E-2</v>
      </c>
      <c r="F7" s="96">
        <v>1.0672425667626271</v>
      </c>
      <c r="G7" s="98"/>
      <c r="I7" s="51"/>
      <c r="J7" s="51"/>
      <c r="K7" s="49"/>
    </row>
    <row r="8" spans="1:11" x14ac:dyDescent="0.35">
      <c r="A8" t="s">
        <v>26</v>
      </c>
      <c r="B8" s="49">
        <v>70782.437516917373</v>
      </c>
      <c r="C8" s="96">
        <v>8.7696316060900132E-3</v>
      </c>
      <c r="D8" s="96">
        <v>1.0523385343788378</v>
      </c>
      <c r="E8" s="96">
        <v>4.2475270614332067E-2</v>
      </c>
      <c r="F8" s="96">
        <v>0.9669165407653072</v>
      </c>
      <c r="G8" s="98"/>
      <c r="I8" s="51"/>
      <c r="J8" s="51"/>
      <c r="K8" s="49"/>
    </row>
    <row r="9" spans="1:11" x14ac:dyDescent="0.35">
      <c r="A9" t="s">
        <v>27</v>
      </c>
      <c r="B9" s="49">
        <v>58680.380219999999</v>
      </c>
      <c r="C9" s="96">
        <v>8.1621515474636919E-3</v>
      </c>
      <c r="D9" s="96">
        <v>0.97944212284482846</v>
      </c>
      <c r="E9" s="96">
        <v>4.3622718044583619E-2</v>
      </c>
      <c r="F9" s="96">
        <v>0.99303729017836717</v>
      </c>
      <c r="G9" s="98"/>
      <c r="I9" s="51"/>
      <c r="J9" s="51"/>
      <c r="K9" s="51"/>
    </row>
    <row r="10" spans="1:11" x14ac:dyDescent="0.35">
      <c r="A10" t="s">
        <v>28</v>
      </c>
      <c r="B10" s="49">
        <v>74371.174209999997</v>
      </c>
      <c r="C10" s="96">
        <v>9.2783918416883254E-3</v>
      </c>
      <c r="D10" s="96">
        <v>1.1133887614269118</v>
      </c>
      <c r="E10" s="96">
        <v>5.4927117604363973E-2</v>
      </c>
      <c r="F10" s="96">
        <v>1.2503731649045784</v>
      </c>
      <c r="G10" s="98"/>
    </row>
    <row r="11" spans="1:11" x14ac:dyDescent="0.35">
      <c r="A11" t="s">
        <v>31</v>
      </c>
      <c r="B11" s="49">
        <v>38141.37932</v>
      </c>
      <c r="C11" s="96">
        <v>8.777127384561715E-3</v>
      </c>
      <c r="D11" s="96">
        <v>1.053238013043992</v>
      </c>
      <c r="E11" s="96">
        <v>4.6447152547976114E-2</v>
      </c>
      <c r="F11" s="96">
        <v>1.0573333476287217</v>
      </c>
      <c r="G11" s="98"/>
      <c r="I11" s="49"/>
      <c r="J11" s="51"/>
    </row>
    <row r="12" spans="1:11" x14ac:dyDescent="0.35">
      <c r="A12" s="84" t="s">
        <v>11</v>
      </c>
      <c r="B12" s="85">
        <v>425947.45256691735</v>
      </c>
      <c r="C12" s="88">
        <v>8.8471890610519067E-3</v>
      </c>
      <c r="D12" s="88">
        <v>1.0616452763436968</v>
      </c>
      <c r="E12" s="88">
        <v>4.6803722828242883E-2</v>
      </c>
      <c r="F12" s="88">
        <v>1.0654503930753709</v>
      </c>
      <c r="G12" s="99"/>
      <c r="J12" s="51"/>
    </row>
    <row r="13" spans="1:11" x14ac:dyDescent="0.35">
      <c r="A13" s="82" t="s">
        <v>13</v>
      </c>
      <c r="B13" s="83"/>
      <c r="C13" s="83"/>
      <c r="D13" s="86">
        <v>8.3334699999999991E-3</v>
      </c>
      <c r="E13" s="87"/>
      <c r="F13" s="86">
        <v>4.3928580000000002E-2</v>
      </c>
      <c r="I13" s="51"/>
    </row>
    <row r="14" spans="1:11" x14ac:dyDescent="0.35">
      <c r="I14" s="51"/>
      <c r="J14" s="49"/>
    </row>
    <row r="15" spans="1:11" ht="15" thickBot="1" x14ac:dyDescent="0.4">
      <c r="A15" s="115" t="s">
        <v>53</v>
      </c>
      <c r="B15" s="116"/>
      <c r="C15" s="116"/>
      <c r="D15" s="116"/>
      <c r="E15" s="116"/>
      <c r="F15" s="116"/>
      <c r="I15" s="51"/>
    </row>
    <row r="16" spans="1:11" ht="15" thickTop="1" x14ac:dyDescent="0.35">
      <c r="A16" s="62" t="s">
        <v>29</v>
      </c>
      <c r="B16" s="63"/>
      <c r="C16" s="66" t="s">
        <v>35</v>
      </c>
      <c r="D16" s="67"/>
      <c r="E16" s="64" t="s">
        <v>14</v>
      </c>
      <c r="F16" s="65"/>
      <c r="I16" s="51"/>
    </row>
    <row r="17" spans="1:11" x14ac:dyDescent="0.35">
      <c r="A17" s="73" t="s">
        <v>33</v>
      </c>
      <c r="B17" s="74" t="s">
        <v>8</v>
      </c>
      <c r="C17" s="75" t="s">
        <v>30</v>
      </c>
      <c r="D17" s="76" t="s">
        <v>5</v>
      </c>
      <c r="E17" s="75" t="s">
        <v>30</v>
      </c>
      <c r="F17" s="23" t="s">
        <v>5</v>
      </c>
      <c r="I17" s="51"/>
    </row>
    <row r="18" spans="1:11" x14ac:dyDescent="0.35">
      <c r="A18" s="72" t="s">
        <v>24</v>
      </c>
      <c r="B18" s="49">
        <v>48477.954750000004</v>
      </c>
      <c r="C18" s="96">
        <v>8.6944562169461777E-3</v>
      </c>
      <c r="D18" s="96">
        <v>1.043317635624317</v>
      </c>
      <c r="E18" s="96">
        <v>4.6602611730204815E-2</v>
      </c>
      <c r="F18" s="96">
        <v>1.0608722551515395</v>
      </c>
      <c r="G18" s="98"/>
      <c r="I18" s="51"/>
    </row>
    <row r="19" spans="1:11" x14ac:dyDescent="0.35">
      <c r="A19" s="72" t="s">
        <v>25</v>
      </c>
      <c r="B19" s="49">
        <v>86049.084740000006</v>
      </c>
      <c r="C19" s="96">
        <v>9.4160689944852681E-3</v>
      </c>
      <c r="D19" s="96">
        <v>1.1299097488183516</v>
      </c>
      <c r="E19" s="96">
        <v>4.7081646841138081E-2</v>
      </c>
      <c r="F19" s="96">
        <v>1.0717771173376895</v>
      </c>
      <c r="G19" s="98"/>
      <c r="I19" s="51"/>
    </row>
    <row r="20" spans="1:11" x14ac:dyDescent="0.35">
      <c r="A20" s="72" t="s">
        <v>26</v>
      </c>
      <c r="B20" s="49">
        <v>70782.437516917373</v>
      </c>
      <c r="C20" s="96">
        <v>8.7696316060900132E-3</v>
      </c>
      <c r="D20" s="96">
        <v>1.0523385343788378</v>
      </c>
      <c r="E20" s="96">
        <v>4.2475270614332067E-2</v>
      </c>
      <c r="F20" s="96">
        <v>0.9669165407653072</v>
      </c>
      <c r="G20" s="98"/>
      <c r="I20" s="51"/>
    </row>
    <row r="21" spans="1:11" x14ac:dyDescent="0.35">
      <c r="A21" s="72" t="s">
        <v>27</v>
      </c>
      <c r="B21" s="49">
        <v>58680.380219999999</v>
      </c>
      <c r="C21" s="96">
        <v>8.1621515474636919E-3</v>
      </c>
      <c r="D21" s="96">
        <v>0.97944212284482846</v>
      </c>
      <c r="E21" s="96">
        <v>4.3622718044583619E-2</v>
      </c>
      <c r="F21" s="96">
        <v>0.99303729017836717</v>
      </c>
      <c r="G21" s="98"/>
      <c r="I21" s="51"/>
    </row>
    <row r="22" spans="1:11" x14ac:dyDescent="0.35">
      <c r="A22" s="72" t="s">
        <v>28</v>
      </c>
      <c r="B22" s="49">
        <v>74371.174209999997</v>
      </c>
      <c r="C22" s="96">
        <v>9.2783918416883254E-3</v>
      </c>
      <c r="D22" s="96">
        <v>1.1133887614269118</v>
      </c>
      <c r="E22" s="96">
        <v>5.4927117604363973E-2</v>
      </c>
      <c r="F22" s="96">
        <v>1.2503731649045784</v>
      </c>
      <c r="G22" s="98"/>
      <c r="I22" s="51"/>
    </row>
    <row r="23" spans="1:11" x14ac:dyDescent="0.35">
      <c r="A23" s="72" t="s">
        <v>31</v>
      </c>
      <c r="B23" s="49">
        <v>38058.487450000001</v>
      </c>
      <c r="C23" s="96">
        <v>8.777710480565748E-3</v>
      </c>
      <c r="D23" s="96">
        <v>1.0533079834169619</v>
      </c>
      <c r="E23" s="96">
        <v>4.6447832921749255E-2</v>
      </c>
      <c r="F23" s="96">
        <v>1.0573488358091532</v>
      </c>
      <c r="G23" s="98"/>
      <c r="I23" s="51"/>
    </row>
    <row r="24" spans="1:11" x14ac:dyDescent="0.35">
      <c r="A24" s="84" t="s">
        <v>34</v>
      </c>
      <c r="B24" s="85">
        <v>376419.51888691739</v>
      </c>
      <c r="C24" s="88">
        <v>8.9143594929444996E-3</v>
      </c>
      <c r="D24" s="88">
        <v>1.069705595981566</v>
      </c>
      <c r="E24" s="88">
        <v>4.7100536501788914E-2</v>
      </c>
      <c r="F24" s="88">
        <v>1.0722071257889263</v>
      </c>
      <c r="G24" s="99"/>
      <c r="I24" s="51"/>
      <c r="K24" s="49"/>
    </row>
    <row r="25" spans="1:11" x14ac:dyDescent="0.35">
      <c r="A25" s="82" t="s">
        <v>13</v>
      </c>
      <c r="B25" s="83"/>
      <c r="C25" s="83"/>
      <c r="D25" s="86">
        <v>8.3334699999999991E-3</v>
      </c>
      <c r="E25" s="87"/>
      <c r="F25" s="86">
        <v>4.3928580000000002E-2</v>
      </c>
      <c r="I25" s="49"/>
    </row>
    <row r="27" spans="1:11" ht="15" thickBot="1" x14ac:dyDescent="0.4">
      <c r="A27" s="117" t="s">
        <v>55</v>
      </c>
      <c r="B27" s="118"/>
      <c r="C27" s="118"/>
      <c r="D27" s="118"/>
      <c r="E27" s="118"/>
      <c r="F27" s="118"/>
      <c r="I27" s="49"/>
    </row>
    <row r="28" spans="1:11" ht="15" thickTop="1" x14ac:dyDescent="0.35">
      <c r="A28" s="62" t="s">
        <v>29</v>
      </c>
      <c r="B28" s="63"/>
      <c r="C28" s="66" t="s">
        <v>35</v>
      </c>
      <c r="D28" s="67"/>
      <c r="E28" s="64" t="s">
        <v>14</v>
      </c>
      <c r="F28" s="65"/>
    </row>
    <row r="29" spans="1:11" x14ac:dyDescent="0.35">
      <c r="A29" s="73" t="s">
        <v>33</v>
      </c>
      <c r="B29" s="74" t="s">
        <v>8</v>
      </c>
      <c r="C29" s="75" t="s">
        <v>30</v>
      </c>
      <c r="D29" s="76" t="s">
        <v>5</v>
      </c>
      <c r="E29" s="75" t="s">
        <v>30</v>
      </c>
      <c r="F29" s="23" t="s">
        <v>5</v>
      </c>
    </row>
    <row r="30" spans="1:11" x14ac:dyDescent="0.35">
      <c r="A30" s="77" t="s">
        <v>24</v>
      </c>
      <c r="B30" s="78">
        <v>24380.011200000001</v>
      </c>
      <c r="C30" s="97">
        <v>8.0693961078501797E-3</v>
      </c>
      <c r="D30" s="97">
        <v>0.96831165263091845</v>
      </c>
      <c r="E30" s="97">
        <v>4.2846074812603163E-2</v>
      </c>
      <c r="F30" s="97">
        <v>0.97535761029842438</v>
      </c>
      <c r="G30" s="98"/>
    </row>
    <row r="31" spans="1:11" x14ac:dyDescent="0.35">
      <c r="A31" s="77" t="s">
        <v>25</v>
      </c>
      <c r="B31" s="78">
        <v>24788.397579999997</v>
      </c>
      <c r="C31" s="97">
        <v>8.6101350067873117E-3</v>
      </c>
      <c r="D31" s="97">
        <v>1.0331992563466734</v>
      </c>
      <c r="E31" s="97">
        <v>4.6270908855712944E-2</v>
      </c>
      <c r="F31" s="97">
        <v>1.0533212968803667</v>
      </c>
      <c r="G31" s="98"/>
      <c r="I31" s="51"/>
    </row>
    <row r="32" spans="1:11" x14ac:dyDescent="0.35">
      <c r="A32" s="84" t="s">
        <v>36</v>
      </c>
      <c r="B32" s="85">
        <v>49168.408779999998</v>
      </c>
      <c r="C32" s="88">
        <v>8.3420112106451557E-3</v>
      </c>
      <c r="D32" s="88">
        <v>1.0010249284685917</v>
      </c>
      <c r="E32" s="88">
        <v>4.4572714946230114E-2</v>
      </c>
      <c r="F32" s="88">
        <v>1.0146632316872093</v>
      </c>
      <c r="I32" s="51"/>
    </row>
    <row r="33" spans="1:10" x14ac:dyDescent="0.35">
      <c r="A33" s="82" t="s">
        <v>13</v>
      </c>
      <c r="B33" s="83"/>
      <c r="C33" s="83"/>
      <c r="D33" s="86">
        <v>8.3334699999999991E-3</v>
      </c>
      <c r="E33" s="87"/>
      <c r="F33" s="86">
        <v>4.3928580000000002E-2</v>
      </c>
      <c r="I33" s="51"/>
    </row>
    <row r="34" spans="1:10" x14ac:dyDescent="0.35">
      <c r="A34" s="77"/>
      <c r="B34" s="78"/>
      <c r="C34" s="79"/>
      <c r="D34" s="79"/>
      <c r="E34" s="79"/>
      <c r="F34" s="79"/>
    </row>
    <row r="35" spans="1:10" ht="15" thickBot="1" x14ac:dyDescent="0.4">
      <c r="A35" s="111" t="s">
        <v>56</v>
      </c>
      <c r="B35" s="112"/>
      <c r="C35" s="112"/>
      <c r="D35" s="112"/>
      <c r="E35" s="112"/>
      <c r="F35" s="112"/>
    </row>
    <row r="36" spans="1:10" ht="15" thickTop="1" x14ac:dyDescent="0.35">
      <c r="A36" s="62" t="s">
        <v>29</v>
      </c>
      <c r="B36" s="63"/>
      <c r="C36" s="66" t="s">
        <v>35</v>
      </c>
      <c r="D36" s="67"/>
      <c r="E36" s="64" t="s">
        <v>14</v>
      </c>
      <c r="F36" s="65"/>
      <c r="J36" s="81" t="s">
        <v>37</v>
      </c>
    </row>
    <row r="37" spans="1:10" x14ac:dyDescent="0.35">
      <c r="A37" s="73" t="s">
        <v>33</v>
      </c>
      <c r="B37" s="74" t="s">
        <v>8</v>
      </c>
      <c r="C37" s="75" t="s">
        <v>30</v>
      </c>
      <c r="D37" s="76" t="s">
        <v>5</v>
      </c>
      <c r="E37" s="75" t="s">
        <v>30</v>
      </c>
      <c r="F37" s="23" t="s">
        <v>5</v>
      </c>
    </row>
    <row r="38" spans="1:10" x14ac:dyDescent="0.35">
      <c r="A38" s="77" t="s">
        <v>0</v>
      </c>
      <c r="B38" s="49">
        <v>17.648169999999997</v>
      </c>
      <c r="C38" s="97">
        <v>6.1770514459549286E-3</v>
      </c>
      <c r="D38" s="97">
        <v>0.74123401727670812</v>
      </c>
      <c r="E38" s="97">
        <v>3.6520364244392978E-2</v>
      </c>
      <c r="F38" s="97">
        <v>0.831357723022073</v>
      </c>
    </row>
    <row r="39" spans="1:10" x14ac:dyDescent="0.35">
      <c r="A39" s="77" t="s">
        <v>17</v>
      </c>
      <c r="B39" s="49">
        <v>73.884270000000001</v>
      </c>
      <c r="C39" s="97">
        <v>8.9439088094980246E-3</v>
      </c>
      <c r="D39" s="97">
        <v>1.0732514558158877</v>
      </c>
      <c r="E39" s="97">
        <v>4.9138948000849725E-2</v>
      </c>
      <c r="F39" s="97">
        <v>1.118609980127965</v>
      </c>
    </row>
    <row r="40" spans="1:10" x14ac:dyDescent="0.35">
      <c r="A40" s="77" t="s">
        <v>2</v>
      </c>
      <c r="B40" s="49">
        <v>185.10058999999998</v>
      </c>
      <c r="C40" s="97">
        <v>6.807788045858354E-3</v>
      </c>
      <c r="D40" s="97">
        <v>0.81692116799584735</v>
      </c>
      <c r="E40" s="97">
        <v>3.617730703059463E-2</v>
      </c>
      <c r="F40" s="97">
        <v>0.82354829203663371</v>
      </c>
    </row>
    <row r="41" spans="1:10" x14ac:dyDescent="0.35">
      <c r="A41" s="77" t="s">
        <v>10</v>
      </c>
      <c r="B41" s="49">
        <v>82.891869999999997</v>
      </c>
      <c r="C41" s="97">
        <v>8.5094081021799273E-3</v>
      </c>
      <c r="D41" s="97">
        <v>1.0211122260210845</v>
      </c>
      <c r="E41" s="97">
        <v>4.6134769720726165E-2</v>
      </c>
      <c r="F41" s="97">
        <v>1.0502221952252078</v>
      </c>
    </row>
    <row r="42" spans="1:10" x14ac:dyDescent="0.35">
      <c r="A42" s="84" t="s">
        <v>41</v>
      </c>
      <c r="B42" s="85">
        <v>359.52489999999995</v>
      </c>
      <c r="C42" s="88">
        <v>7.6081355183450798E-3</v>
      </c>
      <c r="D42" s="88">
        <v>0.91296128963625955</v>
      </c>
      <c r="E42" s="88">
        <v>4.1153619981264988E-2</v>
      </c>
      <c r="F42" s="88">
        <v>0.93683019076111695</v>
      </c>
    </row>
    <row r="43" spans="1:10" x14ac:dyDescent="0.35">
      <c r="A43" s="82" t="s">
        <v>13</v>
      </c>
      <c r="B43" s="83"/>
      <c r="C43" s="83"/>
      <c r="D43" s="86">
        <v>8.3334699999999991E-3</v>
      </c>
      <c r="E43" s="87"/>
      <c r="F43" s="86">
        <v>4.3928580000000002E-2</v>
      </c>
    </row>
  </sheetData>
  <mergeCells count="6">
    <mergeCell ref="A35:F35"/>
    <mergeCell ref="A3:F3"/>
    <mergeCell ref="C4:D4"/>
    <mergeCell ref="E4:F4"/>
    <mergeCell ref="A15:F15"/>
    <mergeCell ref="A27:F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3203A9DAD6D4A9C46E88578CED4E3" ma:contentTypeVersion="5" ma:contentTypeDescription="Crie um novo documento." ma:contentTypeScope="" ma:versionID="f4b15a38aa3df6b88c445f8311e60c0d">
  <xsd:schema xmlns:xsd="http://www.w3.org/2001/XMLSchema" xmlns:xs="http://www.w3.org/2001/XMLSchema" xmlns:p="http://schemas.microsoft.com/office/2006/metadata/properties" xmlns:ns3="96fc37d9-ddc5-471c-bd4a-3f22637ad172" xmlns:ns4="9282dc4c-5913-4bd4-a335-47987adf296d" targetNamespace="http://schemas.microsoft.com/office/2006/metadata/properties" ma:root="true" ma:fieldsID="99bc4fbd70fd718d85f3da27834110d5" ns3:_="" ns4:_="">
    <xsd:import namespace="96fc37d9-ddc5-471c-bd4a-3f22637ad172"/>
    <xsd:import namespace="9282dc4c-5913-4bd4-a335-47987adf296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c37d9-ddc5-471c-bd4a-3f22637ad17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2dc4c-5913-4bd4-a335-47987adf2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CA33EF-CA7B-4D50-B967-6DA4A150C8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304A3C-E3C0-43EC-BEC6-2093D6D89C4C}">
  <ds:schemaRefs>
    <ds:schemaRef ds:uri="http://schemas.microsoft.com/office/infopath/2007/PartnerControls"/>
    <ds:schemaRef ds:uri="http://schemas.microsoft.com/office/2006/documentManagement/types"/>
    <ds:schemaRef ds:uri="96fc37d9-ddc5-471c-bd4a-3f22637ad172"/>
    <ds:schemaRef ds:uri="9282dc4c-5913-4bd4-a335-47987adf296d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FF477C3-4CF1-40AB-94EF-F12F02868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c37d9-ddc5-471c-bd4a-3f22637ad172"/>
    <ds:schemaRef ds:uri="9282dc4c-5913-4bd4-a335-47987adf29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RESUMO</vt:lpstr>
      <vt:lpstr>Performance por Instituição</vt:lpstr>
      <vt:lpstr>RESUMO!Area_de_impressao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Shelden Diniz e Souza</dc:creator>
  <cp:lastModifiedBy>Shelden Diniz e Souza / SUAFI</cp:lastModifiedBy>
  <cp:lastPrinted>2023-01-09T18:40:00Z</cp:lastPrinted>
  <dcterms:created xsi:type="dcterms:W3CDTF">2013-05-10T19:51:06Z</dcterms:created>
  <dcterms:modified xsi:type="dcterms:W3CDTF">2024-06-10T14:26:38Z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0x010100E713203A9DAD6D4A9C46E88578CED4E3</vt:lpwstr>
  </property>
</Properties>
</file>