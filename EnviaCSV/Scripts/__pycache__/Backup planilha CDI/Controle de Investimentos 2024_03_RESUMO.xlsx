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ml.chartshape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X:\Investimentos Financeiros\2024\CNSEG\"/>
    </mc:Choice>
  </mc:AlternateContent>
  <xr:revisionPtr revIDLastSave="0" documentId="13_ncr:1_{8A4E0088-655B-4817-B734-86C2E7591CD5}" xr6:coauthVersionLast="47" xr6:coauthVersionMax="47" xr10:uidLastSave="{00000000-0000-0000-0000-000000000000}"/>
  <bookViews>
    <workbookView xWindow="28680" yWindow="-30" windowWidth="20730" windowHeight="11040" tabRatio="844" xr2:uid="{00000000-000D-0000-FFFF-FFFF00000000}"/>
  </bookViews>
  <sheets>
    <sheet name="RESUMO" sheetId="3" r:id="rId1"/>
    <sheet name="MOV RF" sheetId="15" r:id="rId2"/>
    <sheet name="Performance por Instituição" sheetId="16" r:id="rId3"/>
  </sheets>
  <definedNames>
    <definedName name="_xlnm.Print_Area" localSheetId="0">RESUMO!$A$1:$O$96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<sst xmlns="http://schemas.openxmlformats.org/spreadsheetml/2006/main" count="209" uniqueCount="69">
  <si>
    <t>Bradesco FIC Renda Fixa Marte</t>
  </si>
  <si>
    <t>Itaú Institucional Referenciado DI FI</t>
  </si>
  <si>
    <t>Itaú BBA Federal Provision CP FICFI</t>
  </si>
  <si>
    <t>FUNDOS DE INVESTIMENTO</t>
  </si>
  <si>
    <t>Fundo</t>
  </si>
  <si>
    <t>(%) Bench</t>
  </si>
  <si>
    <t>Porto Seguro Clássico Renda Fixa FIC FI</t>
  </si>
  <si>
    <t>MÊS</t>
  </si>
  <si>
    <t>Saldo (Mil)</t>
  </si>
  <si>
    <t xml:space="preserve"> </t>
  </si>
  <si>
    <t>BB Institucional RF</t>
  </si>
  <si>
    <t>TOTAL DOS FUNDOS DE INVESTIMENTOS</t>
  </si>
  <si>
    <t xml:space="preserve">BENCH = CDI  </t>
  </si>
  <si>
    <t>CDI</t>
  </si>
  <si>
    <t>ANO</t>
  </si>
  <si>
    <t>Mapfre Renda Fixa FI</t>
  </si>
  <si>
    <t>Sulamerica Excellence FI RF Crédito Privado</t>
  </si>
  <si>
    <t>Bradesco HSBC DI CP Executivo</t>
  </si>
  <si>
    <t>Bradesco FI Ref DI Federal Extra</t>
  </si>
  <si>
    <t>BB Solidez RF LP</t>
  </si>
  <si>
    <t>RENTABILIDADE E DESEMPENHO DATA BASE 31/01/18  - NOVA CARTEIRA CAIXA</t>
  </si>
  <si>
    <t>RENTABILIDADE E DESEMPENHO DATA BASE 31/01/18  - NOVA CARTEIRA RENDA FIXA</t>
  </si>
  <si>
    <t xml:space="preserve">RENTABILIDADE E DESEMPENHO DATA BASE 31/01/18  - CARTEIRA ANTIGA </t>
  </si>
  <si>
    <t>COMPOSIÇÃO DAS CARTEIRAS em 31/01/18</t>
  </si>
  <si>
    <t>Bradesco Asset</t>
  </si>
  <si>
    <t>Itaú Asset</t>
  </si>
  <si>
    <t>Porto Seguro Investimentos</t>
  </si>
  <si>
    <t>Mapfre Investimentos</t>
  </si>
  <si>
    <t>Sulamerica Investimentos</t>
  </si>
  <si>
    <t>INSTITUIÇÕES</t>
  </si>
  <si>
    <t>Rentab.</t>
  </si>
  <si>
    <t>BB DTVM</t>
  </si>
  <si>
    <t>¹ IPCA PROJETADO: FONTE ANBIMA</t>
  </si>
  <si>
    <t>Itaú Institucional Legend RF Longo Prazo FICFI</t>
  </si>
  <si>
    <t>BENCH = CDI</t>
  </si>
  <si>
    <t>TOTAL DA CARTEIRA - RENDA FIXA</t>
  </si>
  <si>
    <t xml:space="preserve"> MÊS</t>
  </si>
  <si>
    <t>Institucional Active Fix IB MMFI</t>
  </si>
  <si>
    <t xml:space="preserve">Itaú Corporate Crédito Privado Dif IQ RF </t>
  </si>
  <si>
    <t>Itaú Instiucional Global Dinamico RFLP FIC</t>
  </si>
  <si>
    <t>Bradesco FI Multimercado Plus I</t>
  </si>
  <si>
    <t>TOTAL DA CARTEIRA - CAIXA</t>
  </si>
  <si>
    <t/>
  </si>
  <si>
    <t>Bradesco H FI RF CP LP Performance Institucional</t>
  </si>
  <si>
    <t>Institucional Active FIX IB MMFI</t>
  </si>
  <si>
    <t>Itaú Institucional Global Dinamico RF LP FIC</t>
  </si>
  <si>
    <t>TOTAL DA CARTEIRA - BLOQUEIOS</t>
  </si>
  <si>
    <t>Porto Seguro FI RF Referenciado DI Crédito Privado</t>
  </si>
  <si>
    <t>Porto Seguro IMA-B5- FICFI RF Longo Prazo</t>
  </si>
  <si>
    <r>
      <t>Bradesco FI Multimercado Plus I</t>
    </r>
    <r>
      <rPr>
        <sz val="8"/>
        <color theme="1"/>
        <rFont val="Calibri"/>
        <family val="2"/>
        <scheme val="minor"/>
      </rPr>
      <t xml:space="preserve"> </t>
    </r>
  </si>
  <si>
    <t xml:space="preserve">Porto Seguro FI RF Ref. DI Crédito Privado </t>
  </si>
  <si>
    <t xml:space="preserve">Porto Seguro IMA-B5- FICFI RF Longo Prazo </t>
  </si>
  <si>
    <t>Rend. (Mil)</t>
  </si>
  <si>
    <t>RENTABILIDADE e DESEMPENHO - CARTEIRA RENDA FIXA - DATA BASE 29/02/2024 - POR  INSTITUIÇÃO</t>
  </si>
  <si>
    <t>RENTABILIDADE E DESEMPENHO DATA BASE 31/03/2024 - POR FUNDO DE INVESTIMENTO</t>
  </si>
  <si>
    <t>RENTABILIDADE (%) - EVOLUÇÃO POR FUNDO - DATA BASE 31/03/2024</t>
  </si>
  <si>
    <t>RENTABILIDADE - EVOLUÇÃO POR CARTEIRA - DATA BASE 31/03/2024</t>
  </si>
  <si>
    <t>RENTABILIDADE E DESEMPENHO DATA BASE 31/03/2024- POR INSTITUIÇÃO</t>
  </si>
  <si>
    <t>Saldo final março/24</t>
  </si>
  <si>
    <t>Resgates em março</t>
  </si>
  <si>
    <t>Aplicações em março</t>
  </si>
  <si>
    <t>RENTABILIDADE E DESEMPENHO DATA BASE 31/03/2024  - POR INSTITUIÇÃO</t>
  </si>
  <si>
    <t>RENTABILIDADE e DESEMPENHO - CARTEIRA RENDA FIXA - DATA BASE 31/03/2024 - POR  INSTITUIÇÃO</t>
  </si>
  <si>
    <t>RENTABILIDADE e DESEMPENHO - CARTEIRA CAIXA - DATA BASE 31/03/24 - POR  INSTITUIÇÃO</t>
  </si>
  <si>
    <t>RENTABILIDADE e DESEMPENHO - CARTEIRA DE BLOQUEIOS - DATA BASE 31/03/24 - POR  INSTITUIÇÃO</t>
  </si>
  <si>
    <t>Itaú Institucional Legend RF Longo Prazo FICFI¹</t>
  </si>
  <si>
    <t>Itaú Corporate Crédito Privado Dif IQ RF</t>
  </si>
  <si>
    <t>¹ Rentabilidade anual calcuada com base no resgate total em fev/24 - CDI do período 1,7764</t>
  </si>
  <si>
    <t xml:space="preserve">Bradesco FI Multimercado Plus 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</si>
</sst>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5" formatCode="_-* #,##0_-;\-* #,##0_-;_-* &quot;-&quot;??_-;_-@_-"/>
    <numFmt numFmtId="166" formatCode="0.0%"/>
    <numFmt numFmtId="167" formatCode="_(* #,##0.00_);_(* \(#,##0.00\);_(* &quot;-&quot;??_);_(@_)"/>
    <numFmt numFmtId="168" formatCode="0.000%"/>
    <numFmt numFmtId="169" formatCode="#,##0.00_ ;[Red]\-#,##0.00\ "/>
    <numFmt numFmtId="182" formatCode="_-* #,##0.0_-;\-* #,##0.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3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9" fillId="0" borderId="0"/>
    <xf numFmtId="9" fontId="9" fillId="0" borderId="0" applyFont="0" applyFill="0" applyBorder="0" applyAlignment="0" applyProtection="0"/>
    <xf numFmtId="167" fontId="9" fillId="0" borderId="0" applyFont="0" applyFill="0" applyBorder="0" applyAlignment="0" applyProtection="0"/>
  </cellStyleXfs>
  <cellXfs count="132">
    <xf numFmtId="0" fontId="0" fillId="0" borderId="0" xfId="0"/>
    <xf numFmtId="43" fontId="0" fillId="0" borderId="0" xfId="1" applyFont="1"/>
    <xf numFmtId="0" fontId="3" fillId="0" borderId="0" xfId="0" applyFont="1" applyAlignment="1">
      <alignment horizontal="center" vertical="center" wrapText="1"/>
    </xf>
    <xf numFmtId="0" fontId="0" fillId="4" borderId="0" xfId="0" applyFill="1"/>
    <xf numFmtId="43" fontId="0" fillId="4" borderId="0" xfId="1" applyFont="1" applyFill="1" applyBorder="1"/>
    <xf numFmtId="9" fontId="0" fillId="4" borderId="0" xfId="2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9" fontId="2" fillId="4" borderId="0" xfId="2" applyFont="1" applyFill="1" applyBorder="1" applyAlignment="1">
      <alignment horizontal="center"/>
    </xf>
    <xf numFmtId="43" fontId="0" fillId="4" borderId="0" xfId="2" applyNumberFormat="1" applyFont="1" applyFill="1" applyBorder="1"/>
    <xf numFmtId="9" fontId="2" fillId="4" borderId="0" xfId="2" applyFont="1" applyFill="1" applyBorder="1"/>
    <xf numFmtId="43" fontId="2" fillId="4" borderId="0" xfId="1" applyFont="1" applyFill="1" applyBorder="1" applyAlignment="1">
      <alignment horizontal="center"/>
    </xf>
    <xf numFmtId="43" fontId="2" fillId="4" borderId="0" xfId="1" applyFont="1" applyFill="1" applyBorder="1"/>
    <xf numFmtId="0" fontId="5" fillId="4" borderId="0" xfId="0" applyFont="1" applyFill="1"/>
    <xf numFmtId="43" fontId="5" fillId="4" borderId="0" xfId="1" applyFont="1" applyFill="1" applyBorder="1" applyAlignment="1">
      <alignment horizontal="center"/>
    </xf>
    <xf numFmtId="10" fontId="5" fillId="4" borderId="0" xfId="2" applyNumberFormat="1" applyFont="1" applyFill="1" applyBorder="1" applyAlignment="1">
      <alignment horizontal="center"/>
    </xf>
    <xf numFmtId="43" fontId="0" fillId="4" borderId="0" xfId="1" applyFont="1" applyFill="1" applyBorder="1" applyAlignment="1">
      <alignment horizontal="center"/>
    </xf>
    <xf numFmtId="10" fontId="0" fillId="4" borderId="0" xfId="2" applyNumberFormat="1" applyFont="1" applyFill="1" applyBorder="1" applyAlignment="1">
      <alignment horizontal="center"/>
    </xf>
    <xf numFmtId="43" fontId="5" fillId="4" borderId="0" xfId="1" applyFont="1" applyFill="1" applyBorder="1"/>
    <xf numFmtId="10" fontId="5" fillId="4" borderId="0" xfId="2" applyNumberFormat="1" applyFont="1" applyFill="1" applyBorder="1"/>
    <xf numFmtId="0" fontId="6" fillId="0" borderId="0" xfId="0" applyFont="1" applyAlignment="1">
      <alignment horizontal="center"/>
    </xf>
    <xf numFmtId="43" fontId="6" fillId="0" borderId="0" xfId="1" applyFont="1" applyFill="1"/>
    <xf numFmtId="9" fontId="6" fillId="0" borderId="0" xfId="2" applyFont="1" applyFill="1"/>
    <xf numFmtId="9" fontId="2" fillId="6" borderId="3" xfId="2" applyFont="1" applyFill="1" applyBorder="1"/>
    <xf numFmtId="0" fontId="6" fillId="6" borderId="0" xfId="0" applyFont="1" applyFill="1" applyAlignment="1">
      <alignment horizontal="center"/>
    </xf>
    <xf numFmtId="43" fontId="6" fillId="6" borderId="0" xfId="1" applyFont="1" applyFill="1"/>
    <xf numFmtId="0" fontId="2" fillId="7" borderId="0" xfId="0" applyFont="1" applyFill="1"/>
    <xf numFmtId="0" fontId="6" fillId="7" borderId="0" xfId="0" applyFont="1" applyFill="1" applyAlignment="1">
      <alignment horizontal="center"/>
    </xf>
    <xf numFmtId="165" fontId="7" fillId="0" borderId="0" xfId="0" applyNumberFormat="1" applyFont="1"/>
    <xf numFmtId="0" fontId="7" fillId="0" borderId="8" xfId="0" applyFont="1" applyBorder="1" applyAlignment="1">
      <alignment horizontal="left" vertical="center" wrapText="1"/>
    </xf>
    <xf numFmtId="165" fontId="7" fillId="0" borderId="8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center" vertical="center" wrapText="1"/>
    </xf>
    <xf numFmtId="43" fontId="6" fillId="6" borderId="2" xfId="1" applyFont="1" applyFill="1" applyBorder="1"/>
    <xf numFmtId="9" fontId="6" fillId="6" borderId="0" xfId="2" applyFont="1" applyFill="1" applyBorder="1"/>
    <xf numFmtId="9" fontId="6" fillId="6" borderId="3" xfId="2" applyFont="1" applyFill="1" applyBorder="1"/>
    <xf numFmtId="168" fontId="7" fillId="0" borderId="8" xfId="2" applyNumberFormat="1" applyFont="1" applyFill="1" applyBorder="1" applyAlignment="1">
      <alignment horizontal="center" vertical="center" wrapText="1"/>
    </xf>
    <xf numFmtId="168" fontId="8" fillId="0" borderId="9" xfId="2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0" fontId="10" fillId="0" borderId="4" xfId="0" applyNumberFormat="1" applyFont="1" applyBorder="1"/>
    <xf numFmtId="167" fontId="10" fillId="0" borderId="4" xfId="5" applyFont="1" applyFill="1" applyBorder="1"/>
    <xf numFmtId="167" fontId="0" fillId="0" borderId="0" xfId="5" applyFont="1"/>
    <xf numFmtId="169" fontId="0" fillId="0" borderId="0" xfId="0" applyNumberFormat="1"/>
    <xf numFmtId="0" fontId="3" fillId="0" borderId="0" xfId="0" applyFont="1" applyAlignment="1">
      <alignment horizontal="center"/>
    </xf>
    <xf numFmtId="168" fontId="7" fillId="0" borderId="0" xfId="2" applyNumberFormat="1" applyFont="1" applyFill="1"/>
    <xf numFmtId="168" fontId="3" fillId="0" borderId="0" xfId="0" applyNumberFormat="1" applyFont="1"/>
    <xf numFmtId="168" fontId="7" fillId="0" borderId="0" xfId="2" applyNumberFormat="1" applyFont="1"/>
    <xf numFmtId="168" fontId="7" fillId="0" borderId="0" xfId="2" applyNumberFormat="1" applyFont="1" applyBorder="1"/>
    <xf numFmtId="0" fontId="0" fillId="0" borderId="0" xfId="0" applyAlignment="1">
      <alignment horizontal="center" vertical="center"/>
    </xf>
    <xf numFmtId="0" fontId="11" fillId="0" borderId="0" xfId="0" applyFont="1"/>
    <xf numFmtId="165" fontId="11" fillId="0" borderId="0" xfId="0" applyNumberFormat="1" applyFont="1"/>
    <xf numFmtId="168" fontId="11" fillId="0" borderId="0" xfId="2" applyNumberFormat="1" applyFont="1" applyFill="1"/>
    <xf numFmtId="0" fontId="11" fillId="0" borderId="7" xfId="0" applyFont="1" applyBorder="1"/>
    <xf numFmtId="165" fontId="11" fillId="0" borderId="7" xfId="0" applyNumberFormat="1" applyFont="1" applyBorder="1"/>
    <xf numFmtId="168" fontId="11" fillId="0" borderId="7" xfId="2" applyNumberFormat="1" applyFont="1" applyFill="1" applyBorder="1"/>
    <xf numFmtId="165" fontId="0" fillId="0" borderId="0" xfId="0" applyNumberFormat="1"/>
    <xf numFmtId="0" fontId="0" fillId="0" borderId="0" xfId="0" applyAlignment="1">
      <alignment vertical="center" wrapText="1"/>
    </xf>
    <xf numFmtId="165" fontId="0" fillId="0" borderId="0" xfId="1" applyNumberFormat="1" applyFont="1"/>
    <xf numFmtId="0" fontId="7" fillId="0" borderId="5" xfId="0" applyFont="1" applyBorder="1" applyAlignment="1">
      <alignment horizontal="left" vertical="center" wrapText="1"/>
    </xf>
    <xf numFmtId="165" fontId="7" fillId="0" borderId="5" xfId="0" applyNumberFormat="1" applyFont="1" applyBorder="1" applyAlignment="1">
      <alignment horizontal="center" vertical="center" wrapText="1"/>
    </xf>
    <xf numFmtId="168" fontId="7" fillId="8" borderId="5" xfId="2" applyNumberFormat="1" applyFont="1" applyFill="1" applyBorder="1" applyAlignment="1">
      <alignment horizontal="center" vertical="center" wrapText="1"/>
    </xf>
    <xf numFmtId="167" fontId="10" fillId="8" borderId="4" xfId="5" applyFont="1" applyFill="1" applyBorder="1"/>
    <xf numFmtId="40" fontId="10" fillId="8" borderId="4" xfId="0" applyNumberFormat="1" applyFont="1" applyFill="1" applyBorder="1"/>
    <xf numFmtId="167" fontId="0" fillId="0" borderId="0" xfId="5" applyFont="1" applyFill="1"/>
    <xf numFmtId="0" fontId="8" fillId="0" borderId="10" xfId="0" applyFont="1" applyBorder="1" applyAlignment="1">
      <alignment horizontal="left" vertical="center"/>
    </xf>
    <xf numFmtId="0" fontId="14" fillId="0" borderId="10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5" fillId="0" borderId="0" xfId="0" applyFont="1" applyAlignment="1">
      <alignment vertical="top"/>
    </xf>
    <xf numFmtId="43" fontId="6" fillId="6" borderId="0" xfId="1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left" vertical="center"/>
    </xf>
    <xf numFmtId="0" fontId="2" fillId="2" borderId="10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left" vertical="center"/>
    </xf>
    <xf numFmtId="0" fontId="12" fillId="0" borderId="5" xfId="0" applyFont="1" applyBorder="1"/>
    <xf numFmtId="0" fontId="0" fillId="3" borderId="5" xfId="0" applyFill="1" applyBorder="1"/>
    <xf numFmtId="0" fontId="11" fillId="0" borderId="0" xfId="0" applyFont="1" applyAlignment="1">
      <alignment horizontal="left" vertical="center"/>
    </xf>
    <xf numFmtId="0" fontId="2" fillId="7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43" fontId="2" fillId="6" borderId="0" xfId="1" applyFont="1" applyFill="1" applyAlignment="1">
      <alignment horizontal="center"/>
    </xf>
    <xf numFmtId="43" fontId="2" fillId="6" borderId="0" xfId="1" applyFont="1" applyFill="1"/>
    <xf numFmtId="43" fontId="2" fillId="6" borderId="2" xfId="1" applyFont="1" applyFill="1" applyBorder="1"/>
    <xf numFmtId="9" fontId="2" fillId="6" borderId="0" xfId="2" applyFont="1" applyFill="1" applyBorder="1"/>
    <xf numFmtId="0" fontId="1" fillId="0" borderId="0" xfId="0" applyFont="1" applyAlignment="1">
      <alignment horizontal="left" vertical="center"/>
    </xf>
    <xf numFmtId="165" fontId="1" fillId="0" borderId="0" xfId="0" applyNumberFormat="1" applyFont="1"/>
    <xf numFmtId="168" fontId="1" fillId="0" borderId="0" xfId="2" applyNumberFormat="1" applyFont="1" applyFill="1"/>
    <xf numFmtId="0" fontId="2" fillId="6" borderId="0" xfId="0" applyFont="1" applyFill="1" applyAlignment="1">
      <alignment horizontal="center"/>
    </xf>
    <xf numFmtId="0" fontId="0" fillId="0" borderId="0" xfId="0" quotePrefix="1"/>
    <xf numFmtId="0" fontId="12" fillId="0" borderId="7" xfId="0" applyFont="1" applyBorder="1" applyAlignment="1">
      <alignment horizontal="left" vertical="center" wrapText="1"/>
    </xf>
    <xf numFmtId="165" fontId="3" fillId="0" borderId="7" xfId="0" applyNumberFormat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 wrapText="1"/>
    </xf>
    <xf numFmtId="165" fontId="3" fillId="0" borderId="8" xfId="0" applyNumberFormat="1" applyFont="1" applyBorder="1" applyAlignment="1">
      <alignment horizontal="center" vertical="center" wrapText="1"/>
    </xf>
    <xf numFmtId="10" fontId="3" fillId="0" borderId="7" xfId="2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10" fontId="3" fillId="0" borderId="8" xfId="2" applyNumberFormat="1" applyFont="1" applyFill="1" applyBorder="1" applyAlignment="1">
      <alignment horizontal="center" vertical="center" wrapText="1"/>
    </xf>
    <xf numFmtId="40" fontId="0" fillId="0" borderId="0" xfId="0" applyNumberFormat="1"/>
    <xf numFmtId="0" fontId="0" fillId="2" borderId="10" xfId="0" applyFill="1" applyBorder="1" applyAlignment="1">
      <alignment horizontal="center" vertical="center"/>
    </xf>
    <xf numFmtId="182" fontId="11" fillId="0" borderId="0" xfId="0" applyNumberFormat="1" applyFont="1"/>
    <xf numFmtId="182" fontId="7" fillId="0" borderId="5" xfId="0" applyNumberFormat="1" applyFont="1" applyBorder="1" applyAlignment="1">
      <alignment horizontal="center" vertical="center" wrapText="1"/>
    </xf>
    <xf numFmtId="182" fontId="7" fillId="0" borderId="8" xfId="0" applyNumberFormat="1" applyFont="1" applyBorder="1" applyAlignment="1">
      <alignment horizontal="center" vertical="center" wrapText="1"/>
    </xf>
    <xf numFmtId="182" fontId="3" fillId="0" borderId="5" xfId="0" applyNumberFormat="1" applyFont="1" applyBorder="1"/>
    <xf numFmtId="10" fontId="11" fillId="0" borderId="0" xfId="2" applyNumberFormat="1" applyFont="1" applyFill="1"/>
    <xf numFmtId="10" fontId="8" fillId="0" borderId="9" xfId="2" applyNumberFormat="1" applyFont="1" applyBorder="1" applyAlignment="1">
      <alignment horizontal="center" vertical="center" wrapText="1"/>
    </xf>
    <xf numFmtId="10" fontId="0" fillId="0" borderId="0" xfId="2" applyNumberFormat="1" applyFont="1" applyFill="1"/>
    <xf numFmtId="10" fontId="1" fillId="0" borderId="0" xfId="2" applyNumberFormat="1" applyFont="1" applyFill="1"/>
    <xf numFmtId="167" fontId="10" fillId="0" borderId="6" xfId="5" applyFont="1" applyFill="1" applyBorder="1"/>
    <xf numFmtId="40" fontId="10" fillId="0" borderId="6" xfId="0" applyNumberFormat="1" applyFont="1" applyBorder="1"/>
    <xf numFmtId="40" fontId="3" fillId="0" borderId="4" xfId="0" applyNumberFormat="1" applyFont="1" applyBorder="1"/>
    <xf numFmtId="166" fontId="0" fillId="0" borderId="0" xfId="2" applyNumberFormat="1" applyFont="1"/>
    <xf numFmtId="166" fontId="0" fillId="0" borderId="0" xfId="1" applyNumberFormat="1" applyFont="1"/>
    <xf numFmtId="0" fontId="3" fillId="5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3" fillId="12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</cellXfs>
  <cellStyles count="15">
    <cellStyle name="Normal" xfId="0" builtinId="0"/>
    <cellStyle name="Normal 2" xfId="3" xr:uid="{00000000-0005-0000-0000-000001000000}"/>
    <cellStyle name="Normal 2 2" xfId="12" xr:uid="{00000000-0005-0000-0000-000002000000}"/>
    <cellStyle name="Normal 3" xfId="9" xr:uid="{00000000-0005-0000-0000-000003000000}"/>
    <cellStyle name="Normal 4" xfId="6" xr:uid="{00000000-0005-0000-0000-000004000000}"/>
    <cellStyle name="Porcentagem" xfId="2" builtinId="5"/>
    <cellStyle name="Porcentagem 2" xfId="7" xr:uid="{00000000-0005-0000-0000-000006000000}"/>
    <cellStyle name="Porcentagem 2 2" xfId="13" xr:uid="{00000000-0005-0000-0000-000007000000}"/>
    <cellStyle name="Porcentagem 3" xfId="10" xr:uid="{00000000-0005-0000-0000-000008000000}"/>
    <cellStyle name="Separador de milhares 2" xfId="8" xr:uid="{00000000-0005-0000-0000-000009000000}"/>
    <cellStyle name="Separador de milhares 2 2" xfId="14" xr:uid="{00000000-0005-0000-0000-00000A000000}"/>
    <cellStyle name="Vírgula" xfId="1" builtinId="3"/>
    <cellStyle name="Vírgula 2" xfId="5" xr:uid="{00000000-0005-0000-0000-00000C000000}"/>
    <cellStyle name="Vírgula 2 2" xfId="11" xr:uid="{00000000-0005-0000-0000-00000D000000}"/>
    <cellStyle name="Vírgula 3" xfId="4" xr:uid="{00000000-0005-0000-0000-00000E000000}"/>
  </cellStyles>
  <dxfs count="0"/>
  <tableStyles count="0" defaultTableStyle="TableStyleMedium2" defaultPivotStyle="PivotStyleLight16"/>
  <colors>
    <mruColors>
      <color rgb="FFFFFFCC"/>
      <color rgb="FFFF9900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605946594919554"/>
          <c:y val="6.4040001334096496E-3"/>
        </c:manualLayout>
      </c:layout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6904693020392706E-2"/>
          <c:y val="0.2765942537498724"/>
          <c:w val="0.81534399476287645"/>
          <c:h val="0.66491033085930307"/>
        </c:manualLayout>
      </c:layout>
      <c:pie3DChart>
        <c:varyColors val="1"/>
        <c:ser>
          <c:idx val="0"/>
          <c:order val="0"/>
          <c:explosion val="32"/>
          <c:dLbls>
            <c:dLbl>
              <c:idx val="0"/>
              <c:layout>
                <c:manualLayout>
                  <c:x val="-0.35105510061200129"/>
                  <c:y val="1.32806612267421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327-4F19-AF9B-075162FC6DBB}"/>
                </c:ext>
              </c:extLst>
            </c:dLbl>
            <c:dLbl>
              <c:idx val="1"/>
              <c:layout>
                <c:manualLayout>
                  <c:x val="0.23825325019584767"/>
                  <c:y val="0.106564664432616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27-4F19-AF9B-075162FC6DBB}"/>
                </c:ext>
              </c:extLst>
            </c:dLbl>
            <c:dLbl>
              <c:idx val="2"/>
              <c:layout>
                <c:manualLayout>
                  <c:x val="-0.1820408597269513"/>
                  <c:y val="-0.2967583139311006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327-4F19-AF9B-075162FC6DBB}"/>
                </c:ext>
              </c:extLst>
            </c:dLbl>
            <c:dLbl>
              <c:idx val="3"/>
              <c:layout>
                <c:manualLayout>
                  <c:x val="-0.15902894574064153"/>
                  <c:y val="0.1025236322057635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327-4F19-AF9B-075162FC6DB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3327-4F19-AF9B-075162FC6DB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6.9194201467114483E-2"/>
                  <c:y val="3.30816823892301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9E4-4AEE-983D-BB74B42C0199}"/>
                </c:ext>
              </c:extLst>
            </c:dLbl>
            <c:dLbl>
              <c:idx val="1"/>
              <c:layout>
                <c:manualLayout>
                  <c:x val="-0.12964515233822732"/>
                  <c:y val="5.7033786275056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E4-4AEE-983D-BB74B42C019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D9E4-4AEE-983D-BB74B42C01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136298251526334E-2"/>
          <c:y val="0.2197362329546689"/>
          <c:w val="0.80760011067724191"/>
          <c:h val="0.66655012025116533"/>
        </c:manualLayout>
      </c:layout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0.24654428330124789"/>
                  <c:y val="-0.2089647160338302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83-40AD-B528-5A2457A884B3}"/>
                </c:ext>
              </c:extLst>
            </c:dLbl>
            <c:dLbl>
              <c:idx val="1"/>
              <c:layout>
                <c:manualLayout>
                  <c:x val="-4.5733152985033859E-2"/>
                  <c:y val="7.623029913155356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883-40AD-B528-5A2457A884B3}"/>
                </c:ext>
              </c:extLst>
            </c:dLbl>
            <c:dLbl>
              <c:idx val="2"/>
              <c:layout>
                <c:manualLayout>
                  <c:x val="-0.10726395073095971"/>
                  <c:y val="0.3926261550880699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883-40AD-B528-5A2457A884B3}"/>
                </c:ext>
              </c:extLst>
            </c:dLbl>
            <c:dLbl>
              <c:idx val="3"/>
              <c:layout>
                <c:manualLayout>
                  <c:x val="-8.8628879473289734E-2"/>
                  <c:y val="3.54104290833797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883-40AD-B528-5A2457A884B3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0883-40AD-B528-5A2457A884B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901055972454037E-2"/>
          <c:y val="0.24213816592473369"/>
          <c:w val="0.81762626329000798"/>
          <c:h val="0.65469540945974258"/>
        </c:manualLayout>
      </c:layout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0FC-405B-93F4-D7FD62D8050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0"/>
              <c:layout>
                <c:manualLayout>
                  <c:x val="-1.279387631573772E-2"/>
                  <c:y val="-0.294169659568010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A63-4CB7-B70B-FA5985FF5595}"/>
                </c:ext>
              </c:extLst>
            </c:dLbl>
            <c:dLbl>
              <c:idx val="1"/>
              <c:layout>
                <c:manualLayout>
                  <c:x val="-3.4769017968546846E-2"/>
                  <c:y val="-3.97041672500714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A63-4CB7-B70B-FA5985FF5595}"/>
                </c:ext>
              </c:extLst>
            </c:dLbl>
            <c:dLbl>
              <c:idx val="2"/>
              <c:layout>
                <c:manualLayout>
                  <c:x val="-0.27912781639435968"/>
                  <c:y val="0.1854386160149729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A63-4CB7-B70B-FA5985FF5595}"/>
                </c:ext>
              </c:extLst>
            </c:dLbl>
            <c:dLbl>
              <c:idx val="3"/>
              <c:layout>
                <c:manualLayout>
                  <c:x val="1.2236439195100611E-3"/>
                  <c:y val="-5.181834996380520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A63-4CB7-B70B-FA5985FF5595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4A63-4CB7-B70B-FA5985FF559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111C-430E-AD49-70D0330FEF1F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11C-430E-AD49-70D0330FEF1F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11C-430E-AD49-70D0330FEF1F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11C-430E-AD49-70D0330FEF1F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11C-430E-AD49-70D0330FEF1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111C-430E-AD49-70D0330FEF1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A7BD-4B04-A601-A05797CF6837}"/>
              </c:ext>
            </c:extLst>
          </c:dPt>
          <c:dLbls>
            <c:dLbl>
              <c:idx val="0"/>
              <c:layout>
                <c:manualLayout>
                  <c:x val="-0.3"/>
                  <c:y val="-0.12261455381764617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BD-4B04-A601-A05797CF683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BD-4B04-A601-A05797CF6837}"/>
                </c:ext>
              </c:extLst>
            </c:dLbl>
            <c:dLbl>
              <c:idx val="2"/>
              <c:layout>
                <c:manualLayout>
                  <c:x val="2.1654855643044625E-2"/>
                  <c:y val="-9.086347027647739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7BD-4B04-A601-A05797CF6837}"/>
                </c:ext>
              </c:extLst>
            </c:dLbl>
            <c:dLbl>
              <c:idx val="3"/>
              <c:layout>
                <c:manualLayout>
                  <c:x val="0.40449540682414697"/>
                  <c:y val="-1.75700516357758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D-4B04-A601-A05797CF683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A7BD-4B04-A601-A05797CF683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166666666666663E-2"/>
          <c:y val="0.34845340210387976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D3F3-4305-B7DD-A58963F328AB}"/>
              </c:ext>
            </c:extLst>
          </c:dPt>
          <c:dLbls>
            <c:dLbl>
              <c:idx val="0"/>
              <c:layout>
                <c:manualLayout>
                  <c:x val="0.13333333333333333"/>
                  <c:y val="2.84478984027050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F3-4305-B7DD-A58963F328AB}"/>
                </c:ext>
              </c:extLst>
            </c:dLbl>
            <c:dLbl>
              <c:idx val="1"/>
              <c:layout>
                <c:manualLayout>
                  <c:x val="-0.14516666666666667"/>
                  <c:y val="-0.142896914262494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3F3-4305-B7DD-A58963F328AB}"/>
                </c:ext>
              </c:extLst>
            </c:dLbl>
            <c:dLbl>
              <c:idx val="2"/>
              <c:layout>
                <c:manualLayout>
                  <c:x val="-6.1229221347331581E-3"/>
                  <c:y val="-9.697765793082696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F3-4305-B7DD-A58963F328AB}"/>
                </c:ext>
              </c:extLst>
            </c:dLbl>
            <c:dLbl>
              <c:idx val="3"/>
              <c:layout>
                <c:manualLayout>
                  <c:x val="6.5606517935258041E-2"/>
                  <c:y val="-9.105989325648726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F3-4305-B7DD-A58963F328A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D3F3-4305-B7DD-A58963F328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28AD-41F3-90C8-6A4CD2E4FD87}"/>
              </c:ext>
            </c:extLst>
          </c:dPt>
          <c:dLbls>
            <c:dLbl>
              <c:idx val="0"/>
              <c:layout>
                <c:manualLayout>
                  <c:x val="-0.20555555555555549"/>
                  <c:y val="-0.2859252210561509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AD-41F3-90C8-6A4CD2E4FD87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8AD-41F3-90C8-6A4CD2E4FD87}"/>
                </c:ext>
              </c:extLst>
            </c:dLbl>
            <c:dLbl>
              <c:idx val="2"/>
              <c:layout>
                <c:manualLayout>
                  <c:x val="-0.12001181102362204"/>
                  <c:y val="0.1387729515034711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8AD-41F3-90C8-6A4CD2E4FD87}"/>
                </c:ext>
              </c:extLst>
            </c:dLbl>
            <c:dLbl>
              <c:idx val="3"/>
              <c:layout>
                <c:manualLayout>
                  <c:x val="0.13227318460192475"/>
                  <c:y val="-1.348727832098590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AD-41F3-90C8-6A4CD2E4FD8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28AD-41F3-90C8-6A4CD2E4FD8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416666666666667"/>
          <c:y val="0.17289428042827268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E316-4A86-AE7A-0E8DACB7729D}"/>
              </c:ext>
            </c:extLst>
          </c:dPt>
          <c:dLbls>
            <c:dLbl>
              <c:idx val="0"/>
              <c:layout>
                <c:manualLayout>
                  <c:x val="-0.20833333333333334"/>
                  <c:y val="3.661342459015602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316-4A86-AE7A-0E8DACB7729D}"/>
                </c:ext>
              </c:extLst>
            </c:dLbl>
            <c:dLbl>
              <c:idx val="1"/>
              <c:layout>
                <c:manualLayout>
                  <c:x val="-5.3499999999999999E-2"/>
                  <c:y val="0.2846422947862075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316-4A86-AE7A-0E8DACB7729D}"/>
                </c:ext>
              </c:extLst>
            </c:dLbl>
            <c:dLbl>
              <c:idx val="2"/>
              <c:layout>
                <c:manualLayout>
                  <c:x val="-9.5011811023622064E-2"/>
                  <c:y val="-3.266246280904059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316-4A86-AE7A-0E8DACB7729D}"/>
                </c:ext>
              </c:extLst>
            </c:dLbl>
            <c:dLbl>
              <c:idx val="3"/>
              <c:layout>
                <c:manualLayout>
                  <c:x val="0.15679330708661418"/>
                  <c:y val="5.183700434155726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316-4A86-AE7A-0E8DACB7729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E316-4A86-AE7A-0E8DACB7729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/>
          </a:pPr>
          <a:endParaRPr lang="pt-BR"/>
        </a:p>
      </c:txPr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558E-2"/>
          <c:y val="0.25454971558852635"/>
          <c:w val="0.78055555555555556"/>
          <c:h val="0.64594388153668991"/>
        </c:manualLayout>
      </c:layout>
      <c:pie3DChart>
        <c:varyColors val="1"/>
        <c:ser>
          <c:idx val="0"/>
          <c:order val="0"/>
          <c:explosion val="25"/>
          <c:dPt>
            <c:idx val="2"/>
            <c:bubble3D val="0"/>
            <c:explosion val="24"/>
            <c:extLst>
              <c:ext xmlns:c16="http://schemas.microsoft.com/office/drawing/2014/chart" uri="{C3380CC4-5D6E-409C-BE32-E72D297353CC}">
                <c16:uniqueId val="{00000000-BF85-491B-8483-1269E6A8CAB4}"/>
              </c:ext>
            </c:extLst>
          </c:dPt>
          <c:dLbls>
            <c:dLbl>
              <c:idx val="0"/>
              <c:layout>
                <c:manualLayout>
                  <c:x val="-0.13333333333333333"/>
                  <c:y val="-4.50419218431028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F85-491B-8483-1269E6A8CAB4}"/>
                </c:ext>
              </c:extLst>
            </c:dLbl>
            <c:dLbl>
              <c:idx val="1"/>
              <c:layout>
                <c:manualLayout>
                  <c:x val="-7.2222222222222219E-4"/>
                  <c:y val="-0.299193573016441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F85-491B-8483-1269E6A8CAB4}"/>
                </c:ext>
              </c:extLst>
            </c:dLbl>
            <c:dLbl>
              <c:idx val="2"/>
              <c:layout>
                <c:manualLayout>
                  <c:x val="5.2210411198600176E-2"/>
                  <c:y val="-0.2449661387357046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F85-491B-8483-1269E6A8CAB4}"/>
                </c:ext>
              </c:extLst>
            </c:dLbl>
            <c:dLbl>
              <c:idx val="3"/>
              <c:layout>
                <c:manualLayout>
                  <c:x val="-0.10939348206474189"/>
                  <c:y val="-4.206666550934630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F85-491B-8483-1269E6A8CAB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val>
            <c:numRef>
              <c:f>Composição!#REF!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Composição!#REF!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F85-491B-8483-1269E6A8CAB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2.emf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99</xdr:row>
      <xdr:rowOff>53664</xdr:rowOff>
    </xdr:from>
    <xdr:to>
      <xdr:col>1</xdr:col>
      <xdr:colOff>389050</xdr:colOff>
      <xdr:row>115</xdr:row>
      <xdr:rowOff>83972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563450</xdr:colOff>
      <xdr:row>99</xdr:row>
      <xdr:rowOff>80492</xdr:rowOff>
    </xdr:from>
    <xdr:to>
      <xdr:col>6</xdr:col>
      <xdr:colOff>791514</xdr:colOff>
      <xdr:row>115</xdr:row>
      <xdr:rowOff>67077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80493</xdr:colOff>
      <xdr:row>99</xdr:row>
      <xdr:rowOff>93906</xdr:rowOff>
    </xdr:from>
    <xdr:to>
      <xdr:col>9</xdr:col>
      <xdr:colOff>80493</xdr:colOff>
      <xdr:row>115</xdr:row>
      <xdr:rowOff>80491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348802</xdr:colOff>
      <xdr:row>99</xdr:row>
      <xdr:rowOff>67077</xdr:rowOff>
    </xdr:from>
    <xdr:to>
      <xdr:col>14</xdr:col>
      <xdr:colOff>764682</xdr:colOff>
      <xdr:row>115</xdr:row>
      <xdr:rowOff>93909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116</xdr:row>
      <xdr:rowOff>160986</xdr:rowOff>
    </xdr:from>
    <xdr:to>
      <xdr:col>1</xdr:col>
      <xdr:colOff>348803</xdr:colOff>
      <xdr:row>133</xdr:row>
      <xdr:rowOff>93908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536620</xdr:colOff>
      <xdr:row>116</xdr:row>
      <xdr:rowOff>174403</xdr:rowOff>
    </xdr:from>
    <xdr:to>
      <xdr:col>6</xdr:col>
      <xdr:colOff>764684</xdr:colOff>
      <xdr:row>133</xdr:row>
      <xdr:rowOff>107325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80493</xdr:colOff>
      <xdr:row>116</xdr:row>
      <xdr:rowOff>174403</xdr:rowOff>
    </xdr:from>
    <xdr:to>
      <xdr:col>9</xdr:col>
      <xdr:colOff>107326</xdr:colOff>
      <xdr:row>133</xdr:row>
      <xdr:rowOff>92150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402464</xdr:colOff>
      <xdr:row>117</xdr:row>
      <xdr:rowOff>0</xdr:rowOff>
    </xdr:from>
    <xdr:to>
      <xdr:col>14</xdr:col>
      <xdr:colOff>791512</xdr:colOff>
      <xdr:row>133</xdr:row>
      <xdr:rowOff>105563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1395212</xdr:colOff>
      <xdr:row>135</xdr:row>
      <xdr:rowOff>120739</xdr:rowOff>
    </xdr:from>
    <xdr:to>
      <xdr:col>4</xdr:col>
      <xdr:colOff>160988</xdr:colOff>
      <xdr:row>152</xdr:row>
      <xdr:rowOff>38487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670775</xdr:colOff>
      <xdr:row>135</xdr:row>
      <xdr:rowOff>80491</xdr:rowOff>
    </xdr:from>
    <xdr:to>
      <xdr:col>8</xdr:col>
      <xdr:colOff>1180563</xdr:colOff>
      <xdr:row>151</xdr:row>
      <xdr:rowOff>186056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1609859</xdr:colOff>
      <xdr:row>135</xdr:row>
      <xdr:rowOff>80492</xdr:rowOff>
    </xdr:from>
    <xdr:to>
      <xdr:col>13</xdr:col>
      <xdr:colOff>107324</xdr:colOff>
      <xdr:row>151</xdr:row>
      <xdr:rowOff>134155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7</xdr:col>
      <xdr:colOff>876477</xdr:colOff>
      <xdr:row>23</xdr:row>
      <xdr:rowOff>107324</xdr:rowOff>
    </xdr:from>
    <xdr:to>
      <xdr:col>14</xdr:col>
      <xdr:colOff>867534</xdr:colOff>
      <xdr:row>84</xdr:row>
      <xdr:rowOff>178873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A6A98CF-A50B-C4AB-1142-87A63AA6F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63238" y="5706056"/>
          <a:ext cx="8281831" cy="2844085"/>
        </a:xfrm>
        <a:prstGeom prst="rect">
          <a:avLst/>
        </a:prstGeom>
      </xdr:spPr>
    </xdr:pic>
    <xdr:clientData/>
  </xdr:twoCellAnchor>
  <xdr:twoCellAnchor editAs="oneCell">
    <xdr:from>
      <xdr:col>8</xdr:col>
      <xdr:colOff>2074930</xdr:colOff>
      <xdr:row>2</xdr:row>
      <xdr:rowOff>116266</xdr:rowOff>
    </xdr:from>
    <xdr:to>
      <xdr:col>12</xdr:col>
      <xdr:colOff>507195</xdr:colOff>
      <xdr:row>20</xdr:row>
      <xdr:rowOff>238884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23B1AB69-99D9-1B99-57CB-AB66E1F6F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38169" y="599224"/>
          <a:ext cx="4176690" cy="4480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0.1124</cdr:x>
      <cdr:y>0.17893</cdr:y>
    </cdr:from>
    <cdr:to>
      <cdr:x>0.1224</cdr:x>
      <cdr:y>0.26436</cdr:y>
    </cdr:to>
    <cdr:sp macro="" textlink="">
      <cdr:nvSpPr>
        <cdr:cNvPr id="2" name="CaixaDeTexto 1"/>
        <cdr:cNvSpPr txBox="1"/>
      </cdr:nvSpPr>
      <cdr:spPr>
        <a:xfrm xmlns:a="http://schemas.openxmlformats.org/drawingml/2006/main">
          <a:off x="513874" y="448867"/>
          <a:ext cx="45719" cy="2143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pt-BR" sz="1100"/>
        </a:p>
      </cdr:txBody>
    </cdr: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153"/>
  <sheetViews>
    <sheetView showGridLines="0" tabSelected="1" zoomScale="71" zoomScaleNormal="71" zoomScaleSheetLayoutView="71" workbookViewId="0">
      <selection activeCell="H12" sqref="H12"/>
    </sheetView>
  </sheetViews>
  <sheetFormatPr defaultRowHeight="14.5" x14ac:dyDescent="0.35"/>
  <cols>
    <col min="1" max="1" width="54.54296875" customWidth="1"/>
    <col min="2" max="2" width="15.7265625" customWidth="1"/>
    <col min="3" max="3" width="14.453125" bestFit="1" customWidth="1"/>
    <col min="4" max="4" width="10.90625" bestFit="1" customWidth="1"/>
    <col min="5" max="5" width="11.7265625" bestFit="1" customWidth="1"/>
    <col min="6" max="6" width="10.90625" bestFit="1" customWidth="1"/>
    <col min="7" max="7" width="11.7265625" bestFit="1" customWidth="1"/>
    <col min="8" max="8" width="12.54296875" bestFit="1" customWidth="1"/>
    <col min="9" max="9" width="41" customWidth="1"/>
    <col min="10" max="10" width="14.81640625" customWidth="1"/>
    <col min="11" max="11" width="14.453125" bestFit="1" customWidth="1"/>
    <col min="12" max="12" width="12" customWidth="1"/>
    <col min="13" max="13" width="12.90625" customWidth="1"/>
    <col min="14" max="14" width="10.90625" bestFit="1" customWidth="1"/>
    <col min="15" max="15" width="15.36328125" customWidth="1"/>
  </cols>
  <sheetData>
    <row r="2" spans="1:15" ht="23.25" customHeight="1" thickBot="1" x14ac:dyDescent="0.4">
      <c r="A2" s="120" t="s">
        <v>54</v>
      </c>
      <c r="B2" s="121"/>
      <c r="C2" s="121"/>
      <c r="D2" s="121"/>
      <c r="E2" s="121"/>
      <c r="F2" s="121"/>
      <c r="G2" s="121"/>
      <c r="H2" s="48"/>
      <c r="I2" s="113" t="s">
        <v>55</v>
      </c>
      <c r="J2" s="113"/>
      <c r="K2" s="113"/>
      <c r="L2" s="113"/>
      <c r="M2" s="113"/>
      <c r="N2" s="113"/>
      <c r="O2" s="113"/>
    </row>
    <row r="3" spans="1:15" ht="19.5" customHeight="1" thickTop="1" x14ac:dyDescent="0.35">
      <c r="I3" s="3"/>
      <c r="J3" s="4"/>
      <c r="K3" s="4"/>
      <c r="L3" s="5"/>
      <c r="M3" s="4"/>
      <c r="N3" s="5"/>
      <c r="O3" s="5"/>
    </row>
    <row r="4" spans="1:15" ht="15" customHeight="1" x14ac:dyDescent="0.45">
      <c r="A4" s="27" t="s">
        <v>3</v>
      </c>
      <c r="B4" s="26" t="s">
        <v>9</v>
      </c>
      <c r="C4" s="26"/>
      <c r="D4" s="114">
        <v>2023</v>
      </c>
      <c r="E4" s="115"/>
      <c r="F4" s="115"/>
      <c r="G4" s="116"/>
      <c r="I4" s="6"/>
      <c r="J4" s="7"/>
      <c r="K4" s="7"/>
      <c r="L4" s="8"/>
      <c r="M4" s="7"/>
      <c r="N4" s="8"/>
      <c r="O4" s="7"/>
    </row>
    <row r="5" spans="1:15" ht="15" customHeight="1" x14ac:dyDescent="0.45">
      <c r="A5" s="27"/>
      <c r="B5" s="26"/>
      <c r="C5" s="26"/>
      <c r="D5" s="114" t="s">
        <v>7</v>
      </c>
      <c r="E5" s="115"/>
      <c r="F5" s="117" t="s">
        <v>14</v>
      </c>
      <c r="G5" s="118"/>
      <c r="I5" s="6"/>
      <c r="J5" s="7"/>
      <c r="K5" s="7"/>
      <c r="L5" s="8"/>
      <c r="M5" s="7"/>
      <c r="N5" s="8"/>
      <c r="O5" s="7"/>
    </row>
    <row r="6" spans="1:15" ht="18.5" x14ac:dyDescent="0.45">
      <c r="A6" s="24" t="s">
        <v>12</v>
      </c>
      <c r="B6" s="25" t="s">
        <v>8</v>
      </c>
      <c r="C6" s="25" t="s">
        <v>52</v>
      </c>
      <c r="D6" s="33" t="s">
        <v>4</v>
      </c>
      <c r="E6" s="34" t="s">
        <v>5</v>
      </c>
      <c r="F6" s="33" t="s">
        <v>4</v>
      </c>
      <c r="G6" s="35" t="s">
        <v>5</v>
      </c>
      <c r="I6" s="4"/>
      <c r="J6" s="9"/>
      <c r="K6" s="9"/>
      <c r="L6" s="5"/>
      <c r="M6" s="4"/>
      <c r="N6" s="5"/>
      <c r="O6" s="4"/>
    </row>
    <row r="7" spans="1:15" ht="20" customHeight="1" x14ac:dyDescent="0.45">
      <c r="A7" s="20"/>
      <c r="D7" s="21"/>
      <c r="E7" s="22"/>
      <c r="F7" s="22"/>
      <c r="G7" s="22"/>
      <c r="I7" s="4"/>
      <c r="J7" s="9"/>
      <c r="K7" s="9"/>
      <c r="L7" s="5"/>
      <c r="M7" s="4"/>
      <c r="N7" s="5"/>
      <c r="O7" s="4"/>
    </row>
    <row r="8" spans="1:15" ht="20" customHeight="1" x14ac:dyDescent="0.45">
      <c r="A8" s="49" t="s">
        <v>0</v>
      </c>
      <c r="B8" s="100">
        <v>17.685700000000001</v>
      </c>
      <c r="C8" s="100">
        <v>0.13132000000000002</v>
      </c>
      <c r="D8" s="104">
        <v>7.4867139858418863E-3</v>
      </c>
      <c r="E8" s="104">
        <v>0.89825081985968247</v>
      </c>
      <c r="F8" s="104">
        <v>2.3223189132405064E-2</v>
      </c>
      <c r="G8" s="104">
        <v>0.88478662244630335</v>
      </c>
      <c r="H8" s="44"/>
      <c r="I8" s="6"/>
      <c r="J8" s="11"/>
      <c r="K8" s="11"/>
      <c r="L8" s="8"/>
      <c r="M8" s="11"/>
      <c r="N8" s="8"/>
      <c r="O8" s="11"/>
    </row>
    <row r="9" spans="1:15" ht="20" customHeight="1" x14ac:dyDescent="0.45">
      <c r="A9" s="49" t="s">
        <v>17</v>
      </c>
      <c r="B9" s="100">
        <v>73.140160000000009</v>
      </c>
      <c r="C9" s="100">
        <v>0.68296000000000645</v>
      </c>
      <c r="D9" s="104">
        <v>9.4256029066672742E-3</v>
      </c>
      <c r="E9" s="104">
        <v>1.1308773855388059</v>
      </c>
      <c r="F9" s="104">
        <v>2.9936934630162337E-2</v>
      </c>
      <c r="G9" s="104">
        <v>1.1405754449485443</v>
      </c>
      <c r="H9" s="45"/>
      <c r="I9" s="3"/>
      <c r="J9" s="11"/>
      <c r="K9" s="11"/>
      <c r="L9" s="8"/>
      <c r="M9" s="11"/>
      <c r="N9" s="8"/>
      <c r="O9" s="11"/>
    </row>
    <row r="10" spans="1:15" ht="20" customHeight="1" x14ac:dyDescent="0.45">
      <c r="A10" s="49" t="s">
        <v>18</v>
      </c>
      <c r="B10" s="100">
        <v>20955.927390000001</v>
      </c>
      <c r="C10" s="100">
        <v>141.76335</v>
      </c>
      <c r="D10" s="104">
        <v>8.0926153813005719E-3</v>
      </c>
      <c r="E10" s="104">
        <v>0.97094645458729778</v>
      </c>
      <c r="F10" s="104">
        <v>2.5614613790333474E-2</v>
      </c>
      <c r="G10" s="104">
        <v>0.97589816332295276</v>
      </c>
      <c r="H10" s="46"/>
      <c r="I10" s="7"/>
      <c r="J10" s="12"/>
      <c r="K10" s="12"/>
      <c r="L10" s="10"/>
      <c r="M10" s="12"/>
      <c r="N10" s="10"/>
      <c r="O10" s="12"/>
    </row>
    <row r="11" spans="1:15" ht="20" customHeight="1" x14ac:dyDescent="0.45">
      <c r="A11" s="49" t="s">
        <v>49</v>
      </c>
      <c r="B11" s="100">
        <v>19255.176440000003</v>
      </c>
      <c r="C11" s="100">
        <v>153.87797</v>
      </c>
      <c r="D11" s="104">
        <v>8.0558909057228956E-3</v>
      </c>
      <c r="E11" s="104">
        <v>0.96654027714296797</v>
      </c>
      <c r="F11" s="104">
        <v>2.4594039477876972E-2</v>
      </c>
      <c r="G11" s="104">
        <v>0.93701502398642489</v>
      </c>
      <c r="H11" s="45"/>
      <c r="I11" s="7"/>
      <c r="J11" s="12"/>
      <c r="K11" s="12"/>
      <c r="L11" s="10"/>
      <c r="M11" s="12"/>
      <c r="N11" s="10"/>
      <c r="O11" s="12"/>
    </row>
    <row r="12" spans="1:15" ht="20" customHeight="1" x14ac:dyDescent="0.45">
      <c r="A12" s="49" t="s">
        <v>43</v>
      </c>
      <c r="B12" s="100">
        <v>28763.596649999999</v>
      </c>
      <c r="C12" s="100">
        <v>280.41716999999807</v>
      </c>
      <c r="D12" s="104">
        <v>9.8450093952957562E-3</v>
      </c>
      <c r="E12" s="104">
        <v>1.1811974889883892</v>
      </c>
      <c r="F12" s="104">
        <v>3.194099424135155E-2</v>
      </c>
      <c r="G12" s="104">
        <v>1.2169286591628199</v>
      </c>
      <c r="H12" s="45"/>
      <c r="I12" s="7"/>
      <c r="J12" s="12"/>
      <c r="K12" s="12"/>
      <c r="L12" s="10"/>
      <c r="M12" s="12"/>
      <c r="N12" s="10"/>
      <c r="O12" s="12"/>
    </row>
    <row r="13" spans="1:15" ht="20" customHeight="1" x14ac:dyDescent="0.45">
      <c r="A13" s="49" t="s">
        <v>1</v>
      </c>
      <c r="B13" s="100">
        <v>21006.53628</v>
      </c>
      <c r="C13" s="100">
        <v>159.01925</v>
      </c>
      <c r="D13" s="104">
        <v>9.0332127987349242E-3</v>
      </c>
      <c r="E13" s="104">
        <v>1.0837986889542153</v>
      </c>
      <c r="F13" s="104">
        <v>2.8014547392268829E-2</v>
      </c>
      <c r="G13" s="104">
        <v>1.0673338887801767</v>
      </c>
      <c r="H13" s="44"/>
      <c r="I13" s="13"/>
      <c r="J13" s="14"/>
      <c r="K13" s="14"/>
      <c r="L13" s="15"/>
      <c r="M13" s="14"/>
      <c r="N13" s="15"/>
      <c r="O13" s="14"/>
    </row>
    <row r="14" spans="1:15" ht="20" customHeight="1" x14ac:dyDescent="0.45">
      <c r="A14" s="49" t="s">
        <v>44</v>
      </c>
      <c r="B14" s="100">
        <v>26418.19613</v>
      </c>
      <c r="C14" s="100">
        <v>221.12679</v>
      </c>
      <c r="D14" s="104">
        <v>8.4408984418715693E-3</v>
      </c>
      <c r="E14" s="104">
        <v>1.0127332178178365</v>
      </c>
      <c r="F14" s="104">
        <v>2.6331139694834471E-2</v>
      </c>
      <c r="G14" s="104">
        <v>1.0031972793627084</v>
      </c>
      <c r="H14" s="45"/>
      <c r="I14" s="3"/>
      <c r="J14" s="16"/>
      <c r="K14" s="16"/>
      <c r="L14" s="17"/>
      <c r="M14" s="16"/>
      <c r="N14" s="17"/>
      <c r="O14" s="16"/>
    </row>
    <row r="15" spans="1:15" ht="20" customHeight="1" x14ac:dyDescent="0.45">
      <c r="A15" s="49" t="s">
        <v>66</v>
      </c>
      <c r="B15" s="100">
        <v>37641.36146</v>
      </c>
      <c r="C15" s="100">
        <v>393.16388000000001</v>
      </c>
      <c r="D15" s="104">
        <v>1.0555245811241454E-2</v>
      </c>
      <c r="E15" s="104">
        <v>1.2664111680636003</v>
      </c>
      <c r="F15" s="104">
        <v>3.2418401274056041E-2</v>
      </c>
      <c r="G15" s="104">
        <v>1.2351175200290179</v>
      </c>
      <c r="H15" s="44"/>
      <c r="I15" s="3"/>
      <c r="J15" s="16"/>
      <c r="K15" s="16"/>
      <c r="L15" s="17"/>
      <c r="M15" s="16"/>
      <c r="N15" s="17"/>
      <c r="O15" s="16"/>
    </row>
    <row r="16" spans="1:15" ht="20" customHeight="1" x14ac:dyDescent="0.45">
      <c r="A16" s="49" t="s">
        <v>65</v>
      </c>
      <c r="B16" s="100">
        <v>0</v>
      </c>
      <c r="C16" s="100">
        <v>0</v>
      </c>
      <c r="D16" s="104">
        <v>0</v>
      </c>
      <c r="E16" s="104">
        <v>0</v>
      </c>
      <c r="F16" s="104">
        <v>1.6195606829077835E-2</v>
      </c>
      <c r="G16" s="104">
        <v>0.91170945896632716</v>
      </c>
      <c r="H16" s="44"/>
      <c r="I16" s="3"/>
      <c r="J16" s="16"/>
      <c r="K16" s="16"/>
      <c r="L16" s="17"/>
      <c r="M16" s="16"/>
      <c r="N16" s="17"/>
      <c r="O16" s="16"/>
    </row>
    <row r="17" spans="1:15" ht="20" customHeight="1" x14ac:dyDescent="0.45">
      <c r="A17" s="49" t="s">
        <v>45</v>
      </c>
      <c r="B17" s="100">
        <v>21082.63652</v>
      </c>
      <c r="C17" s="100">
        <v>132.98501000000002</v>
      </c>
      <c r="D17" s="104">
        <v>6.3478383222292933E-3</v>
      </c>
      <c r="E17" s="104">
        <v>0.76160929722467363</v>
      </c>
      <c r="F17" s="104">
        <v>2.0618512098762531E-2</v>
      </c>
      <c r="G17" s="104">
        <v>0.78555032109162526</v>
      </c>
      <c r="H17" s="44"/>
      <c r="I17" s="3"/>
      <c r="J17" s="16"/>
      <c r="K17" s="16"/>
      <c r="L17" s="17"/>
      <c r="M17" s="16"/>
      <c r="N17" s="17"/>
      <c r="O17" s="16"/>
    </row>
    <row r="18" spans="1:15" ht="20" customHeight="1" x14ac:dyDescent="0.45">
      <c r="A18" s="49" t="s">
        <v>2</v>
      </c>
      <c r="B18" s="100">
        <v>184.05867999999998</v>
      </c>
      <c r="C18" s="100">
        <v>1.2571400000000001</v>
      </c>
      <c r="D18" s="104">
        <v>6.877005188883123E-3</v>
      </c>
      <c r="E18" s="104">
        <v>0.82509837570600297</v>
      </c>
      <c r="F18" s="104">
        <v>2.1734001232229128E-2</v>
      </c>
      <c r="G18" s="104">
        <v>0.82804964610458276</v>
      </c>
      <c r="H18" s="44"/>
      <c r="I18" s="3"/>
      <c r="J18" s="16"/>
      <c r="K18" s="16"/>
      <c r="L18" s="17"/>
      <c r="M18" s="16"/>
      <c r="N18" s="17"/>
      <c r="O18" s="16"/>
    </row>
    <row r="19" spans="1:15" ht="20" customHeight="1" x14ac:dyDescent="0.45">
      <c r="A19" s="49" t="s">
        <v>6</v>
      </c>
      <c r="B19" s="100">
        <v>20802.823390000001</v>
      </c>
      <c r="C19" s="100">
        <v>142.22746999999882</v>
      </c>
      <c r="D19" s="104">
        <v>6.8839968312699451E-3</v>
      </c>
      <c r="E19" s="104">
        <v>0.82593722817425619</v>
      </c>
      <c r="F19" s="104">
        <v>2.3304239789088799E-2</v>
      </c>
      <c r="G19" s="104">
        <v>0.88787459354128917</v>
      </c>
      <c r="H19" s="44"/>
      <c r="I19" s="3"/>
      <c r="J19" s="16"/>
      <c r="K19" s="16"/>
      <c r="L19" s="17"/>
      <c r="M19" s="16"/>
      <c r="N19" s="17"/>
      <c r="O19" s="16"/>
    </row>
    <row r="20" spans="1:15" ht="20" customHeight="1" x14ac:dyDescent="0.45">
      <c r="A20" s="49" t="s">
        <v>50</v>
      </c>
      <c r="B20" s="100">
        <v>39014.561320000001</v>
      </c>
      <c r="C20" s="100">
        <v>386.76552000000328</v>
      </c>
      <c r="D20" s="104">
        <v>1.0012621871712701E-2</v>
      </c>
      <c r="E20" s="104">
        <v>1.201307519189216</v>
      </c>
      <c r="F20" s="104">
        <v>3.1040378129372215E-2</v>
      </c>
      <c r="G20" s="104">
        <v>1.1826158400536213</v>
      </c>
      <c r="H20" s="44"/>
      <c r="I20" s="3"/>
      <c r="J20" s="16"/>
      <c r="K20" s="16"/>
      <c r="L20" s="17"/>
      <c r="M20" s="16"/>
      <c r="N20" s="17"/>
      <c r="O20" s="16"/>
    </row>
    <row r="21" spans="1:15" ht="20" customHeight="1" x14ac:dyDescent="0.45">
      <c r="A21" s="49" t="s">
        <v>51</v>
      </c>
      <c r="B21" s="100">
        <v>10477.763710000001</v>
      </c>
      <c r="C21" s="100">
        <v>85.258570000000304</v>
      </c>
      <c r="D21" s="104">
        <v>8.2038523662850693E-3</v>
      </c>
      <c r="E21" s="104">
        <v>0.98429259191136276</v>
      </c>
      <c r="F21" s="104">
        <v>2.1751400954841182E-2</v>
      </c>
      <c r="G21" s="104">
        <v>0.828712562886324</v>
      </c>
      <c r="H21" s="44"/>
      <c r="I21" s="3"/>
      <c r="J21" s="16"/>
      <c r="K21" s="16"/>
      <c r="L21" s="17"/>
      <c r="M21" s="16"/>
      <c r="N21" s="17"/>
      <c r="O21" s="16"/>
    </row>
    <row r="22" spans="1:15" ht="20" customHeight="1" x14ac:dyDescent="0.45">
      <c r="A22" s="49" t="s">
        <v>15</v>
      </c>
      <c r="B22" s="100">
        <v>58087.209940000001</v>
      </c>
      <c r="C22" s="100">
        <v>488.26176999999581</v>
      </c>
      <c r="D22" s="104">
        <v>8.4769216301279204E-3</v>
      </c>
      <c r="E22" s="104">
        <v>1.0170552552893386</v>
      </c>
      <c r="F22" s="104">
        <v>2.6284206134974397E-2</v>
      </c>
      <c r="G22" s="104">
        <v>1.0014091448532223</v>
      </c>
      <c r="H22" s="45"/>
      <c r="I22" s="13"/>
      <c r="J22" s="14"/>
      <c r="K22" s="14"/>
      <c r="L22" s="15"/>
      <c r="M22" s="14"/>
      <c r="N22" s="15"/>
      <c r="O22" s="14"/>
    </row>
    <row r="23" spans="1:15" ht="20" customHeight="1" thickBot="1" x14ac:dyDescent="0.5">
      <c r="A23" s="49" t="s">
        <v>16</v>
      </c>
      <c r="B23" s="100">
        <v>73608.255799999999</v>
      </c>
      <c r="C23" s="100">
        <v>750.95276999999578</v>
      </c>
      <c r="D23" s="104">
        <v>1.0307172463843051E-2</v>
      </c>
      <c r="E23" s="104">
        <v>1.2366474976325741</v>
      </c>
      <c r="F23" s="104">
        <v>3.4722867443142569E-2</v>
      </c>
      <c r="G23" s="104">
        <v>1.3229160057005109</v>
      </c>
      <c r="H23" s="44"/>
      <c r="I23" s="113" t="s">
        <v>56</v>
      </c>
      <c r="J23" s="113"/>
      <c r="K23" s="113"/>
      <c r="L23" s="113"/>
      <c r="M23" s="113"/>
      <c r="N23" s="113"/>
      <c r="O23" s="113"/>
    </row>
    <row r="24" spans="1:15" ht="20" customHeight="1" thickTop="1" x14ac:dyDescent="0.45">
      <c r="A24" s="49" t="s">
        <v>19</v>
      </c>
      <c r="B24" s="100">
        <v>37722.3145</v>
      </c>
      <c r="C24" s="100">
        <v>351.85293999999999</v>
      </c>
      <c r="D24" s="104">
        <v>9.415268957866596E-3</v>
      </c>
      <c r="E24" s="104">
        <v>1.1296375254346065</v>
      </c>
      <c r="F24" s="104">
        <v>2.8926904260085262E-2</v>
      </c>
      <c r="G24" s="104">
        <v>1.1020940221511177</v>
      </c>
      <c r="H24" s="44"/>
      <c r="J24" s="48"/>
      <c r="K24" s="48"/>
      <c r="L24" s="48"/>
      <c r="M24" s="48"/>
      <c r="N24" s="48"/>
      <c r="O24" s="48"/>
    </row>
    <row r="25" spans="1:15" ht="20" customHeight="1" x14ac:dyDescent="0.45">
      <c r="A25" s="49" t="s">
        <v>10</v>
      </c>
      <c r="B25" s="100">
        <v>82.155659999999997</v>
      </c>
      <c r="C25" s="100">
        <v>0.76546999999999998</v>
      </c>
      <c r="D25" s="104">
        <v>9.4049630699792885E-3</v>
      </c>
      <c r="E25" s="104">
        <v>1.1284010320595874</v>
      </c>
      <c r="F25" s="104">
        <v>2.8578359455675884E-2</v>
      </c>
      <c r="G25" s="104">
        <v>1.0888147184987926</v>
      </c>
      <c r="H25" s="45"/>
      <c r="J25" s="14"/>
      <c r="K25" s="14"/>
      <c r="L25" s="15"/>
      <c r="M25" s="14"/>
      <c r="N25" s="15"/>
      <c r="O25" s="14"/>
    </row>
    <row r="26" spans="1:15" ht="18.5" x14ac:dyDescent="0.45">
      <c r="A26" s="49"/>
      <c r="B26" s="28"/>
      <c r="C26" s="28"/>
      <c r="D26" s="44"/>
      <c r="E26" s="44"/>
      <c r="F26" s="44"/>
      <c r="G26" s="44"/>
      <c r="H26" s="47"/>
      <c r="I26" s="3"/>
      <c r="J26" s="11"/>
      <c r="K26" s="11"/>
      <c r="L26" s="8"/>
      <c r="M26" s="11"/>
      <c r="N26" s="8"/>
      <c r="O26" s="11"/>
    </row>
    <row r="27" spans="1:15" ht="20.149999999999999" customHeight="1" x14ac:dyDescent="0.45">
      <c r="A27" s="29" t="s">
        <v>11</v>
      </c>
      <c r="B27" s="102">
        <v>415193.39972999995</v>
      </c>
      <c r="C27" s="102">
        <v>3690.5093499999925</v>
      </c>
      <c r="D27" s="36">
        <v>9.105874263133272E-3</v>
      </c>
      <c r="E27" s="36">
        <v>1.092516561720752</v>
      </c>
      <c r="F27" s="36">
        <v>2.8841220932964772E-2</v>
      </c>
      <c r="G27" s="36">
        <v>1.0988295496804907</v>
      </c>
      <c r="H27" s="47"/>
      <c r="I27" s="68"/>
      <c r="J27" s="48"/>
      <c r="K27" s="48"/>
      <c r="L27" s="48"/>
      <c r="M27" s="48"/>
      <c r="N27" s="48"/>
      <c r="O27" s="48"/>
    </row>
    <row r="28" spans="1:15" ht="20.149999999999999" customHeight="1" thickBot="1" x14ac:dyDescent="0.5">
      <c r="A28" s="31" t="s">
        <v>13</v>
      </c>
      <c r="B28" s="32"/>
      <c r="C28" s="32"/>
      <c r="D28" s="32"/>
      <c r="E28" s="37">
        <v>8.33477E-3</v>
      </c>
      <c r="F28" s="105"/>
      <c r="G28" s="37">
        <v>2.6247220000000002E-2</v>
      </c>
      <c r="H28" s="47"/>
      <c r="I28" s="68"/>
      <c r="J28" s="48"/>
      <c r="K28" s="48"/>
      <c r="L28" s="48"/>
      <c r="M28" s="48"/>
      <c r="N28" s="48"/>
      <c r="O28" s="48"/>
    </row>
    <row r="29" spans="1:15" ht="14.25" customHeight="1" thickTop="1" x14ac:dyDescent="0.45">
      <c r="A29" s="64" t="s">
        <v>67</v>
      </c>
      <c r="B29" s="65"/>
      <c r="C29" s="65"/>
      <c r="D29" s="65"/>
      <c r="E29" s="65"/>
      <c r="F29" s="65"/>
      <c r="G29" s="65"/>
      <c r="H29" s="47"/>
      <c r="I29" s="13"/>
      <c r="J29" s="18"/>
      <c r="K29" s="18"/>
      <c r="L29" s="19"/>
      <c r="M29" s="18"/>
      <c r="N29" s="19"/>
      <c r="O29" s="18"/>
    </row>
    <row r="30" spans="1:15" ht="16.5" customHeight="1" x14ac:dyDescent="0.35">
      <c r="A30" s="67"/>
      <c r="B30" s="66"/>
      <c r="C30" s="66"/>
      <c r="D30" s="66"/>
      <c r="E30" s="66"/>
      <c r="F30" s="66"/>
      <c r="G30" s="66"/>
      <c r="H30" s="56"/>
      <c r="I30" s="13"/>
      <c r="J30" s="18"/>
      <c r="K30" s="18"/>
      <c r="L30" s="19"/>
      <c r="M30" s="18"/>
      <c r="N30" s="19"/>
      <c r="O30" s="18"/>
    </row>
    <row r="31" spans="1:15" ht="15.5" x14ac:dyDescent="0.35">
      <c r="A31" s="122"/>
      <c r="B31" s="123"/>
      <c r="C31" s="123"/>
      <c r="D31" s="123"/>
      <c r="E31" s="123"/>
      <c r="F31" s="123"/>
      <c r="G31" s="123"/>
      <c r="H31" s="56"/>
      <c r="I31" s="13"/>
      <c r="J31" s="18"/>
      <c r="K31" s="18"/>
      <c r="L31" s="19"/>
      <c r="M31" s="18"/>
      <c r="N31" s="19"/>
      <c r="O31" s="18"/>
    </row>
    <row r="32" spans="1:15" ht="15.75" customHeight="1" x14ac:dyDescent="0.35">
      <c r="A32" s="122"/>
      <c r="B32" s="123"/>
      <c r="C32" s="123"/>
      <c r="D32" s="123"/>
      <c r="E32" s="123"/>
      <c r="F32" s="123"/>
      <c r="G32" s="123"/>
      <c r="H32" s="2"/>
      <c r="I32" s="13"/>
      <c r="J32" s="18"/>
      <c r="K32" s="18"/>
      <c r="L32" s="19"/>
      <c r="M32" s="18"/>
      <c r="N32" s="19"/>
      <c r="O32" s="18"/>
    </row>
    <row r="33" spans="1:15" ht="5.25" customHeight="1" x14ac:dyDescent="0.35">
      <c r="A33" s="2"/>
      <c r="B33" s="2"/>
      <c r="C33" s="2"/>
      <c r="D33" s="2"/>
      <c r="E33" s="2"/>
      <c r="F33" s="2"/>
      <c r="G33" s="2"/>
      <c r="H33" s="2"/>
      <c r="I33" s="13"/>
      <c r="J33" s="18"/>
      <c r="K33" s="18"/>
      <c r="L33" s="19"/>
      <c r="M33" s="18"/>
      <c r="N33" s="19"/>
      <c r="O33" s="18"/>
    </row>
    <row r="34" spans="1:15" ht="23.25" hidden="1" customHeight="1" thickBot="1" x14ac:dyDescent="0.4">
      <c r="A34" s="113" t="s">
        <v>20</v>
      </c>
      <c r="B34" s="119"/>
      <c r="C34" s="119"/>
      <c r="D34" s="119"/>
      <c r="E34" s="119"/>
      <c r="F34" s="119"/>
      <c r="G34" s="119"/>
      <c r="I34" s="13"/>
      <c r="J34" s="18"/>
      <c r="K34" s="18"/>
      <c r="L34" s="19"/>
      <c r="M34" s="18"/>
      <c r="N34" s="19"/>
      <c r="O34" s="18"/>
    </row>
    <row r="35" spans="1:15" ht="15" hidden="1" thickTop="1" x14ac:dyDescent="0.35">
      <c r="I35" s="13"/>
      <c r="J35" s="18"/>
      <c r="K35" s="18"/>
      <c r="L35" s="19"/>
      <c r="M35" s="18"/>
      <c r="N35" s="19"/>
      <c r="O35" s="18"/>
    </row>
    <row r="36" spans="1:15" hidden="1" x14ac:dyDescent="0.35">
      <c r="I36" s="13"/>
      <c r="J36" s="18"/>
      <c r="K36" s="18"/>
      <c r="L36" s="19"/>
      <c r="M36" s="18"/>
      <c r="N36" s="19"/>
      <c r="O36" s="18"/>
    </row>
    <row r="37" spans="1:15" ht="18.5" hidden="1" x14ac:dyDescent="0.45">
      <c r="A37" s="27" t="s">
        <v>3</v>
      </c>
      <c r="B37" s="26" t="s">
        <v>9</v>
      </c>
      <c r="C37" s="26"/>
      <c r="D37" s="114">
        <v>2018</v>
      </c>
      <c r="E37" s="115"/>
      <c r="F37" s="115"/>
      <c r="G37" s="116"/>
    </row>
    <row r="38" spans="1:15" ht="18.5" hidden="1" x14ac:dyDescent="0.45">
      <c r="A38" s="27"/>
      <c r="B38" s="26"/>
      <c r="C38" s="26"/>
      <c r="D38" s="114" t="s">
        <v>7</v>
      </c>
      <c r="E38" s="115"/>
      <c r="F38" s="117" t="s">
        <v>14</v>
      </c>
      <c r="G38" s="118"/>
    </row>
    <row r="39" spans="1:15" ht="18.5" hidden="1" x14ac:dyDescent="0.45">
      <c r="A39" s="24" t="s">
        <v>12</v>
      </c>
      <c r="B39" s="25" t="s">
        <v>8</v>
      </c>
      <c r="C39" s="25"/>
      <c r="D39" s="33" t="s">
        <v>4</v>
      </c>
      <c r="E39" s="34" t="s">
        <v>5</v>
      </c>
      <c r="F39" s="33" t="s">
        <v>4</v>
      </c>
      <c r="G39" s="35" t="s">
        <v>5</v>
      </c>
    </row>
    <row r="40" spans="1:15" ht="18.5" hidden="1" x14ac:dyDescent="0.45">
      <c r="A40" s="20"/>
      <c r="D40" s="21"/>
      <c r="E40" s="22"/>
      <c r="F40" s="22"/>
      <c r="G40" s="22"/>
    </row>
    <row r="41" spans="1:15" ht="30" hidden="1" customHeight="1" x14ac:dyDescent="0.45">
      <c r="A41" s="49" t="s">
        <v>18</v>
      </c>
      <c r="B41" s="50">
        <v>20955.927390000001</v>
      </c>
      <c r="C41" s="50"/>
      <c r="D41" s="51">
        <v>8.0926153813005719E-3</v>
      </c>
      <c r="E41" s="51">
        <v>0.97094645458729778</v>
      </c>
      <c r="F41" s="51">
        <v>2.5614613790333474E-2</v>
      </c>
      <c r="G41" s="51">
        <v>0.97589816332295276</v>
      </c>
    </row>
    <row r="42" spans="1:15" ht="30" hidden="1" customHeight="1" x14ac:dyDescent="0.45">
      <c r="A42" s="49" t="s">
        <v>1</v>
      </c>
      <c r="B42" s="50">
        <v>21006.53628</v>
      </c>
      <c r="C42" s="50"/>
      <c r="D42" s="51">
        <v>9.0332127987349242E-3</v>
      </c>
      <c r="E42" s="51">
        <v>1.0837986889542153</v>
      </c>
      <c r="F42" s="51">
        <v>2.8014547392268829E-2</v>
      </c>
      <c r="G42" s="51">
        <v>1.0673338887801767</v>
      </c>
      <c r="H42" s="49"/>
    </row>
    <row r="43" spans="1:15" ht="18.5" hidden="1" x14ac:dyDescent="0.45">
      <c r="A43" s="52"/>
      <c r="B43" s="53"/>
      <c r="C43" s="53"/>
      <c r="D43" s="54"/>
      <c r="E43" s="54"/>
      <c r="F43" s="54"/>
      <c r="G43" s="54"/>
    </row>
    <row r="44" spans="1:15" ht="18.75" hidden="1" customHeight="1" x14ac:dyDescent="0.35">
      <c r="A44" s="58" t="s">
        <v>11</v>
      </c>
      <c r="B44" s="59">
        <v>41962.463669999997</v>
      </c>
      <c r="C44" s="59"/>
      <c r="D44" s="60"/>
      <c r="E44" s="60"/>
      <c r="F44" s="60"/>
      <c r="G44" s="60"/>
    </row>
    <row r="45" spans="1:15" ht="16" hidden="1" thickBot="1" x14ac:dyDescent="0.4">
      <c r="A45" s="31" t="s">
        <v>13</v>
      </c>
      <c r="B45" s="32"/>
      <c r="C45" s="32"/>
      <c r="D45" s="32"/>
      <c r="E45" s="37">
        <v>8.33477E-3</v>
      </c>
      <c r="F45" s="37"/>
      <c r="G45" s="37">
        <v>2.6247220000000002E-2</v>
      </c>
    </row>
    <row r="46" spans="1:15" ht="15" hidden="1" thickTop="1" x14ac:dyDescent="0.35"/>
    <row r="47" spans="1:15" hidden="1" x14ac:dyDescent="0.35"/>
    <row r="48" spans="1:15" ht="15" hidden="1" thickBot="1" x14ac:dyDescent="0.4">
      <c r="A48" s="113" t="s">
        <v>21</v>
      </c>
      <c r="B48" s="119"/>
      <c r="C48" s="119"/>
      <c r="D48" s="119"/>
      <c r="E48" s="119"/>
      <c r="F48" s="119"/>
      <c r="G48" s="119"/>
    </row>
    <row r="49" spans="1:7" ht="13.5" hidden="1" customHeight="1" thickTop="1" x14ac:dyDescent="0.35"/>
    <row r="50" spans="1:7" ht="9.75" hidden="1" customHeight="1" x14ac:dyDescent="0.35"/>
    <row r="51" spans="1:7" ht="18.5" hidden="1" x14ac:dyDescent="0.45">
      <c r="A51" s="27" t="s">
        <v>3</v>
      </c>
      <c r="B51" s="26" t="s">
        <v>9</v>
      </c>
      <c r="C51" s="26"/>
      <c r="D51" s="114">
        <v>2018</v>
      </c>
      <c r="E51" s="115"/>
      <c r="F51" s="115"/>
      <c r="G51" s="116"/>
    </row>
    <row r="52" spans="1:7" ht="18.5" hidden="1" x14ac:dyDescent="0.45">
      <c r="A52" s="27"/>
      <c r="B52" s="26"/>
      <c r="C52" s="26"/>
      <c r="D52" s="114" t="s">
        <v>7</v>
      </c>
      <c r="E52" s="115"/>
      <c r="F52" s="117" t="s">
        <v>14</v>
      </c>
      <c r="G52" s="118"/>
    </row>
    <row r="53" spans="1:7" ht="18.5" hidden="1" x14ac:dyDescent="0.45">
      <c r="A53" s="24" t="s">
        <v>12</v>
      </c>
      <c r="B53" s="25" t="s">
        <v>8</v>
      </c>
      <c r="C53" s="25"/>
      <c r="D53" s="33" t="s">
        <v>4</v>
      </c>
      <c r="E53" s="34" t="s">
        <v>5</v>
      </c>
      <c r="F53" s="33" t="s">
        <v>4</v>
      </c>
      <c r="G53" s="35" t="s">
        <v>5</v>
      </c>
    </row>
    <row r="54" spans="1:7" ht="18.5" hidden="1" x14ac:dyDescent="0.45">
      <c r="A54" s="20"/>
      <c r="D54" s="21"/>
      <c r="E54" s="22"/>
      <c r="F54" s="22"/>
      <c r="G54" s="22"/>
    </row>
    <row r="55" spans="1:7" ht="30" hidden="1" customHeight="1" x14ac:dyDescent="0.45">
      <c r="A55" s="49" t="s">
        <v>68</v>
      </c>
      <c r="B55" s="50">
        <v>19255.176440000003</v>
      </c>
      <c r="C55" s="50"/>
      <c r="D55" s="51">
        <v>8.0558909057228956E-3</v>
      </c>
      <c r="E55" s="51">
        <v>0.96654027714296797</v>
      </c>
      <c r="F55" s="51">
        <v>2.4594039477876972E-2</v>
      </c>
      <c r="G55" s="51">
        <v>0.93701502398642489</v>
      </c>
    </row>
    <row r="56" spans="1:7" ht="30" hidden="1" customHeight="1" x14ac:dyDescent="0.45">
      <c r="A56" s="49" t="s">
        <v>44</v>
      </c>
      <c r="B56" s="50">
        <v>26418.19613</v>
      </c>
      <c r="C56" s="50"/>
      <c r="D56" s="51">
        <v>8.4408984418715693E-3</v>
      </c>
      <c r="E56" s="51">
        <v>1.0127332178178365</v>
      </c>
      <c r="F56" s="51">
        <v>2.6331139694834471E-2</v>
      </c>
      <c r="G56" s="51">
        <v>1.0031972793627084</v>
      </c>
    </row>
    <row r="57" spans="1:7" ht="30" hidden="1" customHeight="1" x14ac:dyDescent="0.45">
      <c r="A57" s="49" t="s">
        <v>66</v>
      </c>
      <c r="B57" s="50">
        <v>37641.36146</v>
      </c>
      <c r="C57" s="50"/>
      <c r="D57" s="51">
        <v>1.0555245811241454E-2</v>
      </c>
      <c r="E57" s="51">
        <v>1.2664111680636003</v>
      </c>
      <c r="F57" s="51">
        <v>3.2418401274056041E-2</v>
      </c>
      <c r="G57" s="51">
        <v>1.2351175200290179</v>
      </c>
    </row>
    <row r="58" spans="1:7" ht="30" hidden="1" customHeight="1" x14ac:dyDescent="0.45">
      <c r="A58" s="49" t="s">
        <v>65</v>
      </c>
      <c r="B58" s="50">
        <v>0</v>
      </c>
      <c r="C58" s="50"/>
      <c r="D58" s="51">
        <v>0</v>
      </c>
      <c r="E58" s="51">
        <v>0</v>
      </c>
      <c r="F58" s="51">
        <v>1.6195606829077835E-2</v>
      </c>
      <c r="G58" s="51">
        <v>0.91170945896632716</v>
      </c>
    </row>
    <row r="59" spans="1:7" ht="30" hidden="1" customHeight="1" x14ac:dyDescent="0.45">
      <c r="A59" s="49" t="s">
        <v>2</v>
      </c>
      <c r="B59" s="50">
        <v>184.05867999999998</v>
      </c>
      <c r="C59" s="50"/>
      <c r="D59" s="51">
        <v>6.877005188883123E-3</v>
      </c>
      <c r="E59" s="51">
        <v>0.82509837570600297</v>
      </c>
      <c r="F59" s="51">
        <v>2.1734001232229128E-2</v>
      </c>
      <c r="G59" s="51">
        <v>0.82804964610458276</v>
      </c>
    </row>
    <row r="60" spans="1:7" ht="30" hidden="1" customHeight="1" x14ac:dyDescent="0.45">
      <c r="A60" s="49" t="s">
        <v>6</v>
      </c>
      <c r="B60" s="50">
        <v>20802.823390000001</v>
      </c>
      <c r="C60" s="50"/>
      <c r="D60" s="51">
        <v>6.8839968312699451E-3</v>
      </c>
      <c r="E60" s="51">
        <v>0.82593722817425619</v>
      </c>
      <c r="F60" s="51">
        <v>2.3304239789088799E-2</v>
      </c>
      <c r="G60" s="51">
        <v>0.88787459354128917</v>
      </c>
    </row>
    <row r="61" spans="1:7" ht="30" hidden="1" customHeight="1" x14ac:dyDescent="0.45">
      <c r="A61" s="49" t="s">
        <v>15</v>
      </c>
      <c r="B61" s="50">
        <v>58087.209940000001</v>
      </c>
      <c r="C61" s="50"/>
      <c r="D61" s="51">
        <v>8.4769216301279204E-3</v>
      </c>
      <c r="E61" s="51">
        <v>1.0170552552893386</v>
      </c>
      <c r="F61" s="51">
        <v>2.6284206134974397E-2</v>
      </c>
      <c r="G61" s="51">
        <v>1.0014091448532223</v>
      </c>
    </row>
    <row r="62" spans="1:7" ht="30" hidden="1" customHeight="1" x14ac:dyDescent="0.45">
      <c r="A62" s="49" t="s">
        <v>16</v>
      </c>
      <c r="B62" s="50">
        <v>73608.255799999999</v>
      </c>
      <c r="C62" s="50"/>
      <c r="D62" s="51">
        <v>1.0307172463843051E-2</v>
      </c>
      <c r="E62" s="51">
        <v>1.2366474976325741</v>
      </c>
      <c r="F62" s="51">
        <v>3.4722867443142569E-2</v>
      </c>
      <c r="G62" s="51">
        <v>1.3229160057005109</v>
      </c>
    </row>
    <row r="63" spans="1:7" ht="30" hidden="1" customHeight="1" x14ac:dyDescent="0.45">
      <c r="A63" s="49" t="e">
        <v>#REF!</v>
      </c>
      <c r="B63" s="50" t="e">
        <v>#REF!</v>
      </c>
      <c r="C63" s="50"/>
      <c r="D63" s="51" t="e">
        <v>#REF!</v>
      </c>
      <c r="E63" s="51" t="e">
        <v>#REF!</v>
      </c>
      <c r="F63" s="51" t="e">
        <v>#REF!</v>
      </c>
      <c r="G63" s="51" t="e">
        <v>#REF!</v>
      </c>
    </row>
    <row r="64" spans="1:7" ht="18.5" hidden="1" x14ac:dyDescent="0.45">
      <c r="A64" s="52"/>
      <c r="B64" s="53"/>
      <c r="C64" s="53"/>
      <c r="D64" s="54"/>
      <c r="E64" s="54"/>
      <c r="F64" s="54"/>
      <c r="G64" s="54"/>
    </row>
    <row r="65" spans="1:7" ht="18.5" hidden="1" x14ac:dyDescent="0.35">
      <c r="A65" s="58" t="s">
        <v>11</v>
      </c>
      <c r="B65" s="59" t="e">
        <v>#REF!</v>
      </c>
      <c r="C65" s="59"/>
      <c r="D65" s="60"/>
      <c r="E65" s="60"/>
      <c r="F65" s="60"/>
      <c r="G65" s="60"/>
    </row>
    <row r="66" spans="1:7" ht="16" hidden="1" thickBot="1" x14ac:dyDescent="0.4">
      <c r="A66" s="31" t="s">
        <v>13</v>
      </c>
      <c r="B66" s="32"/>
      <c r="C66" s="32"/>
      <c r="D66" s="32"/>
      <c r="E66" s="37">
        <v>8.33477E-3</v>
      </c>
      <c r="F66" s="37"/>
      <c r="G66" s="37">
        <v>2.6247220000000002E-2</v>
      </c>
    </row>
    <row r="67" spans="1:7" ht="15" hidden="1" thickTop="1" x14ac:dyDescent="0.35"/>
    <row r="68" spans="1:7" ht="15" hidden="1" thickBot="1" x14ac:dyDescent="0.4">
      <c r="A68" s="113" t="s">
        <v>22</v>
      </c>
      <c r="B68" s="119"/>
      <c r="C68" s="119"/>
      <c r="D68" s="119"/>
      <c r="E68" s="119"/>
      <c r="F68" s="119"/>
      <c r="G68" s="119"/>
    </row>
    <row r="69" spans="1:7" ht="15" hidden="1" thickTop="1" x14ac:dyDescent="0.35"/>
    <row r="70" spans="1:7" ht="18.5" hidden="1" x14ac:dyDescent="0.45">
      <c r="A70" s="27" t="s">
        <v>3</v>
      </c>
      <c r="B70" s="26" t="s">
        <v>9</v>
      </c>
      <c r="C70" s="26"/>
      <c r="D70" s="114">
        <v>2018</v>
      </c>
      <c r="E70" s="115"/>
      <c r="F70" s="115"/>
      <c r="G70" s="116"/>
    </row>
    <row r="71" spans="1:7" ht="18.5" hidden="1" x14ac:dyDescent="0.45">
      <c r="A71" s="27"/>
      <c r="B71" s="26"/>
      <c r="C71" s="26"/>
      <c r="D71" s="114" t="s">
        <v>7</v>
      </c>
      <c r="E71" s="115"/>
      <c r="F71" s="117" t="s">
        <v>14</v>
      </c>
      <c r="G71" s="118"/>
    </row>
    <row r="72" spans="1:7" ht="18.5" hidden="1" x14ac:dyDescent="0.45">
      <c r="A72" s="24" t="s">
        <v>12</v>
      </c>
      <c r="B72" s="25" t="s">
        <v>8</v>
      </c>
      <c r="C72" s="25"/>
      <c r="D72" s="33" t="s">
        <v>4</v>
      </c>
      <c r="E72" s="34" t="s">
        <v>5</v>
      </c>
      <c r="F72" s="33" t="s">
        <v>4</v>
      </c>
      <c r="G72" s="35" t="s">
        <v>5</v>
      </c>
    </row>
    <row r="73" spans="1:7" ht="18.5" hidden="1" x14ac:dyDescent="0.45">
      <c r="A73" s="20"/>
      <c r="D73" s="21"/>
      <c r="E73" s="22"/>
      <c r="F73" s="22"/>
      <c r="G73" s="22"/>
    </row>
    <row r="74" spans="1:7" ht="18.5" hidden="1" x14ac:dyDescent="0.45">
      <c r="A74" s="49" t="s">
        <v>0</v>
      </c>
      <c r="B74" s="50">
        <v>17.685700000000001</v>
      </c>
      <c r="C74" s="50"/>
      <c r="D74" s="51">
        <v>7.4867139858418863E-3</v>
      </c>
      <c r="E74" s="51">
        <v>0.89825081985968247</v>
      </c>
      <c r="F74" s="51">
        <v>2.3223189132405064E-2</v>
      </c>
      <c r="G74" s="51">
        <v>0.88478662244630335</v>
      </c>
    </row>
    <row r="75" spans="1:7" ht="18.5" hidden="1" x14ac:dyDescent="0.45">
      <c r="A75" s="49" t="s">
        <v>17</v>
      </c>
      <c r="B75" s="50">
        <v>73.140160000000009</v>
      </c>
      <c r="C75" s="50"/>
      <c r="D75" s="51">
        <v>9.4256029066672742E-3</v>
      </c>
      <c r="E75" s="51">
        <v>1.1308773855388059</v>
      </c>
      <c r="F75" s="51">
        <v>2.9936934630162337E-2</v>
      </c>
      <c r="G75" s="51">
        <v>1.1405754449485443</v>
      </c>
    </row>
    <row r="76" spans="1:7" ht="18.5" hidden="1" x14ac:dyDescent="0.45">
      <c r="A76" s="49" t="s">
        <v>45</v>
      </c>
      <c r="B76" s="50">
        <v>21082.63652</v>
      </c>
      <c r="C76" s="50"/>
      <c r="D76" s="51">
        <v>6.3478383222292933E-3</v>
      </c>
      <c r="E76" s="51">
        <v>0.76160929722467363</v>
      </c>
      <c r="F76" s="51">
        <v>2.0618512098762531E-2</v>
      </c>
      <c r="G76" s="51">
        <v>0.78555032109162526</v>
      </c>
    </row>
    <row r="77" spans="1:7" ht="18.5" hidden="1" x14ac:dyDescent="0.45">
      <c r="A77" s="49" t="s">
        <v>19</v>
      </c>
      <c r="B77" s="50">
        <v>37722.3145</v>
      </c>
      <c r="C77" s="50"/>
      <c r="D77" s="51">
        <v>9.415268957866596E-3</v>
      </c>
      <c r="E77" s="51">
        <v>1.1296375254346065</v>
      </c>
      <c r="F77" s="51">
        <v>2.8926904260085262E-2</v>
      </c>
      <c r="G77" s="51">
        <v>1.1020940221511177</v>
      </c>
    </row>
    <row r="78" spans="1:7" ht="18.5" hidden="1" x14ac:dyDescent="0.45">
      <c r="A78" s="52"/>
      <c r="B78" s="53"/>
      <c r="C78" s="53"/>
      <c r="D78" s="54"/>
      <c r="E78" s="54"/>
      <c r="F78" s="54"/>
      <c r="G78" s="54"/>
    </row>
    <row r="79" spans="1:7" ht="18.5" hidden="1" x14ac:dyDescent="0.35">
      <c r="A79" s="29" t="s">
        <v>11</v>
      </c>
      <c r="B79" s="30">
        <v>58895.776880000005</v>
      </c>
      <c r="C79" s="30"/>
      <c r="D79" s="36"/>
      <c r="E79" s="36"/>
      <c r="F79" s="36"/>
      <c r="G79" s="36"/>
    </row>
    <row r="80" spans="1:7" ht="16" hidden="1" thickBot="1" x14ac:dyDescent="0.4">
      <c r="A80" s="31" t="s">
        <v>13</v>
      </c>
      <c r="B80" s="32"/>
      <c r="C80" s="32"/>
      <c r="D80" s="32"/>
      <c r="E80" s="37">
        <v>8.33477E-3</v>
      </c>
      <c r="F80" s="37"/>
      <c r="G80" s="37">
        <v>2.6247220000000002E-2</v>
      </c>
    </row>
    <row r="82" spans="1:15" ht="23.25" customHeight="1" thickBot="1" x14ac:dyDescent="0.4">
      <c r="A82" s="113" t="s">
        <v>57</v>
      </c>
      <c r="B82" s="119"/>
      <c r="C82" s="119"/>
      <c r="D82" s="119"/>
      <c r="E82" s="119"/>
      <c r="F82" s="119"/>
      <c r="G82" s="119"/>
    </row>
    <row r="83" spans="1:15" ht="8" customHeight="1" thickTop="1" x14ac:dyDescent="0.35"/>
    <row r="84" spans="1:15" ht="9.75" customHeight="1" x14ac:dyDescent="0.35"/>
    <row r="85" spans="1:15" ht="18.5" x14ac:dyDescent="0.45">
      <c r="A85" s="27" t="s">
        <v>29</v>
      </c>
      <c r="B85" s="26" t="s">
        <v>9</v>
      </c>
      <c r="C85" s="26"/>
      <c r="D85" s="114">
        <v>2023</v>
      </c>
      <c r="E85" s="115"/>
      <c r="F85" s="115"/>
      <c r="G85" s="116"/>
    </row>
    <row r="86" spans="1:15" ht="18.5" x14ac:dyDescent="0.45">
      <c r="A86" s="27"/>
      <c r="B86" s="26"/>
      <c r="C86" s="26"/>
      <c r="D86" s="114" t="s">
        <v>7</v>
      </c>
      <c r="E86" s="115"/>
      <c r="F86" s="117" t="s">
        <v>14</v>
      </c>
      <c r="G86" s="118"/>
      <c r="I86" s="69" t="s">
        <v>32</v>
      </c>
    </row>
    <row r="87" spans="1:15" ht="22.5" customHeight="1" thickBot="1" x14ac:dyDescent="0.5">
      <c r="A87" s="24" t="s">
        <v>12</v>
      </c>
      <c r="B87" s="25" t="s">
        <v>8</v>
      </c>
      <c r="C87" s="25" t="s">
        <v>52</v>
      </c>
      <c r="D87" s="33" t="s">
        <v>30</v>
      </c>
      <c r="E87" s="34" t="s">
        <v>5</v>
      </c>
      <c r="F87" s="33" t="s">
        <v>30</v>
      </c>
      <c r="G87" s="35" t="s">
        <v>5</v>
      </c>
      <c r="I87" s="113" t="s">
        <v>53</v>
      </c>
      <c r="J87" s="119"/>
      <c r="K87" s="119"/>
      <c r="L87" s="119"/>
      <c r="M87" s="119"/>
      <c r="N87" s="119"/>
      <c r="O87" s="119"/>
    </row>
    <row r="88" spans="1:15" ht="19" thickTop="1" x14ac:dyDescent="0.45">
      <c r="A88" s="20"/>
      <c r="D88" s="21"/>
      <c r="E88" s="22"/>
      <c r="F88" s="22"/>
      <c r="G88" s="22"/>
      <c r="I88" s="71" t="s">
        <v>29</v>
      </c>
      <c r="J88" s="72"/>
      <c r="K88" s="99"/>
      <c r="L88" s="75" t="s">
        <v>36</v>
      </c>
      <c r="M88" s="76"/>
      <c r="N88" s="73" t="s">
        <v>14</v>
      </c>
      <c r="O88" s="74"/>
    </row>
    <row r="89" spans="1:15" ht="18.5" x14ac:dyDescent="0.45">
      <c r="A89" s="49" t="s">
        <v>24</v>
      </c>
      <c r="B89" s="100">
        <v>69065.526340000011</v>
      </c>
      <c r="C89" s="100">
        <v>576.87276999999813</v>
      </c>
      <c r="D89" s="104">
        <v>8.8134496397554666E-3</v>
      </c>
      <c r="E89" s="104">
        <v>1.0574316555532386</v>
      </c>
      <c r="F89" s="104">
        <v>2.7968783329407904E-2</v>
      </c>
      <c r="G89" s="104">
        <v>1.0655903112561216</v>
      </c>
      <c r="I89" s="70" t="s">
        <v>34</v>
      </c>
      <c r="J89" s="25" t="s">
        <v>8</v>
      </c>
      <c r="K89" s="25" t="s">
        <v>52</v>
      </c>
      <c r="L89" s="33" t="s">
        <v>30</v>
      </c>
      <c r="M89" s="34" t="s">
        <v>5</v>
      </c>
      <c r="N89" s="33" t="s">
        <v>30</v>
      </c>
      <c r="O89" s="35" t="s">
        <v>5</v>
      </c>
    </row>
    <row r="90" spans="1:15" ht="18.5" x14ac:dyDescent="0.45">
      <c r="A90" s="49" t="s">
        <v>25</v>
      </c>
      <c r="B90" s="100">
        <v>106332.78907</v>
      </c>
      <c r="C90" s="100">
        <v>907.55206999999996</v>
      </c>
      <c r="D90" s="104">
        <v>8.8886842394677382E-3</v>
      </c>
      <c r="E90" s="104">
        <v>1.0664582513335985</v>
      </c>
      <c r="F90" s="104">
        <v>2.7677967753314596E-2</v>
      </c>
      <c r="G90" s="104">
        <v>1.0545104492328938</v>
      </c>
      <c r="I90" s="79" t="s">
        <v>24</v>
      </c>
      <c r="J90" s="100">
        <v>48018.773090000002</v>
      </c>
      <c r="K90" s="100">
        <v>434.29513999999807</v>
      </c>
      <c r="L90" s="104">
        <v>9.1275859799947526E-3</v>
      </c>
      <c r="M90" s="104">
        <v>1.0951215186495551</v>
      </c>
      <c r="N90" s="104">
        <v>2.8994919171872895E-2</v>
      </c>
      <c r="O90" s="104">
        <v>1.1046853408426833</v>
      </c>
    </row>
    <row r="91" spans="1:15" ht="18.5" x14ac:dyDescent="0.45">
      <c r="A91" s="49" t="s">
        <v>26</v>
      </c>
      <c r="B91" s="100">
        <v>70295.148419999998</v>
      </c>
      <c r="C91" s="100">
        <v>614.25156000000243</v>
      </c>
      <c r="D91" s="104">
        <v>8.8171468561186392E-3</v>
      </c>
      <c r="E91" s="104">
        <v>1.0578752450419913</v>
      </c>
      <c r="F91" s="104">
        <v>2.7366422908269586E-2</v>
      </c>
      <c r="G91" s="104">
        <v>1.0426408171329986</v>
      </c>
      <c r="I91" s="79" t="s">
        <v>25</v>
      </c>
      <c r="J91" s="100">
        <v>85142.194109999997</v>
      </c>
      <c r="K91" s="100">
        <v>747.27567999999997</v>
      </c>
      <c r="L91" s="104">
        <v>8.8573745291534393E-3</v>
      </c>
      <c r="M91" s="104">
        <v>1.0627017337195195</v>
      </c>
      <c r="N91" s="104">
        <v>2.7607775367184114E-2</v>
      </c>
      <c r="O91" s="104">
        <v>1.0518361703519121</v>
      </c>
    </row>
    <row r="92" spans="1:15" ht="18.5" x14ac:dyDescent="0.45">
      <c r="A92" s="49" t="s">
        <v>27</v>
      </c>
      <c r="B92" s="100">
        <v>58087.209940000001</v>
      </c>
      <c r="C92" s="100">
        <v>488.26176999999581</v>
      </c>
      <c r="D92" s="104">
        <v>8.4769216301279204E-3</v>
      </c>
      <c r="E92" s="104">
        <v>1.0170552552893386</v>
      </c>
      <c r="F92" s="104">
        <v>2.6284206134974397E-2</v>
      </c>
      <c r="G92" s="104">
        <v>1.0014091448532223</v>
      </c>
      <c r="I92" s="79" t="s">
        <v>26</v>
      </c>
      <c r="J92" s="100">
        <v>70295.148419999998</v>
      </c>
      <c r="K92" s="100">
        <v>614.25156000000243</v>
      </c>
      <c r="L92" s="104">
        <v>8.8171468561186392E-3</v>
      </c>
      <c r="M92" s="104">
        <v>1.0578752450419913</v>
      </c>
      <c r="N92" s="104">
        <v>2.7366422908269586E-2</v>
      </c>
      <c r="O92" s="104">
        <v>1.0426408171329986</v>
      </c>
    </row>
    <row r="93" spans="1:15" ht="18.5" x14ac:dyDescent="0.45">
      <c r="A93" s="49" t="s">
        <v>28</v>
      </c>
      <c r="B93" s="100">
        <v>73608.255799999999</v>
      </c>
      <c r="C93" s="100">
        <v>750.95276999999578</v>
      </c>
      <c r="D93" s="104">
        <v>1.0307172463843051E-2</v>
      </c>
      <c r="E93" s="104">
        <v>1.2366474976325741</v>
      </c>
      <c r="F93" s="104">
        <v>3.4722867443142569E-2</v>
      </c>
      <c r="G93" s="104">
        <v>1.3229160057005109</v>
      </c>
      <c r="I93" s="79" t="s">
        <v>27</v>
      </c>
      <c r="J93" s="100">
        <v>58087.209940000001</v>
      </c>
      <c r="K93" s="100">
        <v>488.26176999999581</v>
      </c>
      <c r="L93" s="104">
        <v>8.4769216301279204E-3</v>
      </c>
      <c r="M93" s="104">
        <v>1.0170552552893386</v>
      </c>
      <c r="N93" s="104">
        <v>2.6284206134974397E-2</v>
      </c>
      <c r="O93" s="104">
        <v>1.0014091448532223</v>
      </c>
    </row>
    <row r="94" spans="1:15" ht="18.5" x14ac:dyDescent="0.45">
      <c r="A94" s="49" t="s">
        <v>31</v>
      </c>
      <c r="B94" s="100">
        <v>37804.470159999997</v>
      </c>
      <c r="C94" s="100">
        <v>352.61840999999998</v>
      </c>
      <c r="D94" s="104">
        <v>9.4152465613876173E-3</v>
      </c>
      <c r="E94" s="104">
        <v>1.1296348383203876</v>
      </c>
      <c r="F94" s="104">
        <v>2.8926146811870158E-2</v>
      </c>
      <c r="G94" s="104">
        <v>1.1020651639247949</v>
      </c>
      <c r="I94" s="79" t="s">
        <v>28</v>
      </c>
      <c r="J94" s="100">
        <v>73608.255799999999</v>
      </c>
      <c r="K94" s="100">
        <v>750.95276999999578</v>
      </c>
      <c r="L94" s="104">
        <v>1.0307172463843051E-2</v>
      </c>
      <c r="M94" s="104">
        <v>1.2366474976325741</v>
      </c>
      <c r="N94" s="104">
        <v>3.4722867443142569E-2</v>
      </c>
      <c r="O94" s="104">
        <v>1.3229160057005109</v>
      </c>
    </row>
    <row r="95" spans="1:15" ht="18.5" x14ac:dyDescent="0.45">
      <c r="A95" s="52"/>
      <c r="B95" s="53"/>
      <c r="C95" s="53"/>
      <c r="D95" s="54"/>
      <c r="E95" s="54"/>
      <c r="F95" s="54"/>
      <c r="G95" s="54"/>
      <c r="I95" s="79" t="s">
        <v>31</v>
      </c>
      <c r="J95" s="100">
        <v>37722.3145</v>
      </c>
      <c r="K95" s="100">
        <v>351.85293999999999</v>
      </c>
      <c r="L95" s="104">
        <v>9.415268957866596E-3</v>
      </c>
      <c r="M95" s="104">
        <v>1.1296375254346065</v>
      </c>
      <c r="N95" s="104">
        <v>2.8926904260085262E-2</v>
      </c>
      <c r="O95" s="104">
        <v>1.1020940221511177</v>
      </c>
    </row>
    <row r="96" spans="1:15" ht="18.5" x14ac:dyDescent="0.35">
      <c r="A96" s="58" t="s">
        <v>11</v>
      </c>
      <c r="B96" s="101">
        <v>415193.39972999995</v>
      </c>
      <c r="C96" s="101">
        <v>3690.5093499999921</v>
      </c>
      <c r="D96" s="60"/>
      <c r="E96" s="60"/>
      <c r="F96" s="60"/>
      <c r="G96" s="60"/>
      <c r="I96" s="77" t="s">
        <v>35</v>
      </c>
      <c r="J96" s="103">
        <v>372873.89585999999</v>
      </c>
      <c r="K96" s="103">
        <v>3386.889859999992</v>
      </c>
      <c r="L96" s="78"/>
      <c r="M96" s="78"/>
      <c r="N96" s="78"/>
      <c r="O96" s="78"/>
    </row>
    <row r="97" spans="1:15" hidden="1" x14ac:dyDescent="0.35"/>
    <row r="98" spans="1:15" ht="15" hidden="1" thickBot="1" x14ac:dyDescent="0.4">
      <c r="A98" s="113" t="s">
        <v>23</v>
      </c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</row>
    <row r="99" spans="1:15" ht="15" hidden="1" thickTop="1" x14ac:dyDescent="0.35"/>
    <row r="100" spans="1:15" hidden="1" x14ac:dyDescent="0.35"/>
    <row r="101" spans="1:15" hidden="1" x14ac:dyDescent="0.35"/>
    <row r="102" spans="1:15" hidden="1" x14ac:dyDescent="0.35"/>
    <row r="103" spans="1:15" hidden="1" x14ac:dyDescent="0.35"/>
    <row r="104" spans="1:15" hidden="1" x14ac:dyDescent="0.35"/>
    <row r="105" spans="1:15" hidden="1" x14ac:dyDescent="0.35"/>
    <row r="106" spans="1:15" hidden="1" x14ac:dyDescent="0.35"/>
    <row r="107" spans="1:15" hidden="1" x14ac:dyDescent="0.35"/>
    <row r="108" spans="1:15" hidden="1" x14ac:dyDescent="0.35"/>
    <row r="109" spans="1:15" hidden="1" x14ac:dyDescent="0.35"/>
    <row r="110" spans="1:15" hidden="1" x14ac:dyDescent="0.35"/>
    <row r="111" spans="1:15" hidden="1" x14ac:dyDescent="0.35"/>
    <row r="112" spans="1:15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hidden="1" x14ac:dyDescent="0.35"/>
    <row r="140" hidden="1" x14ac:dyDescent="0.35"/>
    <row r="141" hidden="1" x14ac:dyDescent="0.35"/>
    <row r="142" hidden="1" x14ac:dyDescent="0.35"/>
    <row r="143" hidden="1" x14ac:dyDescent="0.35"/>
    <row r="144" hidden="1" x14ac:dyDescent="0.35"/>
    <row r="145" hidden="1" x14ac:dyDescent="0.35"/>
    <row r="146" hidden="1" x14ac:dyDescent="0.35"/>
    <row r="147" hidden="1" x14ac:dyDescent="0.35"/>
    <row r="148" hidden="1" x14ac:dyDescent="0.35"/>
    <row r="149" hidden="1" x14ac:dyDescent="0.35"/>
    <row r="150" hidden="1" x14ac:dyDescent="0.35"/>
    <row r="151" hidden="1" x14ac:dyDescent="0.35"/>
    <row r="152" hidden="1" x14ac:dyDescent="0.35"/>
    <row r="153" hidden="1" x14ac:dyDescent="0.35"/>
  </sheetData>
  <mergeCells count="26">
    <mergeCell ref="I87:O87"/>
    <mergeCell ref="A2:G2"/>
    <mergeCell ref="D70:G70"/>
    <mergeCell ref="A31:G31"/>
    <mergeCell ref="I2:O2"/>
    <mergeCell ref="D5:E5"/>
    <mergeCell ref="F5:G5"/>
    <mergeCell ref="D4:G4"/>
    <mergeCell ref="A32:G32"/>
    <mergeCell ref="I23:O23"/>
    <mergeCell ref="A98:O98"/>
    <mergeCell ref="D37:G37"/>
    <mergeCell ref="D38:E38"/>
    <mergeCell ref="F38:G38"/>
    <mergeCell ref="A34:G34"/>
    <mergeCell ref="D71:E71"/>
    <mergeCell ref="F71:G71"/>
    <mergeCell ref="A68:G68"/>
    <mergeCell ref="A48:G48"/>
    <mergeCell ref="D51:G51"/>
    <mergeCell ref="D52:E52"/>
    <mergeCell ref="A82:G82"/>
    <mergeCell ref="D86:E86"/>
    <mergeCell ref="F86:G86"/>
    <mergeCell ref="F52:G52"/>
    <mergeCell ref="D85:G85"/>
  </mergeCells>
  <printOptions horizontalCentered="1" verticalCentered="1"/>
  <pageMargins left="0.7" right="0.7" top="0.75" bottom="0.75" header="0.3" footer="0.3"/>
  <pageSetup paperSize="9" scale="49" fitToHeight="0" orientation="landscape" r:id="rId1"/>
  <rowBreaks count="1" manualBreakCount="1">
    <brk id="96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G18"/>
  <sheetViews>
    <sheetView showGridLines="0" workbookViewId="0">
      <selection activeCell="B9" sqref="B9"/>
    </sheetView>
  </sheetViews>
  <sheetFormatPr defaultRowHeight="14.5" x14ac:dyDescent="0.35"/>
  <cols>
    <col min="1" max="1" width="42.6328125" customWidth="1"/>
    <col min="2" max="2" width="23.453125" customWidth="1"/>
    <col min="3" max="3" width="21.54296875" customWidth="1"/>
    <col min="4" max="4" width="21.36328125" customWidth="1"/>
    <col min="5" max="5" width="14.7265625" customWidth="1"/>
    <col min="6" max="6" width="10.90625" customWidth="1"/>
    <col min="7" max="7" width="19.54296875" customWidth="1"/>
  </cols>
  <sheetData>
    <row r="2" spans="1:7" x14ac:dyDescent="0.35">
      <c r="B2" s="43" t="s">
        <v>58</v>
      </c>
      <c r="C2" s="43" t="s">
        <v>59</v>
      </c>
      <c r="D2" s="43" t="s">
        <v>60</v>
      </c>
      <c r="E2" s="38"/>
      <c r="F2" s="38"/>
      <c r="G2" s="38"/>
    </row>
    <row r="3" spans="1:7" x14ac:dyDescent="0.35">
      <c r="A3" s="39"/>
      <c r="B3" s="61"/>
      <c r="C3" s="62"/>
      <c r="D3" s="62"/>
      <c r="E3" s="41"/>
      <c r="F3" s="42"/>
      <c r="G3" s="41"/>
    </row>
    <row r="4" spans="1:7" x14ac:dyDescent="0.35">
      <c r="A4" s="39" t="s">
        <v>40</v>
      </c>
      <c r="B4" s="39">
        <v>19255176.440000001</v>
      </c>
      <c r="C4" s="39">
        <v>0</v>
      </c>
      <c r="D4" s="39">
        <v>0</v>
      </c>
      <c r="E4" s="63"/>
      <c r="F4" s="42"/>
      <c r="G4" s="63"/>
    </row>
    <row r="5" spans="1:7" x14ac:dyDescent="0.35">
      <c r="A5" s="39" t="s">
        <v>43</v>
      </c>
      <c r="B5" s="39">
        <v>28763596.649999999</v>
      </c>
      <c r="C5" s="39">
        <v>0</v>
      </c>
      <c r="D5" s="39">
        <v>0</v>
      </c>
      <c r="E5" s="63"/>
      <c r="F5" s="42"/>
      <c r="G5" s="63"/>
    </row>
    <row r="6" spans="1:7" x14ac:dyDescent="0.35">
      <c r="A6" s="39" t="s">
        <v>37</v>
      </c>
      <c r="B6" s="40">
        <v>26418196.129999999</v>
      </c>
      <c r="C6" s="39">
        <v>0</v>
      </c>
      <c r="D6" s="39">
        <v>0</v>
      </c>
      <c r="E6" s="63"/>
      <c r="F6" s="42"/>
      <c r="G6" s="63"/>
    </row>
    <row r="7" spans="1:7" x14ac:dyDescent="0.35">
      <c r="A7" s="39" t="s">
        <v>38</v>
      </c>
      <c r="B7" s="40">
        <v>37641361.460000001</v>
      </c>
      <c r="C7" s="39">
        <v>0</v>
      </c>
      <c r="D7" s="39">
        <v>0</v>
      </c>
      <c r="E7" s="63"/>
      <c r="F7" s="42"/>
      <c r="G7" s="63"/>
    </row>
    <row r="8" spans="1:7" x14ac:dyDescent="0.35">
      <c r="A8" s="39" t="s">
        <v>33</v>
      </c>
      <c r="B8" s="40">
        <v>0</v>
      </c>
      <c r="C8" s="39">
        <v>0</v>
      </c>
      <c r="D8" s="39">
        <v>0</v>
      </c>
      <c r="E8" s="63"/>
      <c r="F8" s="42"/>
      <c r="G8" s="63"/>
    </row>
    <row r="9" spans="1:7" x14ac:dyDescent="0.35">
      <c r="A9" s="39" t="s">
        <v>39</v>
      </c>
      <c r="B9" s="40">
        <v>21082636.52</v>
      </c>
      <c r="C9" s="39">
        <v>0</v>
      </c>
      <c r="D9" s="39">
        <v>0</v>
      </c>
      <c r="E9" s="63"/>
      <c r="F9" s="42"/>
      <c r="G9" s="63"/>
    </row>
    <row r="10" spans="1:7" x14ac:dyDescent="0.35">
      <c r="A10" s="39" t="s">
        <v>6</v>
      </c>
      <c r="B10" s="40">
        <v>20802823.390000001</v>
      </c>
      <c r="C10" s="39">
        <v>0</v>
      </c>
      <c r="D10" s="39">
        <v>0</v>
      </c>
      <c r="E10" s="63"/>
      <c r="F10" s="42"/>
      <c r="G10" s="63"/>
    </row>
    <row r="11" spans="1:7" x14ac:dyDescent="0.35">
      <c r="A11" s="39" t="s">
        <v>47</v>
      </c>
      <c r="B11" s="40">
        <v>39014561.32</v>
      </c>
      <c r="C11" s="39">
        <v>0</v>
      </c>
      <c r="D11" s="39">
        <v>0</v>
      </c>
      <c r="E11" s="63"/>
      <c r="F11" s="42"/>
      <c r="G11" s="63"/>
    </row>
    <row r="12" spans="1:7" x14ac:dyDescent="0.35">
      <c r="A12" s="39" t="s">
        <v>48</v>
      </c>
      <c r="B12" s="40">
        <v>10477763.710000001</v>
      </c>
      <c r="C12" s="39">
        <v>0</v>
      </c>
      <c r="D12" s="39">
        <v>0</v>
      </c>
      <c r="E12" s="63"/>
      <c r="F12" s="42"/>
      <c r="G12" s="63"/>
    </row>
    <row r="13" spans="1:7" x14ac:dyDescent="0.35">
      <c r="A13" s="39" t="s">
        <v>15</v>
      </c>
      <c r="B13" s="40">
        <v>58087209.939999998</v>
      </c>
      <c r="C13" s="39">
        <v>0</v>
      </c>
      <c r="D13" s="39">
        <v>0</v>
      </c>
      <c r="E13" s="41"/>
      <c r="F13" s="42"/>
      <c r="G13" s="63"/>
    </row>
    <row r="14" spans="1:7" x14ac:dyDescent="0.35">
      <c r="A14" s="39" t="s">
        <v>16</v>
      </c>
      <c r="B14" s="40">
        <v>73608255.799999997</v>
      </c>
      <c r="C14" s="39">
        <v>0</v>
      </c>
      <c r="D14" s="39">
        <v>0</v>
      </c>
      <c r="E14" s="41"/>
      <c r="F14" s="42"/>
      <c r="G14" s="63"/>
    </row>
    <row r="15" spans="1:7" x14ac:dyDescent="0.35">
      <c r="A15" s="39" t="s">
        <v>19</v>
      </c>
      <c r="B15" s="108">
        <v>37722314.5</v>
      </c>
      <c r="C15" s="109">
        <v>0</v>
      </c>
      <c r="D15" s="109">
        <v>0</v>
      </c>
      <c r="E15" s="41"/>
      <c r="F15" s="42"/>
      <c r="G15" s="63"/>
    </row>
    <row r="16" spans="1:7" x14ac:dyDescent="0.35">
      <c r="B16" s="110">
        <v>372873895.86000001</v>
      </c>
      <c r="C16" s="110">
        <v>0</v>
      </c>
      <c r="D16" s="110">
        <v>0</v>
      </c>
    </row>
    <row r="17" spans="3:4" x14ac:dyDescent="0.35">
      <c r="C17" s="98"/>
      <c r="D17" s="98"/>
    </row>
    <row r="18" spans="3:4" x14ac:dyDescent="0.35">
      <c r="D18" s="42"/>
    </row>
  </sheetData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K43"/>
  <sheetViews>
    <sheetView showGridLines="0" workbookViewId="0">
      <selection activeCell="G17" sqref="G16:G17"/>
    </sheetView>
  </sheetViews>
  <sheetFormatPr defaultRowHeight="14.5" x14ac:dyDescent="0.35"/>
  <cols>
    <col min="1" max="1" width="32.7265625" bestFit="1" customWidth="1"/>
    <col min="2" max="2" width="15.453125" bestFit="1" customWidth="1"/>
    <col min="3" max="3" width="11.81640625" bestFit="1" customWidth="1"/>
    <col min="4" max="4" width="13.54296875" bestFit="1" customWidth="1"/>
    <col min="5" max="5" width="11.81640625" bestFit="1" customWidth="1"/>
    <col min="6" max="6" width="12.54296875" bestFit="1" customWidth="1"/>
    <col min="7" max="8" width="14.26953125" style="1" bestFit="1" customWidth="1"/>
    <col min="9" max="9" width="11.08984375" bestFit="1" customWidth="1"/>
    <col min="10" max="10" width="10.08984375" bestFit="1" customWidth="1"/>
  </cols>
  <sheetData>
    <row r="3" spans="1:11" ht="15" thickBot="1" x14ac:dyDescent="0.4">
      <c r="A3" s="126" t="s">
        <v>61</v>
      </c>
      <c r="B3" s="127"/>
      <c r="C3" s="127"/>
      <c r="D3" s="127"/>
      <c r="E3" s="127"/>
      <c r="F3" s="127"/>
    </row>
    <row r="4" spans="1:11" ht="15" thickTop="1" x14ac:dyDescent="0.35">
      <c r="A4" s="80" t="s">
        <v>29</v>
      </c>
      <c r="B4" s="26"/>
      <c r="C4" s="114" t="s">
        <v>7</v>
      </c>
      <c r="D4" s="115"/>
      <c r="E4" s="117" t="s">
        <v>14</v>
      </c>
      <c r="F4" s="118"/>
    </row>
    <row r="5" spans="1:11" x14ac:dyDescent="0.35">
      <c r="A5" s="89" t="s">
        <v>12</v>
      </c>
      <c r="B5" s="83" t="s">
        <v>8</v>
      </c>
      <c r="C5" s="84" t="s">
        <v>30</v>
      </c>
      <c r="D5" s="85" t="s">
        <v>5</v>
      </c>
      <c r="E5" s="84" t="s">
        <v>30</v>
      </c>
      <c r="F5" s="23" t="s">
        <v>5</v>
      </c>
    </row>
    <row r="6" spans="1:11" x14ac:dyDescent="0.35">
      <c r="A6" t="s">
        <v>24</v>
      </c>
      <c r="B6" s="55">
        <v>69065.526340000011</v>
      </c>
      <c r="C6" s="106">
        <v>8.8134496397554666E-3</v>
      </c>
      <c r="D6" s="106">
        <v>1.0574316555532386</v>
      </c>
      <c r="E6" s="106">
        <v>2.7968783329407904E-2</v>
      </c>
      <c r="F6" s="106">
        <v>1.0655903112561216</v>
      </c>
      <c r="G6" s="111"/>
    </row>
    <row r="7" spans="1:11" x14ac:dyDescent="0.35">
      <c r="A7" t="s">
        <v>25</v>
      </c>
      <c r="B7" s="55">
        <v>106332.78907</v>
      </c>
      <c r="C7" s="106">
        <v>8.8886842394677382E-3</v>
      </c>
      <c r="D7" s="106">
        <v>1.0664582513335985</v>
      </c>
      <c r="E7" s="106">
        <v>2.7677967753314596E-2</v>
      </c>
      <c r="F7" s="106">
        <v>1.0545104492328938</v>
      </c>
      <c r="G7" s="111"/>
      <c r="I7" s="57"/>
      <c r="J7" s="57"/>
      <c r="K7" s="55"/>
    </row>
    <row r="8" spans="1:11" x14ac:dyDescent="0.35">
      <c r="A8" t="s">
        <v>26</v>
      </c>
      <c r="B8" s="55">
        <v>70295.148419999998</v>
      </c>
      <c r="C8" s="106">
        <v>8.8171468561186392E-3</v>
      </c>
      <c r="D8" s="106">
        <v>1.0578752450419913</v>
      </c>
      <c r="E8" s="106">
        <v>2.7366422908269586E-2</v>
      </c>
      <c r="F8" s="106">
        <v>1.0426408171329986</v>
      </c>
      <c r="G8" s="111"/>
      <c r="I8" s="57"/>
      <c r="J8" s="57"/>
      <c r="K8" s="55"/>
    </row>
    <row r="9" spans="1:11" x14ac:dyDescent="0.35">
      <c r="A9" t="s">
        <v>27</v>
      </c>
      <c r="B9" s="55">
        <v>58087.209940000001</v>
      </c>
      <c r="C9" s="106">
        <v>8.4769216301279204E-3</v>
      </c>
      <c r="D9" s="106">
        <v>1.0170552552893386</v>
      </c>
      <c r="E9" s="106">
        <v>2.6284206134974397E-2</v>
      </c>
      <c r="F9" s="106">
        <v>1.0014091448532223</v>
      </c>
      <c r="G9" s="111"/>
      <c r="I9" s="57"/>
      <c r="J9" s="57"/>
      <c r="K9" s="57"/>
    </row>
    <row r="10" spans="1:11" x14ac:dyDescent="0.35">
      <c r="A10" t="s">
        <v>28</v>
      </c>
      <c r="B10" s="55">
        <v>73608.255799999999</v>
      </c>
      <c r="C10" s="106">
        <v>1.0307172463843051E-2</v>
      </c>
      <c r="D10" s="106">
        <v>1.2366474976325741</v>
      </c>
      <c r="E10" s="106">
        <v>3.4722867443142569E-2</v>
      </c>
      <c r="F10" s="106">
        <v>1.3229160057005109</v>
      </c>
      <c r="G10" s="111"/>
    </row>
    <row r="11" spans="1:11" x14ac:dyDescent="0.35">
      <c r="A11" t="s">
        <v>31</v>
      </c>
      <c r="B11" s="55">
        <v>37804.470159999997</v>
      </c>
      <c r="C11" s="106">
        <v>9.4152465613876173E-3</v>
      </c>
      <c r="D11" s="106">
        <v>1.1296348383203876</v>
      </c>
      <c r="E11" s="106">
        <v>2.8926146811870158E-2</v>
      </c>
      <c r="F11" s="106">
        <v>1.1020651639247949</v>
      </c>
      <c r="G11" s="111"/>
      <c r="I11" s="55"/>
      <c r="J11" s="57"/>
    </row>
    <row r="12" spans="1:11" x14ac:dyDescent="0.35">
      <c r="A12" s="93" t="s">
        <v>11</v>
      </c>
      <c r="B12" s="94">
        <v>415193.39972999995</v>
      </c>
      <c r="C12" s="97">
        <v>9.105874263133272E-3</v>
      </c>
      <c r="D12" s="97">
        <v>1.092516561720752</v>
      </c>
      <c r="E12" s="97">
        <v>2.8841220932964772E-2</v>
      </c>
      <c r="F12" s="97">
        <v>1.0988295496804907</v>
      </c>
      <c r="G12" s="112"/>
      <c r="J12" s="57"/>
    </row>
    <row r="13" spans="1:11" x14ac:dyDescent="0.35">
      <c r="A13" s="91" t="s">
        <v>13</v>
      </c>
      <c r="B13" s="92"/>
      <c r="C13" s="92"/>
      <c r="D13" s="95">
        <v>8.33477E-3</v>
      </c>
      <c r="E13" s="96"/>
      <c r="F13" s="95">
        <v>2.6247220000000002E-2</v>
      </c>
      <c r="I13" s="57"/>
    </row>
    <row r="14" spans="1:11" x14ac:dyDescent="0.35">
      <c r="I14" s="57"/>
      <c r="J14" s="55"/>
    </row>
    <row r="15" spans="1:11" ht="15" thickBot="1" x14ac:dyDescent="0.4">
      <c r="A15" s="128" t="s">
        <v>62</v>
      </c>
      <c r="B15" s="129"/>
      <c r="C15" s="129"/>
      <c r="D15" s="129"/>
      <c r="E15" s="129"/>
      <c r="F15" s="129"/>
      <c r="I15" s="57"/>
    </row>
    <row r="16" spans="1:11" ht="15" thickTop="1" x14ac:dyDescent="0.35">
      <c r="A16" s="71" t="s">
        <v>29</v>
      </c>
      <c r="B16" s="72"/>
      <c r="C16" s="75" t="s">
        <v>36</v>
      </c>
      <c r="D16" s="76"/>
      <c r="E16" s="73" t="s">
        <v>14</v>
      </c>
      <c r="F16" s="74"/>
      <c r="I16" s="57"/>
    </row>
    <row r="17" spans="1:11" x14ac:dyDescent="0.35">
      <c r="A17" s="82" t="s">
        <v>34</v>
      </c>
      <c r="B17" s="83" t="s">
        <v>8</v>
      </c>
      <c r="C17" s="84" t="s">
        <v>30</v>
      </c>
      <c r="D17" s="85" t="s">
        <v>5</v>
      </c>
      <c r="E17" s="84" t="s">
        <v>30</v>
      </c>
      <c r="F17" s="23" t="s">
        <v>5</v>
      </c>
      <c r="I17" s="57"/>
    </row>
    <row r="18" spans="1:11" x14ac:dyDescent="0.35">
      <c r="A18" s="81" t="s">
        <v>24</v>
      </c>
      <c r="B18" s="55">
        <v>48018.773090000002</v>
      </c>
      <c r="C18" s="106">
        <v>9.1275859799947526E-3</v>
      </c>
      <c r="D18" s="106">
        <v>1.0951215186495551</v>
      </c>
      <c r="E18" s="106">
        <v>2.8994919171872895E-2</v>
      </c>
      <c r="F18" s="106">
        <v>1.1046853408426833</v>
      </c>
      <c r="G18" s="111"/>
      <c r="I18" s="57"/>
    </row>
    <row r="19" spans="1:11" x14ac:dyDescent="0.35">
      <c r="A19" s="81" t="s">
        <v>25</v>
      </c>
      <c r="B19" s="55">
        <v>85142.194109999997</v>
      </c>
      <c r="C19" s="106">
        <v>8.8573745291534393E-3</v>
      </c>
      <c r="D19" s="106">
        <v>1.0627017337195195</v>
      </c>
      <c r="E19" s="106">
        <v>2.7607775367184114E-2</v>
      </c>
      <c r="F19" s="106">
        <v>1.0518361703519121</v>
      </c>
      <c r="G19" s="111"/>
      <c r="I19" s="57"/>
    </row>
    <row r="20" spans="1:11" x14ac:dyDescent="0.35">
      <c r="A20" s="81" t="s">
        <v>26</v>
      </c>
      <c r="B20" s="55">
        <v>70295.148419999998</v>
      </c>
      <c r="C20" s="106">
        <v>8.8171468561186392E-3</v>
      </c>
      <c r="D20" s="106">
        <v>1.0578752450419913</v>
      </c>
      <c r="E20" s="106">
        <v>2.7366422908269586E-2</v>
      </c>
      <c r="F20" s="106">
        <v>1.0426408171329986</v>
      </c>
      <c r="G20" s="111"/>
      <c r="I20" s="57"/>
    </row>
    <row r="21" spans="1:11" x14ac:dyDescent="0.35">
      <c r="A21" s="81" t="s">
        <v>27</v>
      </c>
      <c r="B21" s="55">
        <v>58087.209940000001</v>
      </c>
      <c r="C21" s="106">
        <v>8.4769216301279204E-3</v>
      </c>
      <c r="D21" s="106">
        <v>1.0170552552893386</v>
      </c>
      <c r="E21" s="106">
        <v>2.6284206134974397E-2</v>
      </c>
      <c r="F21" s="106">
        <v>1.0014091448532223</v>
      </c>
      <c r="G21" s="111"/>
      <c r="I21" s="57"/>
    </row>
    <row r="22" spans="1:11" x14ac:dyDescent="0.35">
      <c r="A22" s="81" t="s">
        <v>28</v>
      </c>
      <c r="B22" s="55">
        <v>73608.255799999999</v>
      </c>
      <c r="C22" s="106">
        <v>1.0307172463843051E-2</v>
      </c>
      <c r="D22" s="106">
        <v>1.2366474976325741</v>
      </c>
      <c r="E22" s="106">
        <v>3.4722867443142569E-2</v>
      </c>
      <c r="F22" s="106">
        <v>1.3229160057005109</v>
      </c>
      <c r="G22" s="111"/>
      <c r="I22" s="57"/>
    </row>
    <row r="23" spans="1:11" x14ac:dyDescent="0.35">
      <c r="A23" s="81" t="s">
        <v>31</v>
      </c>
      <c r="B23" s="55">
        <v>37722.3145</v>
      </c>
      <c r="C23" s="106">
        <v>9.415268957866596E-3</v>
      </c>
      <c r="D23" s="106">
        <v>1.1296375254346065</v>
      </c>
      <c r="E23" s="106">
        <v>2.8926904260085262E-2</v>
      </c>
      <c r="F23" s="106">
        <v>1.1020940221511177</v>
      </c>
      <c r="G23" s="111"/>
      <c r="I23" s="57"/>
    </row>
    <row r="24" spans="1:11" x14ac:dyDescent="0.35">
      <c r="A24" s="93" t="s">
        <v>35</v>
      </c>
      <c r="B24" s="94">
        <v>372873.89585999999</v>
      </c>
      <c r="C24" s="97">
        <v>9.1679624579363711E-3</v>
      </c>
      <c r="D24" s="97">
        <v>1.0999658608379559</v>
      </c>
      <c r="E24" s="97">
        <v>2.907274974971634E-2</v>
      </c>
      <c r="F24" s="97">
        <v>1.1076506292748844</v>
      </c>
      <c r="G24" s="112"/>
      <c r="I24" s="57"/>
      <c r="K24" s="55"/>
    </row>
    <row r="25" spans="1:11" x14ac:dyDescent="0.35">
      <c r="A25" s="91" t="s">
        <v>13</v>
      </c>
      <c r="B25" s="92"/>
      <c r="C25" s="92"/>
      <c r="D25" s="95">
        <v>8.33477E-3</v>
      </c>
      <c r="E25" s="96"/>
      <c r="F25" s="95">
        <v>2.6247220000000002E-2</v>
      </c>
      <c r="I25" s="55"/>
    </row>
    <row r="27" spans="1:11" ht="15" thickBot="1" x14ac:dyDescent="0.4">
      <c r="A27" s="130" t="s">
        <v>63</v>
      </c>
      <c r="B27" s="131"/>
      <c r="C27" s="131"/>
      <c r="D27" s="131"/>
      <c r="E27" s="131"/>
      <c r="F27" s="131"/>
      <c r="I27" s="55"/>
    </row>
    <row r="28" spans="1:11" ht="15" thickTop="1" x14ac:dyDescent="0.35">
      <c r="A28" s="71" t="s">
        <v>29</v>
      </c>
      <c r="B28" s="72"/>
      <c r="C28" s="75" t="s">
        <v>36</v>
      </c>
      <c r="D28" s="76"/>
      <c r="E28" s="73" t="s">
        <v>14</v>
      </c>
      <c r="F28" s="74"/>
    </row>
    <row r="29" spans="1:11" x14ac:dyDescent="0.35">
      <c r="A29" s="82" t="s">
        <v>34</v>
      </c>
      <c r="B29" s="83" t="s">
        <v>8</v>
      </c>
      <c r="C29" s="84" t="s">
        <v>30</v>
      </c>
      <c r="D29" s="85" t="s">
        <v>5</v>
      </c>
      <c r="E29" s="84" t="s">
        <v>30</v>
      </c>
      <c r="F29" s="23" t="s">
        <v>5</v>
      </c>
    </row>
    <row r="30" spans="1:11" x14ac:dyDescent="0.35">
      <c r="A30" s="86" t="s">
        <v>24</v>
      </c>
      <c r="B30" s="87">
        <v>20955.927390000001</v>
      </c>
      <c r="C30" s="107">
        <v>8.0926153813005719E-3</v>
      </c>
      <c r="D30" s="107">
        <v>0.97094645458729778</v>
      </c>
      <c r="E30" s="107">
        <v>2.5614613790333474E-2</v>
      </c>
      <c r="F30" s="107">
        <v>0.97589816332295276</v>
      </c>
      <c r="G30" s="111"/>
    </row>
    <row r="31" spans="1:11" x14ac:dyDescent="0.35">
      <c r="A31" s="86" t="s">
        <v>25</v>
      </c>
      <c r="B31" s="87">
        <v>21006.53628</v>
      </c>
      <c r="C31" s="107">
        <v>9.0332127987349242E-3</v>
      </c>
      <c r="D31" s="107">
        <v>1.0837986889542153</v>
      </c>
      <c r="E31" s="107">
        <v>2.8014547392268829E-2</v>
      </c>
      <c r="F31" s="107">
        <v>1.0673338887801767</v>
      </c>
      <c r="G31" s="111"/>
      <c r="I31" s="57"/>
    </row>
    <row r="32" spans="1:11" x14ac:dyDescent="0.35">
      <c r="A32" s="93" t="s">
        <v>41</v>
      </c>
      <c r="B32" s="94">
        <v>41962.463669999997</v>
      </c>
      <c r="C32" s="97">
        <v>8.5634812944555948E-3</v>
      </c>
      <c r="D32" s="97">
        <v>1.0274406245709953</v>
      </c>
      <c r="E32" s="97">
        <v>2.6816027812996985E-2</v>
      </c>
      <c r="F32" s="97">
        <v>1.0216711641460308</v>
      </c>
      <c r="I32" s="57"/>
    </row>
    <row r="33" spans="1:10" x14ac:dyDescent="0.35">
      <c r="A33" s="91" t="s">
        <v>13</v>
      </c>
      <c r="B33" s="92"/>
      <c r="C33" s="92"/>
      <c r="D33" s="95">
        <v>8.33477E-3</v>
      </c>
      <c r="E33" s="96"/>
      <c r="F33" s="95">
        <v>2.6247220000000002E-2</v>
      </c>
      <c r="I33" s="57"/>
    </row>
    <row r="34" spans="1:10" x14ac:dyDescent="0.35">
      <c r="A34" s="86"/>
      <c r="B34" s="87"/>
      <c r="C34" s="88"/>
      <c r="D34" s="88"/>
      <c r="E34" s="88"/>
      <c r="F34" s="88"/>
    </row>
    <row r="35" spans="1:10" ht="15" thickBot="1" x14ac:dyDescent="0.4">
      <c r="A35" s="124" t="s">
        <v>64</v>
      </c>
      <c r="B35" s="125"/>
      <c r="C35" s="125"/>
      <c r="D35" s="125"/>
      <c r="E35" s="125"/>
      <c r="F35" s="125"/>
    </row>
    <row r="36" spans="1:10" ht="15" thickTop="1" x14ac:dyDescent="0.35">
      <c r="A36" s="71" t="s">
        <v>29</v>
      </c>
      <c r="B36" s="72"/>
      <c r="C36" s="75" t="s">
        <v>36</v>
      </c>
      <c r="D36" s="76"/>
      <c r="E36" s="73" t="s">
        <v>14</v>
      </c>
      <c r="F36" s="74"/>
      <c r="J36" s="90" t="s">
        <v>42</v>
      </c>
    </row>
    <row r="37" spans="1:10" x14ac:dyDescent="0.35">
      <c r="A37" s="82" t="s">
        <v>34</v>
      </c>
      <c r="B37" s="83" t="s">
        <v>8</v>
      </c>
      <c r="C37" s="84" t="s">
        <v>30</v>
      </c>
      <c r="D37" s="85" t="s">
        <v>5</v>
      </c>
      <c r="E37" s="84" t="s">
        <v>30</v>
      </c>
      <c r="F37" s="23" t="s">
        <v>5</v>
      </c>
    </row>
    <row r="38" spans="1:10" x14ac:dyDescent="0.35">
      <c r="A38" s="86" t="s">
        <v>0</v>
      </c>
      <c r="B38" s="55">
        <v>17.685700000000001</v>
      </c>
      <c r="C38" s="107">
        <v>7.4867139858418863E-3</v>
      </c>
      <c r="D38" s="107">
        <v>0.89825081985968247</v>
      </c>
      <c r="E38" s="107">
        <v>2.3223189132405064E-2</v>
      </c>
      <c r="F38" s="107">
        <v>0.88478662244630335</v>
      </c>
    </row>
    <row r="39" spans="1:10" x14ac:dyDescent="0.35">
      <c r="A39" s="86" t="s">
        <v>17</v>
      </c>
      <c r="B39" s="55">
        <v>73.140160000000009</v>
      </c>
      <c r="C39" s="107">
        <v>9.4256029066672742E-3</v>
      </c>
      <c r="D39" s="107">
        <v>1.1308773855388059</v>
      </c>
      <c r="E39" s="107">
        <v>2.9936934630162337E-2</v>
      </c>
      <c r="F39" s="107">
        <v>1.1405754449485443</v>
      </c>
    </row>
    <row r="40" spans="1:10" x14ac:dyDescent="0.35">
      <c r="A40" s="86" t="s">
        <v>2</v>
      </c>
      <c r="B40" s="55">
        <v>184.05867999999998</v>
      </c>
      <c r="C40" s="107">
        <v>6.877005188883123E-3</v>
      </c>
      <c r="D40" s="107">
        <v>0.82509837570600297</v>
      </c>
      <c r="E40" s="107">
        <v>2.1734001232229128E-2</v>
      </c>
      <c r="F40" s="107">
        <v>0.82804964610458276</v>
      </c>
    </row>
    <row r="41" spans="1:10" x14ac:dyDescent="0.35">
      <c r="A41" s="86" t="s">
        <v>10</v>
      </c>
      <c r="B41" s="55">
        <v>82.155659999999997</v>
      </c>
      <c r="C41" s="107">
        <v>9.4049630699792885E-3</v>
      </c>
      <c r="D41" s="107">
        <v>1.1284010320595874</v>
      </c>
      <c r="E41" s="107">
        <v>2.8578359455675884E-2</v>
      </c>
      <c r="F41" s="107">
        <v>1.0888147184987926</v>
      </c>
    </row>
    <row r="42" spans="1:10" x14ac:dyDescent="0.35">
      <c r="A42" s="93" t="s">
        <v>46</v>
      </c>
      <c r="B42" s="94">
        <v>357.04020000000003</v>
      </c>
      <c r="C42" s="97">
        <v>8.0109783938566766E-3</v>
      </c>
      <c r="D42" s="97">
        <v>0.96115170470890932</v>
      </c>
      <c r="E42" s="97">
        <v>2.5063049218321493E-2</v>
      </c>
      <c r="F42" s="97">
        <v>0.95488395412243632</v>
      </c>
    </row>
    <row r="43" spans="1:10" x14ac:dyDescent="0.35">
      <c r="A43" s="91" t="s">
        <v>13</v>
      </c>
      <c r="B43" s="92"/>
      <c r="C43" s="92"/>
      <c r="D43" s="95">
        <v>8.33477E-3</v>
      </c>
      <c r="E43" s="96"/>
      <c r="F43" s="95">
        <v>2.6247220000000002E-2</v>
      </c>
    </row>
  </sheetData>
  <mergeCells count="6">
    <mergeCell ref="A35:F35"/>
    <mergeCell ref="A3:F3"/>
    <mergeCell ref="C4:D4"/>
    <mergeCell ref="E4:F4"/>
    <mergeCell ref="A15:F15"/>
    <mergeCell ref="A27:F2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713203A9DAD6D4A9C46E88578CED4E3" ma:contentTypeVersion="5" ma:contentTypeDescription="Crie um novo documento." ma:contentTypeScope="" ma:versionID="f4b15a38aa3df6b88c445f8311e60c0d">
  <xsd:schema xmlns:xsd="http://www.w3.org/2001/XMLSchema" xmlns:xs="http://www.w3.org/2001/XMLSchema" xmlns:p="http://schemas.microsoft.com/office/2006/metadata/properties" xmlns:ns3="96fc37d9-ddc5-471c-bd4a-3f22637ad172" xmlns:ns4="9282dc4c-5913-4bd4-a335-47987adf296d" targetNamespace="http://schemas.microsoft.com/office/2006/metadata/properties" ma:root="true" ma:fieldsID="99bc4fbd70fd718d85f3da27834110d5" ns3:_="" ns4:_="">
    <xsd:import namespace="96fc37d9-ddc5-471c-bd4a-3f22637ad172"/>
    <xsd:import namespace="9282dc4c-5913-4bd4-a335-47987adf296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c37d9-ddc5-471c-bd4a-3f22637ad17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82dc4c-5913-4bd4-a335-47987adf29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8CA33EF-CA7B-4D50-B967-6DA4A150C8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0304A3C-E3C0-43EC-BEC6-2093D6D89C4C}">
  <ds:schemaRefs>
    <ds:schemaRef ds:uri="http://schemas.microsoft.com/office/infopath/2007/PartnerControls"/>
    <ds:schemaRef ds:uri="http://schemas.microsoft.com/office/2006/documentManagement/types"/>
    <ds:schemaRef ds:uri="96fc37d9-ddc5-471c-bd4a-3f22637ad172"/>
    <ds:schemaRef ds:uri="9282dc4c-5913-4bd4-a335-47987adf296d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FF477C3-4CF1-40AB-94EF-F12F028687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6fc37d9-ddc5-471c-bd4a-3f22637ad172"/>
    <ds:schemaRef ds:uri="9282dc4c-5913-4bd4-a335-47987adf29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RESUMO</vt:lpstr>
      <vt:lpstr>MOV RF</vt:lpstr>
      <vt:lpstr>Performance por Instituição</vt:lpstr>
      <vt:lpstr>RESUMO!Area_de_impressao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Shelden Diniz e Souza</dc:creator>
  <cp:lastModifiedBy>Shelden Diniz e Souza / SUAFI</cp:lastModifiedBy>
  <cp:lastPrinted>2023-01-09T18:40:00Z</cp:lastPrinted>
  <dcterms:created xsi:type="dcterms:W3CDTF">2013-05-10T19:51:06Z</dcterms:created>
  <dcterms:modified xsi:type="dcterms:W3CDTF">2024-04-09T19:49:50Z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0x010100E713203A9DAD6D4A9C46E88578CED4E3</vt:lpwstr>
  </property>
</Properties>
</file>