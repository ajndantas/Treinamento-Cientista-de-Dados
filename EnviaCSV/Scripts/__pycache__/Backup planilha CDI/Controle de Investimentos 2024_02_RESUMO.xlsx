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B63F2922-7C6B-4864-93B5-7B98F6B103BF}" xr6:coauthVersionLast="47" xr6:coauthVersionMax="47" xr10:uidLastSave="{00000000-0000-0000-0000-000000000000}"/>
  <bookViews>
    <workbookView xWindow="-19320" yWindow="-120" windowWidth="19440" windowHeight="14880" tabRatio="844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<sst xmlns="http://schemas.openxmlformats.org/spreadsheetml/2006/main" count="194" uniqueCount="58">
  <si>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</si>
  <si>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</si>
  <si>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</si>
  <si>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</si>
  <si>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</si>
  <si>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</si>
  <si>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</si>
  <si>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</si>
  <si>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</si>
  <si>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</si>
  <si>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</si>
  <si>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</si>
  <si>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</si>
  <si>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</si>
  <si>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</si>
  <si>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</si>
  <si>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</si>
  <si>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</si>
  <si>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</si>
  <si>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</si>
  <si>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</si>
  <si>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</si>
  <si>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</si>
  <si>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</si>
  <si>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</si>
  <si>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</si>
  <si>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</si>
  <si>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</si>
  <si>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</si>
  <si>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</si>
  <si>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</si>
  <si>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</si>
  <si>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</si>
  <si>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</si>
  <si>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</si>
  <si>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</si>
  <si>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</si>
  <si>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TOTAL DA CARTEIRA - CAIXA</t>
  </si>
  <si>
    <t/>
  </si>
  <si>
    <t>Bradesco H FI RF CP LP Performance Institucional</t>
  </si>
  <si>
    <t>Institucional Active FIX IB MMFI</t>
  </si>
  <si>
    <t>Itaú Institucional Global Dinamico RF LP FIC</t>
  </si>
  <si>
    <t>TOTAL DA CARTEIRA - BLOQUEIOS</t>
  </si>
  <si>
    <r>
      <t>Bradesco FI Multimercado Plus I</t>
    </r>
    <r>
      <rPr>
        <sz val="8"/>
        <color theme="1"/>
        <rFont val="Calibri"/>
        <family val="2"/>
        <scheme val="minor"/>
      </rPr>
      <t xml:space="preserve"> </t>
    </r>
  </si>
  <si>
    <t>Itaú Corporate Crédito Privado Dif IQ RF ¹</t>
  </si>
  <si>
    <t xml:space="preserve">Porto Seguro FI RF Ref. DI Crédito Privado </t>
  </si>
  <si>
    <t xml:space="preserve">Porto Seguro IMA-B5- FICFI RF Longo Prazo </t>
  </si>
  <si>
    <t xml:space="preserve">¹ </t>
  </si>
  <si>
    <t>Rend. (Mil)</t>
  </si>
  <si>
    <t>RENTABILIDADE E DESEMPENHO DATA BASE  29/02/2024 - POR FUNDO DE INVESTIMENTO</t>
  </si>
  <si>
    <t>RENTABILIDADE (%) - EVOLUÇÃO POR FUNDO - DATA BASE 29/02/2024</t>
  </si>
  <si>
    <t>RENTABILIDADE - EVOLUÇÃO POR CARTEIRA - DATA BASE 29/021/2024</t>
  </si>
  <si>
    <t>RENTABILIDADE E DESEMPENHO DATA BASE 29/02/2024- POR INSTITUIÇÃO</t>
  </si>
  <si>
    <t>RENTABILIDADE e DESEMPENHO - CARTEIRA RENDA FIXA - DATA BASE 29/02/2024 - POR  INSTITUIÇÃO</t>
  </si>
  <si>
    <t>RENTABILIDADE E DESEMPENHO DATA BASE 29/02/2024  - POR INSTITUIÇÃO</t>
  </si>
  <si>
    <t>RENTABILIDADE e DESEMPENHO - CARTEIRA CAIXA - DATA BASE 29/02/24 - POR  INSTITUIÇÃO</t>
  </si>
  <si>
    <t>RENTABILIDADE e DESEMPENHO - CARTEIRA DE BLOQUEIOS - DATA BASE 29/02/24 - POR  INSTITUIÇÃO</t>
  </si>
  <si>
    <t xml:space="preserve">Bradesco FI Multimercado Plus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</si>
</sst>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82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2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5" fillId="4" borderId="0" xfId="0" applyFont="1" applyFill="1"/>
    <xf numFmtId="43" fontId="5" fillId="4" borderId="0" xfId="1" applyFont="1" applyFill="1" applyBorder="1" applyAlignment="1">
      <alignment horizontal="center"/>
    </xf>
    <xf numFmtId="10" fontId="5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5" fillId="4" borderId="0" xfId="1" applyFont="1" applyFill="1" applyBorder="1"/>
    <xf numFmtId="10" fontId="5" fillId="4" borderId="0" xfId="2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1" applyFont="1" applyFill="1"/>
    <xf numFmtId="9" fontId="6" fillId="0" borderId="0" xfId="2" applyFont="1" applyFill="1"/>
    <xf numFmtId="9" fontId="2" fillId="6" borderId="3" xfId="2" applyFont="1" applyFill="1" applyBorder="1"/>
    <xf numFmtId="0" fontId="6" fillId="6" borderId="0" xfId="0" applyFont="1" applyFill="1" applyAlignment="1">
      <alignment horizontal="center"/>
    </xf>
    <xf numFmtId="43" fontId="6" fillId="6" borderId="0" xfId="1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165" fontId="7" fillId="0" borderId="0" xfId="0" applyNumberFormat="1" applyFont="1"/>
    <xf numFmtId="0" fontId="7" fillId="0" borderId="6" xfId="0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43" fontId="6" fillId="6" borderId="2" xfId="1" applyFont="1" applyFill="1" applyBorder="1"/>
    <xf numFmtId="9" fontId="6" fillId="6" borderId="0" xfId="2" applyFont="1" applyFill="1" applyBorder="1"/>
    <xf numFmtId="9" fontId="6" fillId="6" borderId="3" xfId="2" applyFont="1" applyFill="1" applyBorder="1"/>
    <xf numFmtId="168" fontId="7" fillId="0" borderId="6" xfId="2" applyNumberFormat="1" applyFont="1" applyFill="1" applyBorder="1" applyAlignment="1">
      <alignment horizontal="center" vertical="center" wrapText="1"/>
    </xf>
    <xf numFmtId="168" fontId="8" fillId="0" borderId="7" xfId="2" applyNumberFormat="1" applyFont="1" applyBorder="1" applyAlignment="1">
      <alignment horizontal="center" vertical="center" wrapText="1"/>
    </xf>
    <xf numFmtId="168" fontId="7" fillId="0" borderId="0" xfId="2" applyNumberFormat="1" applyFont="1" applyFill="1"/>
    <xf numFmtId="168" fontId="3" fillId="0" borderId="0" xfId="0" applyNumberFormat="1" applyFont="1"/>
    <xf numFmtId="168" fontId="7" fillId="0" borderId="0" xfId="2" applyNumberFormat="1" applyFont="1"/>
    <xf numFmtId="168" fontId="7" fillId="0" borderId="0" xfId="2" applyNumberFormat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165" fontId="10" fillId="0" borderId="0" xfId="0" applyNumberFormat="1" applyFont="1"/>
    <xf numFmtId="168" fontId="10" fillId="0" borderId="0" xfId="2" applyNumberFormat="1" applyFont="1" applyFill="1"/>
    <xf numFmtId="0" fontId="10" fillId="0" borderId="5" xfId="0" applyFont="1" applyBorder="1"/>
    <xf numFmtId="165" fontId="10" fillId="0" borderId="5" xfId="0" applyNumberFormat="1" applyFont="1" applyBorder="1"/>
    <xf numFmtId="168" fontId="10" fillId="0" borderId="5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7" fillId="0" borderId="4" xfId="0" applyFont="1" applyBorder="1" applyAlignment="1">
      <alignment horizontal="lef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8" fontId="7" fillId="8" borderId="4" xfId="2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43" fontId="6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1" fillId="0" borderId="4" xfId="0" applyFont="1" applyBorder="1"/>
    <xf numFmtId="0" fontId="0" fillId="3" borderId="4" xfId="0" applyFill="1" applyBorder="1"/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1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82" fontId="10" fillId="0" borderId="0" xfId="0" applyNumberFormat="1" applyFont="1"/>
    <xf numFmtId="182" fontId="7" fillId="0" borderId="4" xfId="0" applyNumberFormat="1" applyFont="1" applyBorder="1" applyAlignment="1">
      <alignment horizontal="center" vertical="center" wrapText="1"/>
    </xf>
    <xf numFmtId="182" fontId="7" fillId="0" borderId="6" xfId="0" applyNumberFormat="1" applyFont="1" applyBorder="1" applyAlignment="1">
      <alignment horizontal="center" vertical="center" wrapText="1"/>
    </xf>
    <xf numFmtId="182" fontId="3" fillId="0" borderId="4" xfId="0" applyNumberFormat="1" applyFont="1" applyBorder="1"/>
    <xf numFmtId="10" fontId="10" fillId="0" borderId="0" xfId="2" applyNumberFormat="1" applyFont="1" applyFill="1"/>
    <xf numFmtId="10" fontId="8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53664</xdr:rowOff>
    </xdr:from>
    <xdr:to>
      <xdr:col>1</xdr:col>
      <xdr:colOff>389050</xdr:colOff>
      <xdr:row>115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99</xdr:row>
      <xdr:rowOff>80492</xdr:rowOff>
    </xdr:from>
    <xdr:to>
      <xdr:col>6</xdr:col>
      <xdr:colOff>791514</xdr:colOff>
      <xdr:row>115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99</xdr:row>
      <xdr:rowOff>93906</xdr:rowOff>
    </xdr:from>
    <xdr:to>
      <xdr:col>9</xdr:col>
      <xdr:colOff>80493</xdr:colOff>
      <xdr:row>115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99</xdr:row>
      <xdr:rowOff>67077</xdr:rowOff>
    </xdr:from>
    <xdr:to>
      <xdr:col>14</xdr:col>
      <xdr:colOff>764682</xdr:colOff>
      <xdr:row>115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160986</xdr:rowOff>
    </xdr:from>
    <xdr:to>
      <xdr:col>1</xdr:col>
      <xdr:colOff>348803</xdr:colOff>
      <xdr:row>133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116</xdr:row>
      <xdr:rowOff>174403</xdr:rowOff>
    </xdr:from>
    <xdr:to>
      <xdr:col>6</xdr:col>
      <xdr:colOff>764684</xdr:colOff>
      <xdr:row>133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116</xdr:row>
      <xdr:rowOff>174403</xdr:rowOff>
    </xdr:from>
    <xdr:to>
      <xdr:col>9</xdr:col>
      <xdr:colOff>107326</xdr:colOff>
      <xdr:row>133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117</xdr:row>
      <xdr:rowOff>0</xdr:rowOff>
    </xdr:from>
    <xdr:to>
      <xdr:col>14</xdr:col>
      <xdr:colOff>791512</xdr:colOff>
      <xdr:row>133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135</xdr:row>
      <xdr:rowOff>120739</xdr:rowOff>
    </xdr:from>
    <xdr:to>
      <xdr:col>4</xdr:col>
      <xdr:colOff>160988</xdr:colOff>
      <xdr:row>152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135</xdr:row>
      <xdr:rowOff>80491</xdr:rowOff>
    </xdr:from>
    <xdr:to>
      <xdr:col>8</xdr:col>
      <xdr:colOff>1180563</xdr:colOff>
      <xdr:row>151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135</xdr:row>
      <xdr:rowOff>80492</xdr:rowOff>
    </xdr:from>
    <xdr:to>
      <xdr:col>13</xdr:col>
      <xdr:colOff>107324</xdr:colOff>
      <xdr:row>151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2589190</xdr:colOff>
      <xdr:row>2</xdr:row>
      <xdr:rowOff>107325</xdr:rowOff>
    </xdr:from>
    <xdr:to>
      <xdr:col>12</xdr:col>
      <xdr:colOff>238304</xdr:colOff>
      <xdr:row>21</xdr:row>
      <xdr:rowOff>86844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239108-FF63-B197-C1D8-B865EAFB6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3486" y="576867"/>
          <a:ext cx="3390945" cy="465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50487</xdr:colOff>
      <xdr:row>23</xdr:row>
      <xdr:rowOff>3175</xdr:rowOff>
    </xdr:from>
    <xdr:to>
      <xdr:col>14</xdr:col>
      <xdr:colOff>1039343</xdr:colOff>
      <xdr:row>85</xdr:row>
      <xdr:rowOff>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8D7179D-9A42-B909-4C34-692133FC4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004783" y="5664513"/>
          <a:ext cx="8394208" cy="305555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3"/>
  <sheetViews>
    <sheetView showGridLines="0" tabSelected="1" view="pageBreakPreview" zoomScale="71" zoomScaleNormal="71" zoomScaleSheetLayoutView="71" workbookViewId="0">
      <selection activeCell="C27" sqref="C27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1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7" t="s">
        <v>49</v>
      </c>
      <c r="B2" s="108"/>
      <c r="C2" s="108"/>
      <c r="D2" s="108"/>
      <c r="E2" s="108"/>
      <c r="F2" s="108"/>
      <c r="G2" s="108"/>
      <c r="H2" s="42"/>
      <c r="I2" s="100" t="s">
        <v>50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1">
        <v>2023</v>
      </c>
      <c r="E4" s="102"/>
      <c r="F4" s="102"/>
      <c r="G4" s="103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1" t="s">
        <v>7</v>
      </c>
      <c r="E5" s="102"/>
      <c r="F5" s="104" t="s">
        <v>14</v>
      </c>
      <c r="G5" s="105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48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17.629330000000003</v>
      </c>
      <c r="C8" s="90">
        <v>0.11977</v>
      </c>
      <c r="D8" s="94">
        <v>6.8432747038156272E-3</v>
      </c>
      <c r="E8" s="94">
        <v>0.85328040337054389</v>
      </c>
      <c r="F8" s="94">
        <v>1.5619536146840307E-2</v>
      </c>
      <c r="G8" s="94">
        <v>0.87926104678180939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72.4572</v>
      </c>
      <c r="C9" s="90">
        <v>0.64436000000000004</v>
      </c>
      <c r="D9" s="94">
        <v>8.9728465248954947E-3</v>
      </c>
      <c r="E9" s="94">
        <v>1.118814373749432</v>
      </c>
      <c r="F9" s="94">
        <v>2.0319805307525529E-2</v>
      </c>
      <c r="G9" s="94">
        <v>1.1438504394198465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16859.16404</v>
      </c>
      <c r="C10" s="90">
        <v>132.91173999999998</v>
      </c>
      <c r="D10" s="94">
        <v>7.8504858851720094E-3</v>
      </c>
      <c r="E10" s="94">
        <v>0.97886845884169116</v>
      </c>
      <c r="F10" s="94">
        <v>1.7381337926382301E-2</v>
      </c>
      <c r="G10" s="94">
        <v>0.97843708263454587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43</v>
      </c>
      <c r="B11" s="90">
        <v>19101.298469999998</v>
      </c>
      <c r="C11" s="90">
        <v>95.663759999999996</v>
      </c>
      <c r="D11" s="94">
        <v>7.1240167970194612E-3</v>
      </c>
      <c r="E11" s="94">
        <v>0.88828582649033916</v>
      </c>
      <c r="F11" s="94">
        <v>1.6405983756808018E-2</v>
      </c>
      <c r="G11" s="94">
        <v>0.92353206368515983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39</v>
      </c>
      <c r="B12" s="90">
        <v>28483.179479999999</v>
      </c>
      <c r="C12" s="90">
        <v>265.20201000000162</v>
      </c>
      <c r="D12" s="94">
        <v>9.3983353179560858E-3</v>
      </c>
      <c r="E12" s="94">
        <v>1.1718681038254661</v>
      </c>
      <c r="F12" s="94">
        <v>2.1880570424650525E-2</v>
      </c>
      <c r="G12" s="94">
        <v>1.2317096407279127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21089.51728</v>
      </c>
      <c r="C13" s="90">
        <v>115.68068</v>
      </c>
      <c r="D13" s="94">
        <v>8.6494532301149007E-3</v>
      </c>
      <c r="E13" s="94">
        <v>1.078490819170532</v>
      </c>
      <c r="F13" s="94">
        <v>1.8811407149706971E-2</v>
      </c>
      <c r="G13" s="94">
        <v>1.0589390994966317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40</v>
      </c>
      <c r="B14" s="90">
        <v>26197.069339999998</v>
      </c>
      <c r="C14" s="90">
        <v>204.75737000000001</v>
      </c>
      <c r="D14" s="94">
        <v>7.8776127469604162E-3</v>
      </c>
      <c r="E14" s="94">
        <v>0.98225087743086192</v>
      </c>
      <c r="F14" s="94">
        <v>1.7740495531870071E-2</v>
      </c>
      <c r="G14" s="94">
        <v>0.9986549232408245</v>
      </c>
      <c r="H14" s="39"/>
      <c r="I14" s="3"/>
      <c r="J14" s="16"/>
      <c r="K14" s="16"/>
      <c r="L14" s="17"/>
      <c r="M14" s="16"/>
      <c r="N14" s="17"/>
      <c r="O14" s="16"/>
    </row>
    <row r="15" spans="1:15" ht="20" customHeight="1" x14ac:dyDescent="0.45">
      <c r="A15" s="43" t="s">
        <v>44</v>
      </c>
      <c r="B15" s="90">
        <v>37248.19758</v>
      </c>
      <c r="C15" s="90">
        <v>366.22037999999998</v>
      </c>
      <c r="D15" s="94">
        <v>9.9725973488584696E-3</v>
      </c>
      <c r="E15" s="94">
        <v>1.2434722054546992</v>
      </c>
      <c r="F15" s="94">
        <v>2.1634794884730635E-2</v>
      </c>
      <c r="G15" s="94">
        <v>1.2178743477671135</v>
      </c>
      <c r="H15" s="38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33</v>
      </c>
      <c r="B16" s="90">
        <v>0</v>
      </c>
      <c r="C16" s="90">
        <v>7.0656800000000004</v>
      </c>
      <c r="D16" s="94">
        <v>7.435801973213918E-3</v>
      </c>
      <c r="E16" s="94">
        <v>0.92716197751783269</v>
      </c>
      <c r="F16" s="94">
        <v>1.6195606829077835E-2</v>
      </c>
      <c r="G16" s="94">
        <v>0.91168944326699841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41</v>
      </c>
      <c r="B17" s="90">
        <v>20949.651510000003</v>
      </c>
      <c r="C17" s="90">
        <v>106.26346000000001</v>
      </c>
      <c r="D17" s="94">
        <v>5.0981859972270005E-3</v>
      </c>
      <c r="E17" s="94">
        <v>0.63568721006426465</v>
      </c>
      <c r="F17" s="94">
        <v>1.4180657256963158E-2</v>
      </c>
      <c r="G17" s="94">
        <v>0.7982631127194999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2</v>
      </c>
      <c r="B18" s="90">
        <v>182.80154000000002</v>
      </c>
      <c r="C18" s="90">
        <v>1.2049300000000001</v>
      </c>
      <c r="D18" s="94">
        <v>6.3541518907046513E-3</v>
      </c>
      <c r="E18" s="94">
        <v>0.79229221725602761</v>
      </c>
      <c r="F18" s="94">
        <v>1.4755522240334606E-2</v>
      </c>
      <c r="G18" s="94">
        <v>0.83062363753186041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6</v>
      </c>
      <c r="B19" s="90">
        <v>20660.595920000003</v>
      </c>
      <c r="C19" s="90">
        <v>166.83886000000314</v>
      </c>
      <c r="D19" s="94">
        <v>8.1409607483799995E-3</v>
      </c>
      <c r="E19" s="94">
        <v>1.0150874503588545</v>
      </c>
      <c r="F19" s="94">
        <v>1.6307978882864838E-2</v>
      </c>
      <c r="G19" s="94">
        <v>0.91801513493369802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45</v>
      </c>
      <c r="B20" s="90">
        <v>38627.7958</v>
      </c>
      <c r="C20" s="90">
        <v>363.405049999997</v>
      </c>
      <c r="D20" s="94">
        <v>9.4972126761188047E-3</v>
      </c>
      <c r="E20" s="94">
        <v>1.1841970129674966</v>
      </c>
      <c r="F20" s="94">
        <v>2.0819300474375968E-2</v>
      </c>
      <c r="G20" s="94">
        <v>1.171968216999062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46</v>
      </c>
      <c r="B21" s="90">
        <v>10392.505140000001</v>
      </c>
      <c r="C21" s="90">
        <v>64.451380000000825</v>
      </c>
      <c r="D21" s="94">
        <v>6.2404181160524708E-3</v>
      </c>
      <c r="E21" s="94">
        <v>0.77811087786628241</v>
      </c>
      <c r="F21" s="94">
        <v>1.3437310873946284E-2</v>
      </c>
      <c r="G21" s="94">
        <v>0.75641836696595177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15</v>
      </c>
      <c r="B22" s="90">
        <v>57598.948170000003</v>
      </c>
      <c r="C22" s="90">
        <v>364.91388000000268</v>
      </c>
      <c r="D22" s="94">
        <v>8.4776509771853359E-3</v>
      </c>
      <c r="E22" s="94">
        <v>1.0570689850305157</v>
      </c>
      <c r="F22" s="94">
        <v>1.7657602393183369E-2</v>
      </c>
      <c r="G22" s="94">
        <v>0.99398867020952408</v>
      </c>
      <c r="H22" s="39"/>
      <c r="I22" s="13"/>
      <c r="J22" s="14"/>
      <c r="K22" s="14"/>
      <c r="L22" s="15"/>
      <c r="M22" s="14"/>
      <c r="N22" s="15"/>
      <c r="O22" s="14"/>
    </row>
    <row r="23" spans="1:15" ht="20" customHeight="1" thickBot="1" x14ac:dyDescent="0.5">
      <c r="A23" s="43" t="s">
        <v>16</v>
      </c>
      <c r="B23" s="90">
        <v>72857.303029999995</v>
      </c>
      <c r="C23" s="90">
        <v>772.47273999999459</v>
      </c>
      <c r="D23" s="94">
        <v>1.0716161945541369E-2</v>
      </c>
      <c r="E23" s="94">
        <v>1.3361864579800109</v>
      </c>
      <c r="F23" s="94">
        <v>2.4166605607437885E-2</v>
      </c>
      <c r="G23" s="94">
        <v>1.3603960286527084</v>
      </c>
      <c r="H23" s="38"/>
      <c r="I23" s="100" t="s">
        <v>51</v>
      </c>
      <c r="J23" s="100"/>
      <c r="K23" s="100"/>
      <c r="L23" s="100"/>
      <c r="M23" s="100"/>
      <c r="N23" s="100"/>
      <c r="O23" s="100"/>
    </row>
    <row r="24" spans="1:15" ht="20" customHeight="1" thickTop="1" x14ac:dyDescent="0.45">
      <c r="A24" s="43" t="s">
        <v>19</v>
      </c>
      <c r="B24" s="90">
        <v>37370.461560000003</v>
      </c>
      <c r="C24" s="90">
        <v>342.70529000000005</v>
      </c>
      <c r="D24" s="94">
        <v>8.7644345075077457E-3</v>
      </c>
      <c r="E24" s="94">
        <v>1.0928277083062441</v>
      </c>
      <c r="F24" s="94">
        <v>1.932964152836969E-2</v>
      </c>
      <c r="G24" s="94">
        <v>1.0881117521271313</v>
      </c>
      <c r="H24" s="38"/>
      <c r="J24" s="42"/>
      <c r="K24" s="42"/>
      <c r="L24" s="42"/>
      <c r="M24" s="42"/>
      <c r="N24" s="42"/>
      <c r="O24" s="42"/>
    </row>
    <row r="25" spans="1:15" ht="20" customHeight="1" x14ac:dyDescent="0.45">
      <c r="A25" s="43" t="s">
        <v>10</v>
      </c>
      <c r="B25" s="90">
        <v>81.390190000000004</v>
      </c>
      <c r="C25" s="90">
        <v>0.6948200000000001</v>
      </c>
      <c r="D25" s="94">
        <v>8.6104213708457777E-3</v>
      </c>
      <c r="E25" s="94">
        <v>1.0736239795268028</v>
      </c>
      <c r="F25" s="94">
        <v>1.8994751449787906E-2</v>
      </c>
      <c r="G25" s="94">
        <v>1.069259988650773</v>
      </c>
      <c r="H25" s="39"/>
      <c r="J25" s="14"/>
      <c r="K25" s="14"/>
      <c r="L25" s="15"/>
      <c r="M25" s="14"/>
      <c r="N25" s="15"/>
      <c r="O25" s="14"/>
    </row>
    <row r="26" spans="1:15" ht="18.5" x14ac:dyDescent="0.45">
      <c r="A26" s="43"/>
      <c r="B26" s="28"/>
      <c r="C26" s="28"/>
      <c r="D26" s="38"/>
      <c r="E26" s="38"/>
      <c r="F26" s="38"/>
      <c r="G26" s="38"/>
      <c r="H26" s="41"/>
      <c r="I26" s="3"/>
      <c r="J26" s="11"/>
      <c r="K26" s="11"/>
      <c r="L26" s="8"/>
      <c r="M26" s="11"/>
      <c r="N26" s="8"/>
      <c r="O26" s="11"/>
    </row>
    <row r="27" spans="1:15" ht="20.149999999999999" customHeight="1" x14ac:dyDescent="0.45">
      <c r="A27" s="29" t="s">
        <v>11</v>
      </c>
      <c r="B27" s="92">
        <v>407789.96558000002</v>
      </c>
      <c r="C27" s="92">
        <v>3371.2161600000004</v>
      </c>
      <c r="D27" s="36">
        <v>8.833715014057884E-3</v>
      </c>
      <c r="E27" s="36">
        <v>1.1014662185419732</v>
      </c>
      <c r="F27" s="36">
        <v>1.9571235108855948E-2</v>
      </c>
      <c r="G27" s="36">
        <v>1.1017116325894638</v>
      </c>
      <c r="H27" s="41"/>
      <c r="I27" s="59"/>
      <c r="J27" s="42"/>
      <c r="K27" s="42"/>
      <c r="L27" s="42"/>
      <c r="M27" s="42"/>
      <c r="N27" s="42"/>
      <c r="O27" s="42"/>
    </row>
    <row r="28" spans="1:15" ht="20.149999999999999" customHeight="1" thickBot="1" x14ac:dyDescent="0.5">
      <c r="A28" s="31" t="s">
        <v>13</v>
      </c>
      <c r="B28" s="32"/>
      <c r="C28" s="32"/>
      <c r="D28" s="32"/>
      <c r="E28" s="37">
        <v>8.0199599999999996E-3</v>
      </c>
      <c r="F28" s="95"/>
      <c r="G28" s="37">
        <v>1.7764390000000001E-2</v>
      </c>
      <c r="H28" s="41"/>
      <c r="I28" s="59"/>
      <c r="J28" s="42"/>
      <c r="K28" s="42"/>
      <c r="L28" s="42"/>
      <c r="M28" s="42"/>
      <c r="N28" s="42"/>
      <c r="O28" s="42"/>
    </row>
    <row r="29" spans="1:15" ht="14.25" customHeight="1" thickTop="1" x14ac:dyDescent="0.45">
      <c r="A29" s="55" t="s">
        <v>47</v>
      </c>
      <c r="B29" s="56"/>
      <c r="C29" s="56"/>
      <c r="D29" s="56"/>
      <c r="E29" s="56"/>
      <c r="F29" s="56"/>
      <c r="G29" s="56"/>
      <c r="H29" s="41"/>
      <c r="I29" s="13"/>
      <c r="J29" s="18"/>
      <c r="K29" s="18"/>
      <c r="L29" s="19"/>
      <c r="M29" s="18"/>
      <c r="N29" s="19"/>
      <c r="O29" s="18"/>
    </row>
    <row r="30" spans="1:15" ht="16.5" customHeight="1" x14ac:dyDescent="0.35">
      <c r="A30" s="58"/>
      <c r="B30" s="57"/>
      <c r="C30" s="57"/>
      <c r="D30" s="57"/>
      <c r="E30" s="57"/>
      <c r="F30" s="57"/>
      <c r="G30" s="57"/>
      <c r="H30" s="50"/>
      <c r="I30" s="13"/>
      <c r="J30" s="18"/>
      <c r="K30" s="18"/>
      <c r="L30" s="19"/>
      <c r="M30" s="18"/>
      <c r="N30" s="19"/>
      <c r="O30" s="18"/>
    </row>
    <row r="31" spans="1:15" ht="15.5" x14ac:dyDescent="0.35">
      <c r="A31" s="109"/>
      <c r="B31" s="110"/>
      <c r="C31" s="110"/>
      <c r="D31" s="110"/>
      <c r="E31" s="110"/>
      <c r="F31" s="110"/>
      <c r="G31" s="110"/>
      <c r="H31" s="50"/>
      <c r="I31" s="13"/>
      <c r="J31" s="18"/>
      <c r="K31" s="18"/>
      <c r="L31" s="19"/>
      <c r="M31" s="18"/>
      <c r="N31" s="19"/>
      <c r="O31" s="18"/>
    </row>
    <row r="32" spans="1:15" ht="15.75" customHeight="1" x14ac:dyDescent="0.35">
      <c r="A32" s="109"/>
      <c r="B32" s="110"/>
      <c r="C32" s="110"/>
      <c r="D32" s="110"/>
      <c r="E32" s="110"/>
      <c r="F32" s="110"/>
      <c r="G32" s="110"/>
      <c r="H32" s="2"/>
      <c r="I32" s="13"/>
      <c r="J32" s="18"/>
      <c r="K32" s="18"/>
      <c r="L32" s="19"/>
      <c r="M32" s="18"/>
      <c r="N32" s="19"/>
      <c r="O32" s="18"/>
    </row>
    <row r="33" spans="1:15" ht="5.25" customHeight="1" x14ac:dyDescent="0.35">
      <c r="A33" s="2"/>
      <c r="B33" s="2"/>
      <c r="C33" s="2"/>
      <c r="D33" s="2"/>
      <c r="E33" s="2"/>
      <c r="F33" s="2"/>
      <c r="G33" s="2"/>
      <c r="H33" s="2"/>
      <c r="I33" s="13"/>
      <c r="J33" s="18"/>
      <c r="K33" s="18"/>
      <c r="L33" s="19"/>
      <c r="M33" s="18"/>
      <c r="N33" s="19"/>
      <c r="O33" s="18"/>
    </row>
    <row r="34" spans="1:15" ht="23.25" hidden="1" customHeight="1" thickBot="1" x14ac:dyDescent="0.4">
      <c r="A34" s="100" t="s">
        <v>20</v>
      </c>
      <c r="B34" s="106"/>
      <c r="C34" s="106"/>
      <c r="D34" s="106"/>
      <c r="E34" s="106"/>
      <c r="F34" s="106"/>
      <c r="G34" s="106"/>
      <c r="I34" s="13"/>
      <c r="J34" s="18"/>
      <c r="K34" s="18"/>
      <c r="L34" s="19"/>
      <c r="M34" s="18"/>
      <c r="N34" s="19"/>
      <c r="O34" s="18"/>
    </row>
    <row r="35" spans="1:15" ht="15" hidden="1" thickTop="1" x14ac:dyDescent="0.35">
      <c r="I35" s="13"/>
      <c r="J35" s="18"/>
      <c r="K35" s="18"/>
      <c r="L35" s="19"/>
      <c r="M35" s="18"/>
      <c r="N35" s="19"/>
      <c r="O35" s="18"/>
    </row>
    <row r="36" spans="1:15" hidden="1" x14ac:dyDescent="0.35">
      <c r="I36" s="13"/>
      <c r="J36" s="18"/>
      <c r="K36" s="18"/>
      <c r="L36" s="19"/>
      <c r="M36" s="18"/>
      <c r="N36" s="19"/>
      <c r="O36" s="18"/>
    </row>
    <row r="37" spans="1:15" ht="18.5" hidden="1" x14ac:dyDescent="0.45">
      <c r="A37" s="27" t="s">
        <v>3</v>
      </c>
      <c r="B37" s="26" t="s">
        <v>9</v>
      </c>
      <c r="C37" s="26"/>
      <c r="D37" s="101">
        <v>2018</v>
      </c>
      <c r="E37" s="102"/>
      <c r="F37" s="102"/>
      <c r="G37" s="103"/>
    </row>
    <row r="38" spans="1:15" ht="18.5" hidden="1" x14ac:dyDescent="0.45">
      <c r="A38" s="27"/>
      <c r="B38" s="26"/>
      <c r="C38" s="26"/>
      <c r="D38" s="101" t="s">
        <v>7</v>
      </c>
      <c r="E38" s="102"/>
      <c r="F38" s="104" t="s">
        <v>14</v>
      </c>
      <c r="G38" s="105"/>
    </row>
    <row r="39" spans="1:15" ht="18.5" hidden="1" x14ac:dyDescent="0.45">
      <c r="A39" s="24" t="s">
        <v>12</v>
      </c>
      <c r="B39" s="25" t="s">
        <v>8</v>
      </c>
      <c r="C39" s="25"/>
      <c r="D39" s="33" t="s">
        <v>4</v>
      </c>
      <c r="E39" s="34" t="s">
        <v>5</v>
      </c>
      <c r="F39" s="33" t="s">
        <v>4</v>
      </c>
      <c r="G39" s="35" t="s">
        <v>5</v>
      </c>
    </row>
    <row r="40" spans="1:15" ht="18.5" hidden="1" x14ac:dyDescent="0.45">
      <c r="A40" s="20"/>
      <c r="D40" s="21"/>
      <c r="E40" s="22"/>
      <c r="F40" s="22"/>
      <c r="G40" s="22"/>
    </row>
    <row r="41" spans="1:15" ht="30" hidden="1" customHeight="1" x14ac:dyDescent="0.45">
      <c r="A41" s="43" t="s">
        <v>18</v>
      </c>
      <c r="B41" s="44">
        <v>16859.16404</v>
      </c>
      <c r="C41" s="44"/>
      <c r="D41" s="45">
        <v>7.8504858851720094E-3</v>
      </c>
      <c r="E41" s="45">
        <v>0.97886845884169116</v>
      </c>
      <c r="F41" s="45">
        <v>1.7381337926382301E-2</v>
      </c>
      <c r="G41" s="45">
        <v>0.97843708263454587</v>
      </c>
    </row>
    <row r="42" spans="1:15" ht="30" hidden="1" customHeight="1" x14ac:dyDescent="0.45">
      <c r="A42" s="43" t="s">
        <v>1</v>
      </c>
      <c r="B42" s="44">
        <v>21089.51728</v>
      </c>
      <c r="C42" s="44"/>
      <c r="D42" s="45">
        <v>8.6494532301149007E-3</v>
      </c>
      <c r="E42" s="45">
        <v>1.078490819170532</v>
      </c>
      <c r="F42" s="45">
        <v>1.8811407149706971E-2</v>
      </c>
      <c r="G42" s="45">
        <v>1.0589390994966317</v>
      </c>
      <c r="H42" s="43"/>
    </row>
    <row r="43" spans="1:15" ht="18.5" hidden="1" x14ac:dyDescent="0.45">
      <c r="A43" s="46"/>
      <c r="B43" s="47"/>
      <c r="C43" s="47"/>
      <c r="D43" s="48"/>
      <c r="E43" s="48"/>
      <c r="F43" s="48"/>
      <c r="G43" s="48"/>
    </row>
    <row r="44" spans="1:15" ht="18.75" hidden="1" customHeight="1" x14ac:dyDescent="0.35">
      <c r="A44" s="52" t="s">
        <v>11</v>
      </c>
      <c r="B44" s="53">
        <v>37948.681320000003</v>
      </c>
      <c r="C44" s="53"/>
      <c r="D44" s="54"/>
      <c r="E44" s="54"/>
      <c r="F44" s="54"/>
      <c r="G44" s="54"/>
    </row>
    <row r="45" spans="1:15" ht="16" hidden="1" thickBot="1" x14ac:dyDescent="0.4">
      <c r="A45" s="31" t="s">
        <v>13</v>
      </c>
      <c r="B45" s="32"/>
      <c r="C45" s="32"/>
      <c r="D45" s="32"/>
      <c r="E45" s="37">
        <v>8.0199599999999996E-3</v>
      </c>
      <c r="F45" s="37"/>
      <c r="G45" s="37">
        <v>1.7764390000000001E-2</v>
      </c>
    </row>
    <row r="46" spans="1:15" ht="15" hidden="1" thickTop="1" x14ac:dyDescent="0.35"/>
    <row r="47" spans="1:15" hidden="1" x14ac:dyDescent="0.35"/>
    <row r="48" spans="1:15" ht="15" hidden="1" thickBot="1" x14ac:dyDescent="0.4">
      <c r="A48" s="100" t="s">
        <v>21</v>
      </c>
      <c r="B48" s="106"/>
      <c r="C48" s="106"/>
      <c r="D48" s="106"/>
      <c r="E48" s="106"/>
      <c r="F48" s="106"/>
      <c r="G48" s="106"/>
    </row>
    <row r="49" spans="1:7" ht="13.5" hidden="1" customHeight="1" thickTop="1" x14ac:dyDescent="0.35"/>
    <row r="50" spans="1:7" ht="9.75" hidden="1" customHeight="1" x14ac:dyDescent="0.35"/>
    <row r="51" spans="1:7" ht="18.5" hidden="1" x14ac:dyDescent="0.45">
      <c r="A51" s="27" t="s">
        <v>3</v>
      </c>
      <c r="B51" s="26" t="s">
        <v>9</v>
      </c>
      <c r="C51" s="26"/>
      <c r="D51" s="101">
        <v>2018</v>
      </c>
      <c r="E51" s="102"/>
      <c r="F51" s="102"/>
      <c r="G51" s="103"/>
    </row>
    <row r="52" spans="1:7" ht="18.5" hidden="1" x14ac:dyDescent="0.45">
      <c r="A52" s="27"/>
      <c r="B52" s="26"/>
      <c r="C52" s="26"/>
      <c r="D52" s="101" t="s">
        <v>7</v>
      </c>
      <c r="E52" s="102"/>
      <c r="F52" s="104" t="s">
        <v>14</v>
      </c>
      <c r="G52" s="105"/>
    </row>
    <row r="53" spans="1:7" ht="18.5" hidden="1" x14ac:dyDescent="0.45">
      <c r="A53" s="24" t="s">
        <v>12</v>
      </c>
      <c r="B53" s="25" t="s">
        <v>8</v>
      </c>
      <c r="C53" s="25"/>
      <c r="D53" s="33" t="s">
        <v>4</v>
      </c>
      <c r="E53" s="34" t="s">
        <v>5</v>
      </c>
      <c r="F53" s="33" t="s">
        <v>4</v>
      </c>
      <c r="G53" s="35" t="s">
        <v>5</v>
      </c>
    </row>
    <row r="54" spans="1:7" ht="18.5" hidden="1" x14ac:dyDescent="0.45">
      <c r="A54" s="20"/>
      <c r="D54" s="21"/>
      <c r="E54" s="22"/>
      <c r="F54" s="22"/>
      <c r="G54" s="22"/>
    </row>
    <row r="55" spans="1:7" ht="30" hidden="1" customHeight="1" x14ac:dyDescent="0.45">
      <c r="A55" s="43" t="s">
        <v>57</v>
      </c>
      <c r="B55" s="44">
        <v>19101.298469999998</v>
      </c>
      <c r="C55" s="44"/>
      <c r="D55" s="45">
        <v>7.1240167970194612E-3</v>
      </c>
      <c r="E55" s="45">
        <v>0.88828582649033916</v>
      </c>
      <c r="F55" s="45">
        <v>1.6405983756808018E-2</v>
      </c>
      <c r="G55" s="45">
        <v>0.92353206368515983</v>
      </c>
    </row>
    <row r="56" spans="1:7" ht="30" hidden="1" customHeight="1" x14ac:dyDescent="0.45">
      <c r="A56" s="43" t="s">
        <v>40</v>
      </c>
      <c r="B56" s="44">
        <v>26197.069339999998</v>
      </c>
      <c r="C56" s="44"/>
      <c r="D56" s="45">
        <v>7.8776127469604162E-3</v>
      </c>
      <c r="E56" s="45">
        <v>0.98225087743086192</v>
      </c>
      <c r="F56" s="45">
        <v>1.7740495531870071E-2</v>
      </c>
      <c r="G56" s="45">
        <v>0.9986549232408245</v>
      </c>
    </row>
    <row r="57" spans="1:7" ht="30" hidden="1" customHeight="1" x14ac:dyDescent="0.45">
      <c r="A57" s="43" t="s">
        <v>44</v>
      </c>
      <c r="B57" s="44">
        <v>37248.19758</v>
      </c>
      <c r="C57" s="44"/>
      <c r="D57" s="45">
        <v>9.9725973488584696E-3</v>
      </c>
      <c r="E57" s="45">
        <v>1.2434722054546992</v>
      </c>
      <c r="F57" s="45">
        <v>2.1634794884730635E-2</v>
      </c>
      <c r="G57" s="45">
        <v>1.2178743477671135</v>
      </c>
    </row>
    <row r="58" spans="1:7" ht="30" hidden="1" customHeight="1" x14ac:dyDescent="0.45">
      <c r="A58" s="43" t="s">
        <v>33</v>
      </c>
      <c r="B58" s="44">
        <v>0</v>
      </c>
      <c r="C58" s="44"/>
      <c r="D58" s="45">
        <v>7.435801973213918E-3</v>
      </c>
      <c r="E58" s="45">
        <v>0.92716197751783269</v>
      </c>
      <c r="F58" s="45">
        <v>1.6195606829077835E-2</v>
      </c>
      <c r="G58" s="45">
        <v>0.91168944326699841</v>
      </c>
    </row>
    <row r="59" spans="1:7" ht="30" hidden="1" customHeight="1" x14ac:dyDescent="0.45">
      <c r="A59" s="43" t="s">
        <v>2</v>
      </c>
      <c r="B59" s="44">
        <v>182.80154000000002</v>
      </c>
      <c r="C59" s="44"/>
      <c r="D59" s="45">
        <v>6.3541518907046513E-3</v>
      </c>
      <c r="E59" s="45">
        <v>0.79229221725602761</v>
      </c>
      <c r="F59" s="45">
        <v>1.4755522240334606E-2</v>
      </c>
      <c r="G59" s="45">
        <v>0.83062363753186041</v>
      </c>
    </row>
    <row r="60" spans="1:7" ht="30" hidden="1" customHeight="1" x14ac:dyDescent="0.45">
      <c r="A60" s="43" t="s">
        <v>6</v>
      </c>
      <c r="B60" s="44">
        <v>20660.595920000003</v>
      </c>
      <c r="C60" s="44"/>
      <c r="D60" s="45">
        <v>8.1409607483799995E-3</v>
      </c>
      <c r="E60" s="45">
        <v>1.0150874503588545</v>
      </c>
      <c r="F60" s="45">
        <v>1.6307978882864838E-2</v>
      </c>
      <c r="G60" s="45">
        <v>0.91801513493369802</v>
      </c>
    </row>
    <row r="61" spans="1:7" ht="30" hidden="1" customHeight="1" x14ac:dyDescent="0.45">
      <c r="A61" s="43" t="s">
        <v>15</v>
      </c>
      <c r="B61" s="44">
        <v>57598.948170000003</v>
      </c>
      <c r="C61" s="44"/>
      <c r="D61" s="45">
        <v>8.4776509771853359E-3</v>
      </c>
      <c r="E61" s="45">
        <v>1.0570689850305157</v>
      </c>
      <c r="F61" s="45">
        <v>1.7657602393183369E-2</v>
      </c>
      <c r="G61" s="45">
        <v>0.99398867020952408</v>
      </c>
    </row>
    <row r="62" spans="1:7" ht="30" hidden="1" customHeight="1" x14ac:dyDescent="0.45">
      <c r="A62" s="43" t="s">
        <v>16</v>
      </c>
      <c r="B62" s="44">
        <v>72857.303029999995</v>
      </c>
      <c r="C62" s="44"/>
      <c r="D62" s="45">
        <v>1.0716161945541369E-2</v>
      </c>
      <c r="E62" s="45">
        <v>1.3361864579800109</v>
      </c>
      <c r="F62" s="45">
        <v>2.4166605607437885E-2</v>
      </c>
      <c r="G62" s="45">
        <v>1.3603960286527084</v>
      </c>
    </row>
    <row r="63" spans="1:7" ht="30" hidden="1" customHeight="1" x14ac:dyDescent="0.45">
      <c r="A63" s="43" t="e">
        <v>#REF!</v>
      </c>
      <c r="B63" s="44" t="e">
        <v>#REF!</v>
      </c>
      <c r="C63" s="44"/>
      <c r="D63" s="45" t="e">
        <v>#REF!</v>
      </c>
      <c r="E63" s="45" t="e">
        <v>#REF!</v>
      </c>
      <c r="F63" s="45" t="e">
        <v>#REF!</v>
      </c>
      <c r="G63" s="45" t="e">
        <v>#REF!</v>
      </c>
    </row>
    <row r="64" spans="1:7" ht="18.5" hidden="1" x14ac:dyDescent="0.45">
      <c r="A64" s="46"/>
      <c r="B64" s="47"/>
      <c r="C64" s="47"/>
      <c r="D64" s="48"/>
      <c r="E64" s="48"/>
      <c r="F64" s="48"/>
      <c r="G64" s="48"/>
    </row>
    <row r="65" spans="1:7" ht="18.5" hidden="1" x14ac:dyDescent="0.35">
      <c r="A65" s="52" t="s">
        <v>11</v>
      </c>
      <c r="B65" s="53" t="e">
        <v>#REF!</v>
      </c>
      <c r="C65" s="53"/>
      <c r="D65" s="54"/>
      <c r="E65" s="54"/>
      <c r="F65" s="54"/>
      <c r="G65" s="54"/>
    </row>
    <row r="66" spans="1:7" ht="16" hidden="1" thickBot="1" x14ac:dyDescent="0.4">
      <c r="A66" s="31" t="s">
        <v>13</v>
      </c>
      <c r="B66" s="32"/>
      <c r="C66" s="32"/>
      <c r="D66" s="32"/>
      <c r="E66" s="37">
        <v>8.0199599999999996E-3</v>
      </c>
      <c r="F66" s="37"/>
      <c r="G66" s="37">
        <v>1.7764390000000001E-2</v>
      </c>
    </row>
    <row r="67" spans="1:7" ht="15" hidden="1" thickTop="1" x14ac:dyDescent="0.35"/>
    <row r="68" spans="1:7" ht="15" hidden="1" thickBot="1" x14ac:dyDescent="0.4">
      <c r="A68" s="100" t="s">
        <v>22</v>
      </c>
      <c r="B68" s="106"/>
      <c r="C68" s="106"/>
      <c r="D68" s="106"/>
      <c r="E68" s="106"/>
      <c r="F68" s="106"/>
      <c r="G68" s="106"/>
    </row>
    <row r="69" spans="1:7" ht="15" hidden="1" thickTop="1" x14ac:dyDescent="0.35"/>
    <row r="70" spans="1:7" ht="18.5" hidden="1" x14ac:dyDescent="0.45">
      <c r="A70" s="27" t="s">
        <v>3</v>
      </c>
      <c r="B70" s="26" t="s">
        <v>9</v>
      </c>
      <c r="C70" s="26"/>
      <c r="D70" s="101">
        <v>2018</v>
      </c>
      <c r="E70" s="102"/>
      <c r="F70" s="102"/>
      <c r="G70" s="103"/>
    </row>
    <row r="71" spans="1:7" ht="18.5" hidden="1" x14ac:dyDescent="0.45">
      <c r="A71" s="27"/>
      <c r="B71" s="26"/>
      <c r="C71" s="26"/>
      <c r="D71" s="101" t="s">
        <v>7</v>
      </c>
      <c r="E71" s="102"/>
      <c r="F71" s="104" t="s">
        <v>14</v>
      </c>
      <c r="G71" s="105"/>
    </row>
    <row r="72" spans="1:7" ht="18.5" hidden="1" x14ac:dyDescent="0.45">
      <c r="A72" s="24" t="s">
        <v>12</v>
      </c>
      <c r="B72" s="25" t="s">
        <v>8</v>
      </c>
      <c r="C72" s="25"/>
      <c r="D72" s="33" t="s">
        <v>4</v>
      </c>
      <c r="E72" s="34" t="s">
        <v>5</v>
      </c>
      <c r="F72" s="33" t="s">
        <v>4</v>
      </c>
      <c r="G72" s="35" t="s">
        <v>5</v>
      </c>
    </row>
    <row r="73" spans="1:7" ht="18.5" hidden="1" x14ac:dyDescent="0.45">
      <c r="A73" s="20"/>
      <c r="D73" s="21"/>
      <c r="E73" s="22"/>
      <c r="F73" s="22"/>
      <c r="G73" s="22"/>
    </row>
    <row r="74" spans="1:7" ht="18.5" hidden="1" x14ac:dyDescent="0.45">
      <c r="A74" s="43" t="s">
        <v>0</v>
      </c>
      <c r="B74" s="44">
        <v>17.629330000000003</v>
      </c>
      <c r="C74" s="44"/>
      <c r="D74" s="45">
        <v>6.8432747038156272E-3</v>
      </c>
      <c r="E74" s="45">
        <v>0.85328040337054389</v>
      </c>
      <c r="F74" s="45">
        <v>1.5619536146840307E-2</v>
      </c>
      <c r="G74" s="45">
        <v>0.87926104678180939</v>
      </c>
    </row>
    <row r="75" spans="1:7" ht="18.5" hidden="1" x14ac:dyDescent="0.45">
      <c r="A75" s="43" t="s">
        <v>17</v>
      </c>
      <c r="B75" s="44">
        <v>72.4572</v>
      </c>
      <c r="C75" s="44"/>
      <c r="D75" s="45">
        <v>8.9728465248954947E-3</v>
      </c>
      <c r="E75" s="45">
        <v>1.118814373749432</v>
      </c>
      <c r="F75" s="45">
        <v>2.0319805307525529E-2</v>
      </c>
      <c r="G75" s="45">
        <v>1.1438504394198465</v>
      </c>
    </row>
    <row r="76" spans="1:7" ht="18.5" hidden="1" x14ac:dyDescent="0.45">
      <c r="A76" s="43" t="s">
        <v>41</v>
      </c>
      <c r="B76" s="44">
        <v>20949.651510000003</v>
      </c>
      <c r="C76" s="44"/>
      <c r="D76" s="45">
        <v>5.0981859972270005E-3</v>
      </c>
      <c r="E76" s="45">
        <v>0.63568721006426465</v>
      </c>
      <c r="F76" s="45">
        <v>1.4180657256963158E-2</v>
      </c>
      <c r="G76" s="45">
        <v>0.7982631127194999</v>
      </c>
    </row>
    <row r="77" spans="1:7" ht="18.5" hidden="1" x14ac:dyDescent="0.45">
      <c r="A77" s="43" t="s">
        <v>19</v>
      </c>
      <c r="B77" s="44">
        <v>37370.461560000003</v>
      </c>
      <c r="C77" s="44"/>
      <c r="D77" s="45">
        <v>8.7644345075077457E-3</v>
      </c>
      <c r="E77" s="45">
        <v>1.0928277083062441</v>
      </c>
      <c r="F77" s="45">
        <v>1.932964152836969E-2</v>
      </c>
      <c r="G77" s="45">
        <v>1.0881117521271313</v>
      </c>
    </row>
    <row r="78" spans="1:7" ht="18.5" hidden="1" x14ac:dyDescent="0.45">
      <c r="A78" s="46"/>
      <c r="B78" s="47"/>
      <c r="C78" s="47"/>
      <c r="D78" s="48"/>
      <c r="E78" s="48"/>
      <c r="F78" s="48"/>
      <c r="G78" s="48"/>
    </row>
    <row r="79" spans="1:7" ht="18.5" hidden="1" x14ac:dyDescent="0.35">
      <c r="A79" s="29" t="s">
        <v>11</v>
      </c>
      <c r="B79" s="30">
        <v>58410.199600000007</v>
      </c>
      <c r="C79" s="30"/>
      <c r="D79" s="36"/>
      <c r="E79" s="36"/>
      <c r="F79" s="36"/>
      <c r="G79" s="36"/>
    </row>
    <row r="80" spans="1:7" ht="16" hidden="1" thickBot="1" x14ac:dyDescent="0.4">
      <c r="A80" s="31" t="s">
        <v>13</v>
      </c>
      <c r="B80" s="32"/>
      <c r="C80" s="32"/>
      <c r="D80" s="32"/>
      <c r="E80" s="37">
        <v>8.0199599999999996E-3</v>
      </c>
      <c r="F80" s="37"/>
      <c r="G80" s="37">
        <v>1.7764390000000001E-2</v>
      </c>
    </row>
    <row r="82" spans="1:15" ht="23.25" customHeight="1" thickBot="1" x14ac:dyDescent="0.4">
      <c r="A82" s="100" t="s">
        <v>52</v>
      </c>
      <c r="B82" s="106"/>
      <c r="C82" s="106"/>
      <c r="D82" s="106"/>
      <c r="E82" s="106"/>
      <c r="F82" s="106"/>
      <c r="G82" s="106"/>
    </row>
    <row r="83" spans="1:15" ht="8" customHeight="1" thickTop="1" x14ac:dyDescent="0.35"/>
    <row r="84" spans="1:15" ht="9.75" customHeight="1" x14ac:dyDescent="0.35"/>
    <row r="85" spans="1:15" ht="18.5" x14ac:dyDescent="0.45">
      <c r="A85" s="27" t="s">
        <v>29</v>
      </c>
      <c r="B85" s="26" t="s">
        <v>9</v>
      </c>
      <c r="C85" s="26"/>
      <c r="D85" s="101">
        <v>2023</v>
      </c>
      <c r="E85" s="102"/>
      <c r="F85" s="102"/>
      <c r="G85" s="103"/>
    </row>
    <row r="86" spans="1:15" ht="18.5" x14ac:dyDescent="0.45">
      <c r="A86" s="27"/>
      <c r="B86" s="26"/>
      <c r="C86" s="26"/>
      <c r="D86" s="101" t="s">
        <v>7</v>
      </c>
      <c r="E86" s="102"/>
      <c r="F86" s="104" t="s">
        <v>14</v>
      </c>
      <c r="G86" s="105"/>
      <c r="I86" s="60" t="s">
        <v>32</v>
      </c>
    </row>
    <row r="87" spans="1:15" ht="22.5" customHeight="1" thickBot="1" x14ac:dyDescent="0.5">
      <c r="A87" s="24" t="s">
        <v>12</v>
      </c>
      <c r="B87" s="25" t="s">
        <v>8</v>
      </c>
      <c r="C87" s="25" t="s">
        <v>48</v>
      </c>
      <c r="D87" s="33" t="s">
        <v>30</v>
      </c>
      <c r="E87" s="34" t="s">
        <v>5</v>
      </c>
      <c r="F87" s="33" t="s">
        <v>30</v>
      </c>
      <c r="G87" s="35" t="s">
        <v>5</v>
      </c>
      <c r="I87" s="100" t="s">
        <v>53</v>
      </c>
      <c r="J87" s="106"/>
      <c r="K87" s="106"/>
      <c r="L87" s="106"/>
      <c r="M87" s="106"/>
      <c r="N87" s="106"/>
      <c r="O87" s="106"/>
    </row>
    <row r="88" spans="1:15" ht="19" thickTop="1" x14ac:dyDescent="0.45">
      <c r="A88" s="20"/>
      <c r="D88" s="21"/>
      <c r="E88" s="22"/>
      <c r="F88" s="22"/>
      <c r="G88" s="22"/>
      <c r="I88" s="62" t="s">
        <v>29</v>
      </c>
      <c r="J88" s="63"/>
      <c r="K88" s="89"/>
      <c r="L88" s="66" t="s">
        <v>36</v>
      </c>
      <c r="M88" s="67"/>
      <c r="N88" s="64" t="s">
        <v>14</v>
      </c>
      <c r="O88" s="65"/>
    </row>
    <row r="89" spans="1:15" ht="18.5" x14ac:dyDescent="0.45">
      <c r="A89" s="43" t="s">
        <v>24</v>
      </c>
      <c r="B89" s="90">
        <v>64533.728519999997</v>
      </c>
      <c r="C89" s="90">
        <v>494.54164000000162</v>
      </c>
      <c r="D89" s="94">
        <v>8.3196163331615541E-3</v>
      </c>
      <c r="E89" s="94">
        <v>1.0373638189169962</v>
      </c>
      <c r="F89" s="94">
        <v>1.9081282620623689E-2</v>
      </c>
      <c r="G89" s="94">
        <v>1.0741310352127873</v>
      </c>
      <c r="I89" s="61" t="s">
        <v>34</v>
      </c>
      <c r="J89" s="25" t="s">
        <v>8</v>
      </c>
      <c r="K89" s="25" t="s">
        <v>48</v>
      </c>
      <c r="L89" s="33" t="s">
        <v>30</v>
      </c>
      <c r="M89" s="34" t="s">
        <v>5</v>
      </c>
      <c r="N89" s="33" t="s">
        <v>30</v>
      </c>
      <c r="O89" s="35" t="s">
        <v>5</v>
      </c>
    </row>
    <row r="90" spans="1:15" ht="18.5" x14ac:dyDescent="0.45">
      <c r="A90" s="43" t="s">
        <v>25</v>
      </c>
      <c r="B90" s="90">
        <v>105667.23724999999</v>
      </c>
      <c r="C90" s="90">
        <v>801.1925</v>
      </c>
      <c r="D90" s="94">
        <v>8.2164654672751622E-3</v>
      </c>
      <c r="E90" s="94">
        <v>1.0245020507926674</v>
      </c>
      <c r="F90" s="94">
        <v>1.8616051798909027E-2</v>
      </c>
      <c r="G90" s="94">
        <v>1.0479420795709296</v>
      </c>
      <c r="I90" s="70" t="s">
        <v>24</v>
      </c>
      <c r="J90" s="90">
        <v>47584.47795</v>
      </c>
      <c r="K90" s="90">
        <v>360.86577000000159</v>
      </c>
      <c r="L90" s="94">
        <v>8.4853813725559255E-3</v>
      </c>
      <c r="M90" s="94">
        <v>1.0580328795350507</v>
      </c>
      <c r="N90" s="94">
        <v>1.9682969054467949E-2</v>
      </c>
      <c r="O90" s="94">
        <v>1.1080014036208363</v>
      </c>
    </row>
    <row r="91" spans="1:15" ht="18.5" x14ac:dyDescent="0.45">
      <c r="A91" s="43" t="s">
        <v>26</v>
      </c>
      <c r="B91" s="90">
        <v>69680.896860000008</v>
      </c>
      <c r="C91" s="90">
        <v>594.69529000000102</v>
      </c>
      <c r="D91" s="94">
        <v>8.6093477082719201E-3</v>
      </c>
      <c r="E91" s="94">
        <v>1.073490105720218</v>
      </c>
      <c r="F91" s="94">
        <v>1.8380698719942769E-2</v>
      </c>
      <c r="G91" s="94">
        <v>1.0346934918644979</v>
      </c>
      <c r="I91" s="70" t="s">
        <v>25</v>
      </c>
      <c r="J91" s="90">
        <v>84394.918429999991</v>
      </c>
      <c r="K91" s="90">
        <v>684.30689000000007</v>
      </c>
      <c r="L91" s="94">
        <v>8.112299608948409E-3</v>
      </c>
      <c r="M91" s="94">
        <v>1.0115137243762324</v>
      </c>
      <c r="N91" s="94">
        <v>1.8575596290907052E-2</v>
      </c>
      <c r="O91" s="94">
        <v>1.0456647422684962</v>
      </c>
    </row>
    <row r="92" spans="1:15" ht="18.5" x14ac:dyDescent="0.45">
      <c r="A92" s="43" t="s">
        <v>27</v>
      </c>
      <c r="B92" s="90">
        <v>57598.948170000003</v>
      </c>
      <c r="C92" s="90">
        <v>364.91388000000268</v>
      </c>
      <c r="D92" s="94">
        <v>8.4776509771853359E-3</v>
      </c>
      <c r="E92" s="94">
        <v>1.0570689850305157</v>
      </c>
      <c r="F92" s="94">
        <v>1.7657602393183369E-2</v>
      </c>
      <c r="G92" s="94">
        <v>0.99398867020952408</v>
      </c>
      <c r="I92" s="70" t="s">
        <v>26</v>
      </c>
      <c r="J92" s="90">
        <v>69680.896860000008</v>
      </c>
      <c r="K92" s="90">
        <v>594.69529000000102</v>
      </c>
      <c r="L92" s="94">
        <v>8.6093477082719201E-3</v>
      </c>
      <c r="M92" s="94">
        <v>1.073490105720218</v>
      </c>
      <c r="N92" s="94">
        <v>1.8380698719942769E-2</v>
      </c>
      <c r="O92" s="94">
        <v>1.0346934918644979</v>
      </c>
    </row>
    <row r="93" spans="1:15" ht="18.5" x14ac:dyDescent="0.45">
      <c r="A93" s="43" t="s">
        <v>28</v>
      </c>
      <c r="B93" s="90">
        <v>72857.303029999995</v>
      </c>
      <c r="C93" s="90">
        <v>772.47273999999459</v>
      </c>
      <c r="D93" s="94">
        <v>1.0716161945541369E-2</v>
      </c>
      <c r="E93" s="94">
        <v>1.3361864579800109</v>
      </c>
      <c r="F93" s="94">
        <v>2.4166605607437885E-2</v>
      </c>
      <c r="G93" s="94">
        <v>1.3603960286527084</v>
      </c>
      <c r="I93" s="70" t="s">
        <v>27</v>
      </c>
      <c r="J93" s="90">
        <v>57598.948170000003</v>
      </c>
      <c r="K93" s="90">
        <v>364.91388000000268</v>
      </c>
      <c r="L93" s="94">
        <v>8.4776509771853359E-3</v>
      </c>
      <c r="M93" s="94">
        <v>1.0570689850305157</v>
      </c>
      <c r="N93" s="94">
        <v>1.7657602393183369E-2</v>
      </c>
      <c r="O93" s="94">
        <v>0.99398867020952408</v>
      </c>
    </row>
    <row r="94" spans="1:15" ht="18.5" x14ac:dyDescent="0.45">
      <c r="A94" s="43" t="s">
        <v>31</v>
      </c>
      <c r="B94" s="90">
        <v>37451.851750000002</v>
      </c>
      <c r="C94" s="90">
        <v>343.40011000000004</v>
      </c>
      <c r="D94" s="94">
        <v>8.7640998068756106E-3</v>
      </c>
      <c r="E94" s="94">
        <v>1.0927859748521951</v>
      </c>
      <c r="F94" s="94">
        <v>1.9328913746808798E-2</v>
      </c>
      <c r="G94" s="94">
        <v>1.0880707835624415</v>
      </c>
      <c r="I94" s="70" t="s">
        <v>28</v>
      </c>
      <c r="J94" s="90">
        <v>72857.303029999995</v>
      </c>
      <c r="K94" s="90">
        <v>772.47273999999459</v>
      </c>
      <c r="L94" s="94">
        <v>1.0716161945541369E-2</v>
      </c>
      <c r="M94" s="94">
        <v>1.3361864579800109</v>
      </c>
      <c r="N94" s="94">
        <v>2.4166605607437885E-2</v>
      </c>
      <c r="O94" s="94">
        <v>1.3603960286527084</v>
      </c>
    </row>
    <row r="95" spans="1:15" ht="18.5" x14ac:dyDescent="0.45">
      <c r="A95" s="46"/>
      <c r="B95" s="47"/>
      <c r="C95" s="47"/>
      <c r="D95" s="48"/>
      <c r="E95" s="48"/>
      <c r="F95" s="48"/>
      <c r="G95" s="48"/>
      <c r="I95" s="70" t="s">
        <v>31</v>
      </c>
      <c r="J95" s="90">
        <v>37370.461560000003</v>
      </c>
      <c r="K95" s="90">
        <v>342.70529000000005</v>
      </c>
      <c r="L95" s="94">
        <v>8.7644345075077457E-3</v>
      </c>
      <c r="M95" s="94">
        <v>1.0928277083062441</v>
      </c>
      <c r="N95" s="94">
        <v>1.9329641528369686E-2</v>
      </c>
      <c r="O95" s="94">
        <v>1.0881117521271311</v>
      </c>
    </row>
    <row r="96" spans="1:15" ht="18.5" x14ac:dyDescent="0.35">
      <c r="A96" s="52" t="s">
        <v>11</v>
      </c>
      <c r="B96" s="91">
        <v>407789.96557999996</v>
      </c>
      <c r="C96" s="91">
        <v>3371.2161599999999</v>
      </c>
      <c r="D96" s="54"/>
      <c r="E96" s="54"/>
      <c r="F96" s="54"/>
      <c r="G96" s="54"/>
      <c r="I96" s="68" t="s">
        <v>35</v>
      </c>
      <c r="J96" s="93">
        <v>369487.00600000005</v>
      </c>
      <c r="K96" s="93">
        <v>3119.9598599999999</v>
      </c>
      <c r="L96" s="69"/>
      <c r="M96" s="69"/>
      <c r="N96" s="69"/>
      <c r="O96" s="69"/>
    </row>
    <row r="97" spans="1:15" hidden="1" x14ac:dyDescent="0.35"/>
    <row r="98" spans="1:15" ht="15" hidden="1" thickBot="1" x14ac:dyDescent="0.4">
      <c r="A98" s="100" t="s">
        <v>23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5" hidden="1" thickTop="1" x14ac:dyDescent="0.35"/>
    <row r="100" spans="1:15" hidden="1" x14ac:dyDescent="0.35"/>
    <row r="101" spans="1:15" hidden="1" x14ac:dyDescent="0.35"/>
    <row r="102" spans="1:15" hidden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mergeCells count="26">
    <mergeCell ref="I87:O87"/>
    <mergeCell ref="A2:G2"/>
    <mergeCell ref="D70:G70"/>
    <mergeCell ref="A31:G31"/>
    <mergeCell ref="I2:O2"/>
    <mergeCell ref="D5:E5"/>
    <mergeCell ref="F5:G5"/>
    <mergeCell ref="D4:G4"/>
    <mergeCell ref="A32:G32"/>
    <mergeCell ref="I23:O23"/>
    <mergeCell ref="A98:O98"/>
    <mergeCell ref="D37:G37"/>
    <mergeCell ref="D38:E38"/>
    <mergeCell ref="F38:G38"/>
    <mergeCell ref="A34:G34"/>
    <mergeCell ref="D71:E71"/>
    <mergeCell ref="F71:G71"/>
    <mergeCell ref="A68:G68"/>
    <mergeCell ref="A48:G48"/>
    <mergeCell ref="D51:G51"/>
    <mergeCell ref="D52:E52"/>
    <mergeCell ref="A82:G82"/>
    <mergeCell ref="D86:E86"/>
    <mergeCell ref="F86:G86"/>
    <mergeCell ref="F52:G52"/>
    <mergeCell ref="D85:G85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G24" sqref="G24:G25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54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1" t="s">
        <v>7</v>
      </c>
      <c r="D4" s="102"/>
      <c r="E4" s="104" t="s">
        <v>14</v>
      </c>
      <c r="F4" s="105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64533.728519999997</v>
      </c>
      <c r="C6" s="96">
        <v>8.3196163331615541E-3</v>
      </c>
      <c r="D6" s="96">
        <v>1.0373638189169962</v>
      </c>
      <c r="E6" s="96">
        <v>1.9081282620623689E-2</v>
      </c>
      <c r="F6" s="96">
        <v>1.0741310352127873</v>
      </c>
      <c r="G6" s="98"/>
    </row>
    <row r="7" spans="1:11" x14ac:dyDescent="0.35">
      <c r="A7" t="s">
        <v>25</v>
      </c>
      <c r="B7" s="49">
        <v>105667.23724999999</v>
      </c>
      <c r="C7" s="96">
        <v>8.2164654672751622E-3</v>
      </c>
      <c r="D7" s="96">
        <v>1.0245020507926674</v>
      </c>
      <c r="E7" s="96">
        <v>1.8616051798909027E-2</v>
      </c>
      <c r="F7" s="96">
        <v>1.0479420795709296</v>
      </c>
      <c r="G7" s="98"/>
      <c r="I7" s="51"/>
      <c r="J7" s="51"/>
      <c r="K7" s="49"/>
    </row>
    <row r="8" spans="1:11" x14ac:dyDescent="0.35">
      <c r="A8" t="s">
        <v>26</v>
      </c>
      <c r="B8" s="49">
        <v>69680.896860000008</v>
      </c>
      <c r="C8" s="96">
        <v>8.6093477082719201E-3</v>
      </c>
      <c r="D8" s="96">
        <v>1.073490105720218</v>
      </c>
      <c r="E8" s="96">
        <v>1.8380698719942769E-2</v>
      </c>
      <c r="F8" s="96">
        <v>1.0346934918644979</v>
      </c>
      <c r="G8" s="98"/>
      <c r="I8" s="51"/>
      <c r="J8" s="51"/>
      <c r="K8" s="49"/>
    </row>
    <row r="9" spans="1:11" x14ac:dyDescent="0.35">
      <c r="A9" t="s">
        <v>27</v>
      </c>
      <c r="B9" s="49">
        <v>57598.948170000003</v>
      </c>
      <c r="C9" s="96">
        <v>8.4776509771853359E-3</v>
      </c>
      <c r="D9" s="96">
        <v>1.0570689850305157</v>
      </c>
      <c r="E9" s="96">
        <v>1.7657602393183369E-2</v>
      </c>
      <c r="F9" s="96">
        <v>0.99398867020952408</v>
      </c>
      <c r="G9" s="98"/>
      <c r="I9" s="51"/>
      <c r="J9" s="51"/>
      <c r="K9" s="51"/>
    </row>
    <row r="10" spans="1:11" x14ac:dyDescent="0.35">
      <c r="A10" t="s">
        <v>28</v>
      </c>
      <c r="B10" s="49">
        <v>72857.303029999995</v>
      </c>
      <c r="C10" s="96">
        <v>1.0716161945541369E-2</v>
      </c>
      <c r="D10" s="96">
        <v>1.3361864579800109</v>
      </c>
      <c r="E10" s="96">
        <v>2.4166605607437885E-2</v>
      </c>
      <c r="F10" s="96">
        <v>1.3603960286527084</v>
      </c>
      <c r="G10" s="98"/>
    </row>
    <row r="11" spans="1:11" x14ac:dyDescent="0.35">
      <c r="A11" t="s">
        <v>31</v>
      </c>
      <c r="B11" s="49">
        <v>37451.851750000002</v>
      </c>
      <c r="C11" s="96">
        <v>8.7640998068756106E-3</v>
      </c>
      <c r="D11" s="96">
        <v>1.0927859748521951</v>
      </c>
      <c r="E11" s="96">
        <v>1.9328913746808798E-2</v>
      </c>
      <c r="F11" s="96">
        <v>1.0880707835624415</v>
      </c>
      <c r="G11" s="98"/>
      <c r="I11" s="49"/>
      <c r="J11" s="51"/>
    </row>
    <row r="12" spans="1:11" x14ac:dyDescent="0.35">
      <c r="A12" s="84" t="s">
        <v>11</v>
      </c>
      <c r="B12" s="85">
        <v>407789.96557999996</v>
      </c>
      <c r="C12" s="88">
        <v>8.833715014057884E-3</v>
      </c>
      <c r="D12" s="88">
        <v>1.1014662185419732</v>
      </c>
      <c r="E12" s="88">
        <v>1.9571235108855948E-2</v>
      </c>
      <c r="F12" s="88">
        <v>1.1017116325894638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8.0199599999999996E-3</v>
      </c>
      <c r="E13" s="87"/>
      <c r="F13" s="86">
        <v>1.7764390000000001E-2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53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36</v>
      </c>
      <c r="D16" s="67"/>
      <c r="E16" s="64" t="s">
        <v>14</v>
      </c>
      <c r="F16" s="65"/>
      <c r="I16" s="51"/>
    </row>
    <row r="17" spans="1:11" x14ac:dyDescent="0.35">
      <c r="A17" s="73" t="s">
        <v>34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47584.47795</v>
      </c>
      <c r="C18" s="96">
        <v>8.4853813725559255E-3</v>
      </c>
      <c r="D18" s="96">
        <v>1.0580328795350507</v>
      </c>
      <c r="E18" s="96">
        <v>1.9682969054467949E-2</v>
      </c>
      <c r="F18" s="96">
        <v>1.1080014036208363</v>
      </c>
      <c r="G18" s="98"/>
      <c r="I18" s="51"/>
    </row>
    <row r="19" spans="1:11" x14ac:dyDescent="0.35">
      <c r="A19" s="72" t="s">
        <v>25</v>
      </c>
      <c r="B19" s="49">
        <v>84394.918429999991</v>
      </c>
      <c r="C19" s="96">
        <v>8.112299608948409E-3</v>
      </c>
      <c r="D19" s="96">
        <v>1.0115137243762324</v>
      </c>
      <c r="E19" s="96">
        <v>1.8575596290907052E-2</v>
      </c>
      <c r="F19" s="96">
        <v>1.0456647422684962</v>
      </c>
      <c r="G19" s="98"/>
      <c r="I19" s="51"/>
    </row>
    <row r="20" spans="1:11" x14ac:dyDescent="0.35">
      <c r="A20" s="72" t="s">
        <v>26</v>
      </c>
      <c r="B20" s="49">
        <v>69680.896860000008</v>
      </c>
      <c r="C20" s="96">
        <v>8.6093477082719201E-3</v>
      </c>
      <c r="D20" s="96">
        <v>1.073490105720218</v>
      </c>
      <c r="E20" s="96">
        <v>1.8380698719942769E-2</v>
      </c>
      <c r="F20" s="96">
        <v>1.0346934918644979</v>
      </c>
      <c r="G20" s="98"/>
      <c r="I20" s="51"/>
    </row>
    <row r="21" spans="1:11" x14ac:dyDescent="0.35">
      <c r="A21" s="72" t="s">
        <v>27</v>
      </c>
      <c r="B21" s="49">
        <v>57598.948170000003</v>
      </c>
      <c r="C21" s="96">
        <v>8.4776509771853359E-3</v>
      </c>
      <c r="D21" s="96">
        <v>1.0570689850305157</v>
      </c>
      <c r="E21" s="96">
        <v>1.7657602393183369E-2</v>
      </c>
      <c r="F21" s="96">
        <v>0.99398867020952408</v>
      </c>
      <c r="G21" s="98"/>
      <c r="I21" s="51"/>
    </row>
    <row r="22" spans="1:11" x14ac:dyDescent="0.35">
      <c r="A22" s="72" t="s">
        <v>28</v>
      </c>
      <c r="B22" s="49">
        <v>72857.303029999995</v>
      </c>
      <c r="C22" s="96">
        <v>1.0716161945541369E-2</v>
      </c>
      <c r="D22" s="96">
        <v>1.3361864579800109</v>
      </c>
      <c r="E22" s="96">
        <v>2.4166605607437885E-2</v>
      </c>
      <c r="F22" s="96">
        <v>1.3603960286527084</v>
      </c>
      <c r="G22" s="98"/>
      <c r="I22" s="51"/>
    </row>
    <row r="23" spans="1:11" x14ac:dyDescent="0.35">
      <c r="A23" s="72" t="s">
        <v>31</v>
      </c>
      <c r="B23" s="49">
        <v>37370.461560000003</v>
      </c>
      <c r="C23" s="96">
        <v>8.7644345075077457E-3</v>
      </c>
      <c r="D23" s="96">
        <v>1.0928277083062441</v>
      </c>
      <c r="E23" s="96">
        <v>1.9329641528369686E-2</v>
      </c>
      <c r="F23" s="96">
        <v>1.0881117521271311</v>
      </c>
      <c r="G23" s="98"/>
      <c r="I23" s="51"/>
    </row>
    <row r="24" spans="1:11" x14ac:dyDescent="0.35">
      <c r="A24" s="84" t="s">
        <v>35</v>
      </c>
      <c r="B24" s="85">
        <v>369487.00600000005</v>
      </c>
      <c r="C24" s="88">
        <v>8.890439239342799E-3</v>
      </c>
      <c r="D24" s="88">
        <v>1.1085390998636899</v>
      </c>
      <c r="E24" s="88">
        <v>1.971707760446979E-2</v>
      </c>
      <c r="F24" s="88">
        <v>1.1099214554774912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8.0199599999999996E-3</v>
      </c>
      <c r="E25" s="87"/>
      <c r="F25" s="86">
        <v>1.7764390000000001E-2</v>
      </c>
      <c r="I25" s="49"/>
    </row>
    <row r="27" spans="1:11" ht="15" thickBot="1" x14ac:dyDescent="0.4">
      <c r="A27" s="117" t="s">
        <v>55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36</v>
      </c>
      <c r="D28" s="67"/>
      <c r="E28" s="64" t="s">
        <v>14</v>
      </c>
      <c r="F28" s="65"/>
    </row>
    <row r="29" spans="1:11" x14ac:dyDescent="0.35">
      <c r="A29" s="73" t="s">
        <v>34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16859.16404</v>
      </c>
      <c r="C30" s="97">
        <v>7.8504858851720094E-3</v>
      </c>
      <c r="D30" s="97">
        <v>0.97886845884169116</v>
      </c>
      <c r="E30" s="97">
        <v>1.7381337926382301E-2</v>
      </c>
      <c r="F30" s="97">
        <v>0.97843708263454587</v>
      </c>
      <c r="G30" s="98"/>
    </row>
    <row r="31" spans="1:11" x14ac:dyDescent="0.35">
      <c r="A31" s="77" t="s">
        <v>25</v>
      </c>
      <c r="B31" s="78">
        <v>21089.51728</v>
      </c>
      <c r="C31" s="97">
        <v>8.6494532301149007E-3</v>
      </c>
      <c r="D31" s="97">
        <v>1.078490819170532</v>
      </c>
      <c r="E31" s="97">
        <v>1.8811407149706971E-2</v>
      </c>
      <c r="F31" s="97">
        <v>1.0589390994966317</v>
      </c>
      <c r="G31" s="98"/>
      <c r="I31" s="51"/>
    </row>
    <row r="32" spans="1:11" x14ac:dyDescent="0.35">
      <c r="A32" s="84" t="s">
        <v>37</v>
      </c>
      <c r="B32" s="85">
        <v>37948.681320000003</v>
      </c>
      <c r="C32" s="88">
        <v>8.2945022525720662E-3</v>
      </c>
      <c r="D32" s="88">
        <v>1.0342323718038575</v>
      </c>
      <c r="E32" s="88">
        <v>1.8176081473400017E-2</v>
      </c>
      <c r="F32" s="88">
        <v>1.0231750976757443</v>
      </c>
      <c r="I32" s="51"/>
    </row>
    <row r="33" spans="1:10" x14ac:dyDescent="0.35">
      <c r="A33" s="82" t="s">
        <v>13</v>
      </c>
      <c r="B33" s="83"/>
      <c r="C33" s="83"/>
      <c r="D33" s="86">
        <v>8.0199599999999996E-3</v>
      </c>
      <c r="E33" s="87"/>
      <c r="F33" s="86">
        <v>1.7764390000000001E-2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56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36</v>
      </c>
      <c r="D36" s="67"/>
      <c r="E36" s="64" t="s">
        <v>14</v>
      </c>
      <c r="F36" s="65"/>
      <c r="J36" s="81" t="s">
        <v>38</v>
      </c>
    </row>
    <row r="37" spans="1:10" x14ac:dyDescent="0.35">
      <c r="A37" s="73" t="s">
        <v>34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17.629330000000003</v>
      </c>
      <c r="C38" s="97">
        <v>6.8432747038156272E-3</v>
      </c>
      <c r="D38" s="97">
        <v>0.85328040337054389</v>
      </c>
      <c r="E38" s="97">
        <v>1.5619536146840307E-2</v>
      </c>
      <c r="F38" s="97">
        <v>0.87926104678180939</v>
      </c>
    </row>
    <row r="39" spans="1:10" x14ac:dyDescent="0.35">
      <c r="A39" s="77" t="s">
        <v>17</v>
      </c>
      <c r="B39" s="49">
        <v>72.4572</v>
      </c>
      <c r="C39" s="97">
        <v>8.9728465248954947E-3</v>
      </c>
      <c r="D39" s="97">
        <v>1.118814373749432</v>
      </c>
      <c r="E39" s="97">
        <v>2.0319805307525529E-2</v>
      </c>
      <c r="F39" s="97">
        <v>1.1438504394198465</v>
      </c>
    </row>
    <row r="40" spans="1:10" x14ac:dyDescent="0.35">
      <c r="A40" s="77" t="s">
        <v>2</v>
      </c>
      <c r="B40" s="49">
        <v>182.80154000000002</v>
      </c>
      <c r="C40" s="97">
        <v>6.3541518907046513E-3</v>
      </c>
      <c r="D40" s="97">
        <v>0.79229221725602761</v>
      </c>
      <c r="E40" s="97">
        <v>1.4755522240334606E-2</v>
      </c>
      <c r="F40" s="97">
        <v>0.83062363753186041</v>
      </c>
    </row>
    <row r="41" spans="1:10" x14ac:dyDescent="0.35">
      <c r="A41" s="77" t="s">
        <v>10</v>
      </c>
      <c r="B41" s="49">
        <v>81.390190000000004</v>
      </c>
      <c r="C41" s="97">
        <v>8.6104213708457777E-3</v>
      </c>
      <c r="D41" s="97">
        <v>1.0736239795268028</v>
      </c>
      <c r="E41" s="97">
        <v>1.8994751449787906E-2</v>
      </c>
      <c r="F41" s="97">
        <v>1.069259988650773</v>
      </c>
    </row>
    <row r="42" spans="1:10" x14ac:dyDescent="0.35">
      <c r="A42" s="84" t="s">
        <v>42</v>
      </c>
      <c r="B42" s="85">
        <v>354.27826000000005</v>
      </c>
      <c r="C42" s="88">
        <v>7.4324127752738644E-3</v>
      </c>
      <c r="D42" s="88">
        <v>0.9267393821507669</v>
      </c>
      <c r="E42" s="88">
        <v>1.6910427337106272E-2</v>
      </c>
      <c r="F42" s="88">
        <v>0.9519283992924199</v>
      </c>
    </row>
    <row r="43" spans="1:10" x14ac:dyDescent="0.35">
      <c r="A43" s="82" t="s">
        <v>13</v>
      </c>
      <c r="B43" s="83"/>
      <c r="C43" s="83"/>
      <c r="D43" s="86">
        <v>8.0199599999999996E-3</v>
      </c>
      <c r="E43" s="87"/>
      <c r="F43" s="86">
        <v>1.7764390000000001E-2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2024-03-08T19:04:22Z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