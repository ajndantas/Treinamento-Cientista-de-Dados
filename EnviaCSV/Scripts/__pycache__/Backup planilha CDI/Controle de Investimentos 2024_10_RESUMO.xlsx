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4\CNSEG\"/>
    </mc:Choice>
  </mc:AlternateContent>
  <xr:revisionPtr revIDLastSave="0" documentId="13_ncr:1_{11878441-7497-443A-930E-94B70CD264FE}" xr6:coauthVersionLast="47" xr6:coauthVersionMax="47" xr10:uidLastSave="{00000000-0000-0000-0000-000000000000}"/>
  <bookViews>
    <workbookView xWindow="-19320" yWindow="-120" windowWidth="19440" windowHeight="14880" tabRatio="844" xr2:uid="{00000000-000D-0000-FFFF-FFFF00000000}"/>
  </bookViews>
  <sheets>
    <sheet name="RESUMO" sheetId="3" r:id="rId1"/>
    <sheet name="Performance por Instituição" sheetId="16" r:id="rId2"/>
  </sheets>
  <definedNames>
    <definedName name="_xlnm.Print_Area" localSheetId="0">RESUMO!$A$1:$O$99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<sst xmlns="http://schemas.openxmlformats.org/spreadsheetml/2006/main" count="197" uniqueCount="60">
  <si>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</si>
  <si>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</si>
  <si>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</si>
  <si>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</si>
  <si>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</si>
  <si>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</si>
  <si>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</si>
  <si>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</si>
  <si>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</si>
  <si>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</si>
  <si>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</si>
  <si>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</si>
  <si>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</si>
  <si>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</si>
  <si>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</si>
  <si>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</si>
  <si>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</si>
  <si>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</si>
  <si>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</si>
  <si>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</si>
  <si>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</si>
  <si>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</si>
  <si>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</si>
  <si>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</si>
  <si>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</si>
  <si>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</si>
  <si>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</si>
  <si>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</si>
  <si>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</si>
  <si>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</si>
  <si>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</si>
  <si>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</si>
  <si>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</si>
  <si>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Itaú Institucional Legend RF Longo Prazo FICFI</t>
  </si>
  <si>
    <t>BENCH = CDI</t>
  </si>
  <si>
    <t>TOTAL DA CARTEIRA - RENDA FIXA</t>
  </si>
  <si>
    <t xml:space="preserve"> MÊS</t>
  </si>
  <si>
    <t>Institucional Active Fix IB MMFI</t>
  </si>
  <si>
    <t xml:space="preserve">Itaú Corporate Crédito Privado Dif IQ RF </t>
  </si>
  <si>
    <t>Itaú Instiucional Global Dinamico RFLP FIC</t>
  </si>
  <si>
    <t>Bradesco FI Multimercado Plus I</t>
  </si>
  <si>
    <t>TOTAL DA CARTEIRA - CAIXA</t>
  </si>
  <si>
    <t/>
  </si>
  <si>
    <t>Bradesco H FI RF CP LP Performance Institucional</t>
  </si>
  <si>
    <t>TOTAL DA CARTEIRA - BLOQUEIOS</t>
  </si>
  <si>
    <t>Porto Seguro FI RF Referenciado DI Crédito Privado</t>
  </si>
  <si>
    <t>Porto Seguro IMA-B5- FICFI RF Longo Prazo</t>
  </si>
  <si>
    <t>Rend. (Mil)</t>
  </si>
  <si>
    <t>Itaú Soberado RF Simples FICFI</t>
  </si>
  <si>
    <t>Itaú Institucional Janeiro RF LP FIF CIC RL</t>
  </si>
  <si>
    <t>Itaú Institucional Optimus RF LP FIC FI</t>
  </si>
  <si>
    <t xml:space="preserve">¹ </t>
  </si>
  <si>
    <t>RENTABILIDADE E DESEMPENHO DATA BASE 31/10/2024 - POR FUNDO DE INVESTIMENTO</t>
  </si>
  <si>
    <t>RENTABILIDADE (%) - EVOLUÇÃO POR FUNDO - DATA BASE 31/10/2024</t>
  </si>
  <si>
    <t>RENTABILIDADE - EVOLUÇÃO POR CARTEIRA - DATA BASE 31/10/2024</t>
  </si>
  <si>
    <t>RENTABILIDADE E DESEMPENHO DATA BASE 31/10/2024- POR INSTITUIÇÃO</t>
  </si>
  <si>
    <t>RENTABILIDADE e DESEMPENHO - CARTEIRA RENDA FIXA - DATA BASE 31/10/2024 - POR  INSTITUIÇÃO</t>
  </si>
  <si>
    <t>RENTABILIDADE E DESEMPENHO DATA BASE 31/10/2024  - POR INSTITUIÇÃO</t>
  </si>
  <si>
    <t>RENTABILIDADE e DESEMPENHO - CARTEIRA CAIXA - DATA BASE 31/10/24 - POR  INSTITUIÇÃO</t>
  </si>
  <si>
    <t>RENTABILIDADE e DESEMPENHO - CARTEIRA DE BLOQUEIOS - DATA BASE 31/10/24 - POR  INSTITUIÇÃO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</si>
</sst>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  <numFmt numFmtId="168" formatCode="0.000%"/>
    <numFmt numFmtId="182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1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119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4" fillId="4" borderId="0" xfId="0" applyFont="1" applyFill="1"/>
    <xf numFmtId="43" fontId="4" fillId="4" borderId="0" xfId="1" applyFont="1" applyFill="1" applyBorder="1" applyAlignment="1">
      <alignment horizontal="center"/>
    </xf>
    <xf numFmtId="10" fontId="4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4" fillId="4" borderId="0" xfId="1" applyFont="1" applyFill="1" applyBorder="1"/>
    <xf numFmtId="10" fontId="4" fillId="4" borderId="0" xfId="2" applyNumberFormat="1" applyFont="1" applyFill="1" applyBorder="1"/>
    <xf numFmtId="0" fontId="5" fillId="0" borderId="0" xfId="0" applyFont="1" applyAlignment="1">
      <alignment horizontal="center"/>
    </xf>
    <xf numFmtId="43" fontId="5" fillId="0" borderId="0" xfId="1" applyFont="1" applyFill="1"/>
    <xf numFmtId="9" fontId="5" fillId="0" borderId="0" xfId="2" applyFont="1" applyFill="1"/>
    <xf numFmtId="9" fontId="2" fillId="6" borderId="3" xfId="2" applyFont="1" applyFill="1" applyBorder="1"/>
    <xf numFmtId="0" fontId="5" fillId="6" borderId="0" xfId="0" applyFont="1" applyFill="1" applyAlignment="1">
      <alignment horizontal="center"/>
    </xf>
    <xf numFmtId="43" fontId="5" fillId="6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center"/>
    </xf>
    <xf numFmtId="165" fontId="6" fillId="0" borderId="0" xfId="0" applyNumberFormat="1" applyFont="1"/>
    <xf numFmtId="0" fontId="6" fillId="0" borderId="6" xfId="0" applyFont="1" applyBorder="1" applyAlignment="1">
      <alignment horizontal="left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43" fontId="5" fillId="6" borderId="2" xfId="1" applyFont="1" applyFill="1" applyBorder="1"/>
    <xf numFmtId="9" fontId="5" fillId="6" borderId="0" xfId="2" applyFont="1" applyFill="1" applyBorder="1"/>
    <xf numFmtId="9" fontId="5" fillId="6" borderId="3" xfId="2" applyFont="1" applyFill="1" applyBorder="1"/>
    <xf numFmtId="168" fontId="6" fillId="0" borderId="6" xfId="2" applyNumberFormat="1" applyFont="1" applyFill="1" applyBorder="1" applyAlignment="1">
      <alignment horizontal="center" vertical="center" wrapText="1"/>
    </xf>
    <xf numFmtId="168" fontId="7" fillId="0" borderId="7" xfId="2" applyNumberFormat="1" applyFont="1" applyBorder="1" applyAlignment="1">
      <alignment horizontal="center" vertical="center" wrapText="1"/>
    </xf>
    <xf numFmtId="168" fontId="6" fillId="0" borderId="0" xfId="2" applyNumberFormat="1" applyFont="1" applyFill="1"/>
    <xf numFmtId="168" fontId="3" fillId="0" borderId="0" xfId="0" applyNumberFormat="1" applyFont="1"/>
    <xf numFmtId="168" fontId="6" fillId="0" borderId="0" xfId="2" applyNumberFormat="1" applyFont="1"/>
    <xf numFmtId="168" fontId="6" fillId="0" borderId="0" xfId="2" applyNumberFormat="1" applyFont="1" applyBorder="1"/>
    <xf numFmtId="0" fontId="0" fillId="0" borderId="0" xfId="0" applyAlignment="1">
      <alignment horizontal="center" vertical="center"/>
    </xf>
    <xf numFmtId="0" fontId="9" fillId="0" borderId="0" xfId="0" applyFont="1"/>
    <xf numFmtId="165" fontId="9" fillId="0" borderId="0" xfId="0" applyNumberFormat="1" applyFont="1"/>
    <xf numFmtId="168" fontId="9" fillId="0" borderId="0" xfId="2" applyNumberFormat="1" applyFont="1" applyFill="1"/>
    <xf numFmtId="0" fontId="9" fillId="0" borderId="5" xfId="0" applyFont="1" applyBorder="1"/>
    <xf numFmtId="165" fontId="9" fillId="0" borderId="5" xfId="0" applyNumberFormat="1" applyFont="1" applyBorder="1"/>
    <xf numFmtId="168" fontId="9" fillId="0" borderId="5" xfId="2" applyNumberFormat="1" applyFont="1" applyFill="1" applyBorder="1"/>
    <xf numFmtId="165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6" fillId="0" borderId="4" xfId="0" applyFont="1" applyBorder="1" applyAlignment="1">
      <alignment horizontal="left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8" fontId="6" fillId="8" borderId="4" xfId="2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43" fontId="5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10" fillId="0" borderId="4" xfId="0" applyFont="1" applyBorder="1"/>
    <xf numFmtId="0" fontId="0" fillId="3" borderId="4" xfId="0" applyFill="1" applyBorder="1"/>
    <xf numFmtId="0" fontId="9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5" fontId="1" fillId="0" borderId="0" xfId="0" applyNumberFormat="1" applyFont="1"/>
    <xf numFmtId="168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0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10" fontId="3" fillId="0" borderId="5" xfId="2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10" fontId="3" fillId="0" borderId="6" xfId="2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82" fontId="9" fillId="0" borderId="0" xfId="0" applyNumberFormat="1" applyFont="1"/>
    <xf numFmtId="182" fontId="6" fillId="0" borderId="4" xfId="0" applyNumberFormat="1" applyFont="1" applyBorder="1" applyAlignment="1">
      <alignment horizontal="center" vertical="center" wrapText="1"/>
    </xf>
    <xf numFmtId="182" fontId="6" fillId="0" borderId="6" xfId="0" applyNumberFormat="1" applyFont="1" applyBorder="1" applyAlignment="1">
      <alignment horizontal="center" vertical="center" wrapText="1"/>
    </xf>
    <xf numFmtId="182" fontId="3" fillId="0" borderId="4" xfId="0" applyNumberFormat="1" applyFont="1" applyBorder="1"/>
    <xf numFmtId="10" fontId="9" fillId="0" borderId="0" xfId="2" applyNumberFormat="1" applyFont="1" applyFill="1"/>
    <xf numFmtId="10" fontId="7" fillId="0" borderId="7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166" fontId="0" fillId="0" borderId="0" xfId="2" applyNumberFormat="1" applyFont="1"/>
    <xf numFmtId="166" fontId="0" fillId="0" borderId="0" xfId="1" applyNumberFormat="1" applyFont="1"/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102</xdr:row>
      <xdr:rowOff>53664</xdr:rowOff>
    </xdr:from>
    <xdr:to>
      <xdr:col>1</xdr:col>
      <xdr:colOff>389050</xdr:colOff>
      <xdr:row>118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102</xdr:row>
      <xdr:rowOff>80492</xdr:rowOff>
    </xdr:from>
    <xdr:to>
      <xdr:col>6</xdr:col>
      <xdr:colOff>791514</xdr:colOff>
      <xdr:row>118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102</xdr:row>
      <xdr:rowOff>93906</xdr:rowOff>
    </xdr:from>
    <xdr:to>
      <xdr:col>9</xdr:col>
      <xdr:colOff>80493</xdr:colOff>
      <xdr:row>118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102</xdr:row>
      <xdr:rowOff>67077</xdr:rowOff>
    </xdr:from>
    <xdr:to>
      <xdr:col>14</xdr:col>
      <xdr:colOff>764682</xdr:colOff>
      <xdr:row>118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119</xdr:row>
      <xdr:rowOff>160986</xdr:rowOff>
    </xdr:from>
    <xdr:to>
      <xdr:col>1</xdr:col>
      <xdr:colOff>348803</xdr:colOff>
      <xdr:row>136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119</xdr:row>
      <xdr:rowOff>174403</xdr:rowOff>
    </xdr:from>
    <xdr:to>
      <xdr:col>6</xdr:col>
      <xdr:colOff>764684</xdr:colOff>
      <xdr:row>136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119</xdr:row>
      <xdr:rowOff>174403</xdr:rowOff>
    </xdr:from>
    <xdr:to>
      <xdr:col>9</xdr:col>
      <xdr:colOff>107326</xdr:colOff>
      <xdr:row>136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120</xdr:row>
      <xdr:rowOff>0</xdr:rowOff>
    </xdr:from>
    <xdr:to>
      <xdr:col>14</xdr:col>
      <xdr:colOff>791512</xdr:colOff>
      <xdr:row>136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138</xdr:row>
      <xdr:rowOff>120739</xdr:rowOff>
    </xdr:from>
    <xdr:to>
      <xdr:col>4</xdr:col>
      <xdr:colOff>160988</xdr:colOff>
      <xdr:row>155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138</xdr:row>
      <xdr:rowOff>80491</xdr:rowOff>
    </xdr:from>
    <xdr:to>
      <xdr:col>8</xdr:col>
      <xdr:colOff>1180563</xdr:colOff>
      <xdr:row>154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138</xdr:row>
      <xdr:rowOff>80492</xdr:rowOff>
    </xdr:from>
    <xdr:to>
      <xdr:col>13</xdr:col>
      <xdr:colOff>107324</xdr:colOff>
      <xdr:row>154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0</xdr:colOff>
      <xdr:row>2</xdr:row>
      <xdr:rowOff>53663</xdr:rowOff>
    </xdr:from>
    <xdr:to>
      <xdr:col>15</xdr:col>
      <xdr:colOff>26831</xdr:colOff>
      <xdr:row>22</xdr:row>
      <xdr:rowOff>144395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F74CCF44-ACCE-E9AB-8FE4-975325047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8944" y="523205"/>
          <a:ext cx="8505422" cy="5027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13416</xdr:colOff>
      <xdr:row>24</xdr:row>
      <xdr:rowOff>30007</xdr:rowOff>
    </xdr:from>
    <xdr:to>
      <xdr:col>15</xdr:col>
      <xdr:colOff>20482</xdr:colOff>
      <xdr:row>88</xdr:row>
      <xdr:rowOff>10750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D36F654F-1DF8-BED7-705C-5AB53C44D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182360" y="5946239"/>
          <a:ext cx="8485657" cy="3549265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6"/>
  <sheetViews>
    <sheetView showGridLines="0" tabSelected="1" zoomScale="71" zoomScaleNormal="71" zoomScaleSheetLayoutView="71" workbookViewId="0">
      <selection activeCell="D160" sqref="D160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4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02" t="s">
        <v>52</v>
      </c>
      <c r="B2" s="103"/>
      <c r="C2" s="103"/>
      <c r="D2" s="103"/>
      <c r="E2" s="103"/>
      <c r="F2" s="103"/>
      <c r="G2" s="103"/>
      <c r="H2" s="42"/>
      <c r="I2" s="100" t="s">
        <v>53</v>
      </c>
      <c r="J2" s="100"/>
      <c r="K2" s="100"/>
      <c r="L2" s="100"/>
      <c r="M2" s="100"/>
      <c r="N2" s="100"/>
      <c r="O2" s="100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04">
        <v>2024</v>
      </c>
      <c r="E4" s="105"/>
      <c r="F4" s="105"/>
      <c r="G4" s="106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04" t="s">
        <v>7</v>
      </c>
      <c r="E5" s="105"/>
      <c r="F5" s="109" t="s">
        <v>14</v>
      </c>
      <c r="G5" s="110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47</v>
      </c>
      <c r="D6" s="33" t="s">
        <v>4</v>
      </c>
      <c r="E6" s="34" t="s">
        <v>5</v>
      </c>
      <c r="F6" s="33" t="s">
        <v>4</v>
      </c>
      <c r="G6" s="35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43" t="s">
        <v>0</v>
      </c>
      <c r="B8" s="90">
        <v>17.83558</v>
      </c>
      <c r="C8" s="90">
        <v>0.14148000000000002</v>
      </c>
      <c r="D8" s="94">
        <v>8.003136752445128E-3</v>
      </c>
      <c r="E8" s="94">
        <v>0.86244601075103922</v>
      </c>
      <c r="F8" s="94">
        <v>7.0273317522237422E-2</v>
      </c>
      <c r="G8" s="94">
        <v>0.78147437717127655</v>
      </c>
      <c r="H8" s="38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43" t="s">
        <v>17</v>
      </c>
      <c r="B9" s="90">
        <v>77.340240000000009</v>
      </c>
      <c r="C9" s="90">
        <v>0.70890000000000875</v>
      </c>
      <c r="D9" s="94">
        <v>9.3087524073467431E-3</v>
      </c>
      <c r="E9" s="94">
        <v>1.0031437206583427</v>
      </c>
      <c r="F9" s="94">
        <v>9.8276002298926426E-2</v>
      </c>
      <c r="G9" s="94">
        <v>1.0928782131729256</v>
      </c>
      <c r="H9" s="39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43" t="s">
        <v>18</v>
      </c>
      <c r="B10" s="90">
        <v>17371.590050000003</v>
      </c>
      <c r="C10" s="90">
        <v>105.24303999999998</v>
      </c>
      <c r="D10" s="94">
        <v>9.1035181286132083E-3</v>
      </c>
      <c r="E10" s="94">
        <v>0.98102695688955843</v>
      </c>
      <c r="F10" s="94">
        <v>8.7918550996768818E-2</v>
      </c>
      <c r="G10" s="94">
        <v>0.97769818338602765</v>
      </c>
      <c r="H10" s="40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43" t="s">
        <v>40</v>
      </c>
      <c r="B11" s="90">
        <v>20226.058989999998</v>
      </c>
      <c r="C11" s="90">
        <v>157.61279999999999</v>
      </c>
      <c r="D11" s="94">
        <v>7.8537626526009596E-3</v>
      </c>
      <c r="E11" s="94">
        <v>0.84634893525363863</v>
      </c>
      <c r="F11" s="94">
        <v>8.2208544371783918E-2</v>
      </c>
      <c r="G11" s="94">
        <v>0.91420005880279731</v>
      </c>
      <c r="H11" s="39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43" t="s">
        <v>43</v>
      </c>
      <c r="B12" s="90">
        <v>30463.065019999998</v>
      </c>
      <c r="C12" s="90">
        <v>277.72208999999987</v>
      </c>
      <c r="D12" s="94">
        <v>9.2005609695091639E-3</v>
      </c>
      <c r="E12" s="94">
        <v>0.99148463287230293</v>
      </c>
      <c r="F12" s="94">
        <v>0.10247936838966165</v>
      </c>
      <c r="G12" s="94">
        <v>1.1396217427741959</v>
      </c>
      <c r="H12" s="39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43" t="s">
        <v>1</v>
      </c>
      <c r="B13" s="90">
        <v>17728.927540000001</v>
      </c>
      <c r="C13" s="90">
        <v>134.39458000000002</v>
      </c>
      <c r="D13" s="94">
        <v>9.31246637367944E-3</v>
      </c>
      <c r="E13" s="94">
        <v>1.0035439506614998</v>
      </c>
      <c r="F13" s="94">
        <v>9.3670495698720657E-2</v>
      </c>
      <c r="G13" s="94">
        <v>1.0416626803241298</v>
      </c>
      <c r="H13" s="38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43" t="s">
        <v>48</v>
      </c>
      <c r="B14" s="90">
        <v>17829.885420000002</v>
      </c>
      <c r="C14" s="90">
        <v>163.62360000000001</v>
      </c>
      <c r="D14" s="94">
        <v>9.2619254367198867E-3</v>
      </c>
      <c r="E14" s="94">
        <v>0.99809748250673924</v>
      </c>
      <c r="F14" s="94">
        <v>8.9399999999999993E-2</v>
      </c>
      <c r="G14" s="94">
        <v>0.99417263596534045</v>
      </c>
      <c r="H14" s="38"/>
      <c r="I14" s="13"/>
      <c r="J14" s="14"/>
      <c r="K14" s="14"/>
      <c r="L14" s="15"/>
      <c r="M14" s="14"/>
      <c r="N14" s="15"/>
      <c r="O14" s="14"/>
    </row>
    <row r="15" spans="1:15" ht="20" customHeight="1" x14ac:dyDescent="0.45">
      <c r="A15" s="43" t="s">
        <v>37</v>
      </c>
      <c r="B15" s="90">
        <v>13523.406989999999</v>
      </c>
      <c r="C15" s="90">
        <v>118.94391999999999</v>
      </c>
      <c r="D15" s="94">
        <v>8.8734567187453983E-3</v>
      </c>
      <c r="E15" s="94">
        <v>0.95623473462650233</v>
      </c>
      <c r="F15" s="94">
        <v>8.7669641562024628E-2</v>
      </c>
      <c r="G15" s="94">
        <v>0.97493018619524152</v>
      </c>
      <c r="H15" s="39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43" t="s">
        <v>38</v>
      </c>
      <c r="B16" s="90">
        <v>13586.10742</v>
      </c>
      <c r="C16" s="90">
        <v>125.63616</v>
      </c>
      <c r="D16" s="94">
        <v>9.3337118938512376E-3</v>
      </c>
      <c r="E16" s="94">
        <v>1.0058334422302775</v>
      </c>
      <c r="F16" s="94">
        <v>0.10461163640280556</v>
      </c>
      <c r="G16" s="94">
        <v>1.1633336276870803</v>
      </c>
      <c r="H16" s="38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43" t="s">
        <v>33</v>
      </c>
      <c r="B17" s="90">
        <v>8992.7841099999987</v>
      </c>
      <c r="C17" s="90">
        <v>118.91032000000001</v>
      </c>
      <c r="D17" s="94">
        <v>1.3400046922070974E-2</v>
      </c>
      <c r="E17" s="94">
        <v>1.444035928573381</v>
      </c>
      <c r="F17" s="94">
        <v>0.1115</v>
      </c>
      <c r="G17" s="94">
        <v>1.2399356701357436</v>
      </c>
      <c r="H17" s="38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43" t="s">
        <v>39</v>
      </c>
      <c r="B18" s="90">
        <v>18018.116389999999</v>
      </c>
      <c r="C18" s="90">
        <v>166.55006</v>
      </c>
      <c r="D18" s="94">
        <v>9.329716199246274E-3</v>
      </c>
      <c r="E18" s="94">
        <v>1.0054028522030387</v>
      </c>
      <c r="F18" s="94">
        <v>9.0298272616520237E-2</v>
      </c>
      <c r="G18" s="94">
        <v>1.0041618759539468</v>
      </c>
      <c r="H18" s="38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43" t="s">
        <v>50</v>
      </c>
      <c r="B19" s="90">
        <v>8956.9475399999992</v>
      </c>
      <c r="C19" s="90">
        <v>100.7042</v>
      </c>
      <c r="D19" s="94">
        <v>1.1370983595118123E-2</v>
      </c>
      <c r="E19" s="94">
        <v>1.2253769669659751</v>
      </c>
      <c r="F19" s="94">
        <v>0.1012</v>
      </c>
      <c r="G19" s="94">
        <v>1.1253945275133383</v>
      </c>
      <c r="H19" s="38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43" t="s">
        <v>49</v>
      </c>
      <c r="B20" s="90">
        <v>8941.3648699999994</v>
      </c>
      <c r="C20" s="90">
        <v>73.487610000000004</v>
      </c>
      <c r="D20" s="94">
        <v>8.2869451141682759E-3</v>
      </c>
      <c r="E20" s="94">
        <v>0.89303019254839944</v>
      </c>
      <c r="F20" s="94">
        <v>9.5600000000000004E-2</v>
      </c>
      <c r="G20" s="94">
        <v>1.063119731524458</v>
      </c>
      <c r="H20" s="38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43" t="s">
        <v>2</v>
      </c>
      <c r="B21" s="90">
        <v>191.73625000000001</v>
      </c>
      <c r="C21" s="90">
        <v>1.4482999999999999</v>
      </c>
      <c r="D21" s="94">
        <v>7.6111109019783019E-3</v>
      </c>
      <c r="E21" s="94">
        <v>0.82019993383087408</v>
      </c>
      <c r="F21" s="94">
        <v>7.3323171830679934E-2</v>
      </c>
      <c r="G21" s="94">
        <v>0.81539027982378831</v>
      </c>
      <c r="H21" s="38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43" t="s">
        <v>6</v>
      </c>
      <c r="B22" s="90">
        <v>27067.400510000003</v>
      </c>
      <c r="C22" s="90">
        <v>164.43096000000088</v>
      </c>
      <c r="D22" s="94">
        <v>6.109747606384941E-3</v>
      </c>
      <c r="E22" s="94">
        <v>0.65840777345364132</v>
      </c>
      <c r="F22" s="94">
        <v>7.1958238498992966E-2</v>
      </c>
      <c r="G22" s="94">
        <v>0.800211539686426</v>
      </c>
      <c r="H22" s="38"/>
      <c r="I22" s="3"/>
      <c r="J22" s="16"/>
      <c r="K22" s="16"/>
      <c r="L22" s="17"/>
      <c r="M22" s="16"/>
      <c r="N22" s="17"/>
      <c r="O22" s="16"/>
    </row>
    <row r="23" spans="1:15" ht="20" customHeight="1" x14ac:dyDescent="0.45">
      <c r="A23" s="43" t="s">
        <v>45</v>
      </c>
      <c r="B23" s="90">
        <v>35575.92542</v>
      </c>
      <c r="C23" s="90">
        <v>321.42366000000385</v>
      </c>
      <c r="D23" s="94">
        <v>9.1172371950167808E-3</v>
      </c>
      <c r="E23" s="94">
        <v>0.98250537147336203</v>
      </c>
      <c r="F23" s="94">
        <v>9.9581368867533993E-2</v>
      </c>
      <c r="G23" s="94">
        <v>1.1073945411641293</v>
      </c>
      <c r="H23" s="38"/>
      <c r="I23" s="3"/>
      <c r="J23" s="16"/>
      <c r="K23" s="16"/>
      <c r="L23" s="17"/>
      <c r="M23" s="16"/>
      <c r="N23" s="17"/>
      <c r="O23" s="16"/>
    </row>
    <row r="24" spans="1:15" ht="20" customHeight="1" thickBot="1" x14ac:dyDescent="0.5">
      <c r="A24" s="43" t="s">
        <v>46</v>
      </c>
      <c r="B24" s="90">
        <v>11009.993339999999</v>
      </c>
      <c r="C24" s="90">
        <v>74.863709999999031</v>
      </c>
      <c r="D24" s="94">
        <v>6.8461650101672156E-3</v>
      </c>
      <c r="E24" s="94">
        <v>0.7377666888121247</v>
      </c>
      <c r="F24" s="94">
        <v>6.2633360985548503E-2</v>
      </c>
      <c r="G24" s="94">
        <v>0.69651424597730949</v>
      </c>
      <c r="H24" s="38"/>
      <c r="I24" s="100" t="s">
        <v>54</v>
      </c>
      <c r="J24" s="100"/>
      <c r="K24" s="100"/>
      <c r="L24" s="100"/>
      <c r="M24" s="100"/>
      <c r="N24" s="100"/>
      <c r="O24" s="100"/>
    </row>
    <row r="25" spans="1:15" ht="20" customHeight="1" thickTop="1" x14ac:dyDescent="0.45">
      <c r="A25" s="43" t="s">
        <v>15</v>
      </c>
      <c r="B25" s="90">
        <v>61126.862820000002</v>
      </c>
      <c r="C25" s="90">
        <v>403.12528000000117</v>
      </c>
      <c r="D25" s="94">
        <v>6.638677090531564E-3</v>
      </c>
      <c r="E25" s="94">
        <v>0.71540706481667971</v>
      </c>
      <c r="F25" s="94">
        <v>8.7133084013965689E-2</v>
      </c>
      <c r="G25" s="94">
        <v>0.96896339836637291</v>
      </c>
      <c r="H25" s="39"/>
      <c r="I25" s="13"/>
      <c r="J25" s="14"/>
      <c r="K25" s="14"/>
      <c r="L25" s="15"/>
      <c r="M25" s="14"/>
      <c r="N25" s="15"/>
      <c r="O25" s="14"/>
    </row>
    <row r="26" spans="1:15" ht="20" customHeight="1" x14ac:dyDescent="0.45">
      <c r="A26" s="43" t="s">
        <v>16</v>
      </c>
      <c r="B26" s="90">
        <v>77996.833859999999</v>
      </c>
      <c r="C26" s="90">
        <v>712.5558299999982</v>
      </c>
      <c r="D26" s="94">
        <v>9.2199324930524185E-3</v>
      </c>
      <c r="E26" s="94">
        <v>0.99357217600930414</v>
      </c>
      <c r="F26" s="94">
        <v>0.10635573523471198</v>
      </c>
      <c r="G26" s="94">
        <v>1.1827288774980476</v>
      </c>
      <c r="H26" s="38"/>
      <c r="I26" s="13"/>
      <c r="J26" s="14"/>
      <c r="K26" s="14"/>
      <c r="L26" s="15"/>
      <c r="M26" s="14"/>
      <c r="N26" s="15"/>
      <c r="O26" s="14"/>
    </row>
    <row r="27" spans="1:15" ht="20" customHeight="1" x14ac:dyDescent="0.45">
      <c r="A27" s="43" t="s">
        <v>19</v>
      </c>
      <c r="B27" s="90">
        <v>39831.437479999993</v>
      </c>
      <c r="C27" s="90">
        <v>372.05765000000002</v>
      </c>
      <c r="D27" s="94">
        <v>9.4288772172763657E-3</v>
      </c>
      <c r="E27" s="94">
        <v>1.0160887903629654</v>
      </c>
      <c r="F27" s="94">
        <v>9.5196478421476272E-2</v>
      </c>
      <c r="G27" s="94">
        <v>1.0586323700995159</v>
      </c>
      <c r="H27" s="38"/>
      <c r="J27" s="42"/>
      <c r="K27" s="42"/>
      <c r="L27" s="42"/>
      <c r="M27" s="42"/>
      <c r="N27" s="42"/>
      <c r="O27" s="42"/>
    </row>
    <row r="28" spans="1:15" ht="20" customHeight="1" x14ac:dyDescent="0.45">
      <c r="A28" s="43" t="s">
        <v>10</v>
      </c>
      <c r="B28" s="90">
        <v>86.677710000000005</v>
      </c>
      <c r="C28" s="90">
        <v>0.78727999999999998</v>
      </c>
      <c r="D28" s="94">
        <v>9.1660319990307659E-3</v>
      </c>
      <c r="E28" s="94">
        <v>0.98776367023408029</v>
      </c>
      <c r="F28" s="94">
        <v>9.3913849613030731E-2</v>
      </c>
      <c r="G28" s="94">
        <v>1.0443688973539076</v>
      </c>
      <c r="H28" s="39"/>
      <c r="J28" s="14"/>
      <c r="K28" s="14"/>
      <c r="L28" s="15"/>
      <c r="M28" s="14"/>
      <c r="N28" s="15"/>
      <c r="O28" s="14"/>
    </row>
    <row r="29" spans="1:15" ht="18.5" x14ac:dyDescent="0.45">
      <c r="A29" s="43"/>
      <c r="B29" s="28"/>
      <c r="C29" s="28"/>
      <c r="D29" s="38"/>
      <c r="E29" s="38"/>
      <c r="F29" s="38"/>
      <c r="G29" s="38"/>
      <c r="H29" s="41"/>
      <c r="I29" s="3"/>
      <c r="J29" s="11"/>
      <c r="K29" s="11"/>
      <c r="L29" s="8"/>
      <c r="M29" s="11"/>
      <c r="N29" s="8"/>
      <c r="O29" s="11"/>
    </row>
    <row r="30" spans="1:15" ht="20.149999999999999" customHeight="1" x14ac:dyDescent="0.45">
      <c r="A30" s="29" t="s">
        <v>11</v>
      </c>
      <c r="B30" s="92">
        <v>428620.29754999996</v>
      </c>
      <c r="C30" s="92">
        <v>3594.3714300000029</v>
      </c>
      <c r="D30" s="36">
        <v>8.6500476997609446E-3</v>
      </c>
      <c r="E30" s="36">
        <v>0.93215939727454755</v>
      </c>
      <c r="F30" s="36">
        <v>9.3763181304228643E-2</v>
      </c>
      <c r="G30" s="36">
        <v>1.0426933905337934</v>
      </c>
      <c r="H30" s="41"/>
      <c r="I30" s="59"/>
      <c r="J30" s="42"/>
      <c r="K30" s="42"/>
      <c r="L30" s="42"/>
      <c r="M30" s="42"/>
      <c r="N30" s="42"/>
      <c r="O30" s="42"/>
    </row>
    <row r="31" spans="1:15" ht="20.149999999999999" customHeight="1" thickBot="1" x14ac:dyDescent="0.5">
      <c r="A31" s="31" t="s">
        <v>13</v>
      </c>
      <c r="B31" s="32"/>
      <c r="C31" s="32"/>
      <c r="D31" s="32"/>
      <c r="E31" s="37">
        <v>9.2795799999999991E-3</v>
      </c>
      <c r="F31" s="95"/>
      <c r="G31" s="37">
        <v>8.9924020000000007E-2</v>
      </c>
      <c r="H31" s="41"/>
      <c r="I31" s="59"/>
      <c r="J31" s="42"/>
      <c r="K31" s="42"/>
      <c r="L31" s="42"/>
      <c r="M31" s="42"/>
      <c r="N31" s="42"/>
      <c r="O31" s="42"/>
    </row>
    <row r="32" spans="1:15" ht="14.25" customHeight="1" thickTop="1" x14ac:dyDescent="0.45">
      <c r="A32" s="55" t="s">
        <v>51</v>
      </c>
      <c r="B32" s="56"/>
      <c r="C32" s="56"/>
      <c r="D32" s="56"/>
      <c r="E32" s="56"/>
      <c r="F32" s="56"/>
      <c r="G32" s="56"/>
      <c r="H32" s="41"/>
      <c r="I32" s="13"/>
      <c r="J32" s="18"/>
      <c r="K32" s="18"/>
      <c r="L32" s="19"/>
      <c r="M32" s="18"/>
      <c r="N32" s="19"/>
      <c r="O32" s="18"/>
    </row>
    <row r="33" spans="1:15" ht="16.5" customHeight="1" x14ac:dyDescent="0.35">
      <c r="A33" s="58"/>
      <c r="B33" s="57"/>
      <c r="C33" s="57"/>
      <c r="D33" s="57"/>
      <c r="E33" s="57"/>
      <c r="F33" s="57"/>
      <c r="G33" s="57"/>
      <c r="H33" s="50"/>
      <c r="I33" s="13"/>
      <c r="J33" s="18"/>
      <c r="K33" s="18"/>
      <c r="L33" s="19"/>
      <c r="M33" s="18"/>
      <c r="N33" s="19"/>
      <c r="O33" s="18"/>
    </row>
    <row r="34" spans="1:15" ht="15.5" x14ac:dyDescent="0.35">
      <c r="A34" s="107"/>
      <c r="B34" s="108"/>
      <c r="C34" s="108"/>
      <c r="D34" s="108"/>
      <c r="E34" s="108"/>
      <c r="F34" s="108"/>
      <c r="G34" s="108"/>
      <c r="H34" s="50"/>
      <c r="I34" s="13"/>
      <c r="J34" s="18"/>
      <c r="K34" s="18"/>
      <c r="L34" s="19"/>
      <c r="M34" s="18"/>
      <c r="N34" s="19"/>
      <c r="O34" s="18"/>
    </row>
    <row r="35" spans="1:15" ht="15.75" customHeight="1" x14ac:dyDescent="0.35">
      <c r="A35" s="107"/>
      <c r="B35" s="108"/>
      <c r="C35" s="108"/>
      <c r="D35" s="108"/>
      <c r="E35" s="108"/>
      <c r="F35" s="108"/>
      <c r="G35" s="108"/>
      <c r="H35" s="2"/>
      <c r="I35" s="13"/>
      <c r="J35" s="18"/>
      <c r="K35" s="18"/>
      <c r="L35" s="19"/>
      <c r="M35" s="18"/>
      <c r="N35" s="19"/>
      <c r="O35" s="18"/>
    </row>
    <row r="36" spans="1:15" ht="5.25" customHeight="1" x14ac:dyDescent="0.35">
      <c r="A36" s="2"/>
      <c r="B36" s="2"/>
      <c r="C36" s="2"/>
      <c r="D36" s="2"/>
      <c r="E36" s="2"/>
      <c r="F36" s="2"/>
      <c r="G36" s="2"/>
      <c r="H36" s="2"/>
      <c r="I36" s="13"/>
      <c r="J36" s="18"/>
      <c r="K36" s="18"/>
      <c r="L36" s="19"/>
      <c r="M36" s="18"/>
      <c r="N36" s="19"/>
      <c r="O36" s="18"/>
    </row>
    <row r="37" spans="1:15" ht="23.25" hidden="1" customHeight="1" thickBot="1" x14ac:dyDescent="0.4">
      <c r="A37" s="100" t="s">
        <v>20</v>
      </c>
      <c r="B37" s="101"/>
      <c r="C37" s="101"/>
      <c r="D37" s="101"/>
      <c r="E37" s="101"/>
      <c r="F37" s="101"/>
      <c r="G37" s="101"/>
      <c r="I37" s="13"/>
      <c r="J37" s="18"/>
      <c r="K37" s="18"/>
      <c r="L37" s="19"/>
      <c r="M37" s="18"/>
      <c r="N37" s="19"/>
      <c r="O37" s="18"/>
    </row>
    <row r="38" spans="1:15" ht="15" hidden="1" thickTop="1" x14ac:dyDescent="0.35">
      <c r="I38" s="13"/>
      <c r="J38" s="18"/>
      <c r="K38" s="18"/>
      <c r="L38" s="19"/>
      <c r="M38" s="18"/>
      <c r="N38" s="19"/>
      <c r="O38" s="18"/>
    </row>
    <row r="39" spans="1:15" hidden="1" x14ac:dyDescent="0.35">
      <c r="I39" s="13"/>
      <c r="J39" s="18"/>
      <c r="K39" s="18"/>
      <c r="L39" s="19"/>
      <c r="M39" s="18"/>
      <c r="N39" s="19"/>
      <c r="O39" s="18"/>
    </row>
    <row r="40" spans="1:15" ht="18.5" hidden="1" x14ac:dyDescent="0.45">
      <c r="A40" s="27" t="s">
        <v>3</v>
      </c>
      <c r="B40" s="26" t="s">
        <v>9</v>
      </c>
      <c r="C40" s="26"/>
      <c r="D40" s="104">
        <v>2018</v>
      </c>
      <c r="E40" s="105"/>
      <c r="F40" s="105"/>
      <c r="G40" s="106"/>
    </row>
    <row r="41" spans="1:15" ht="18.5" hidden="1" x14ac:dyDescent="0.45">
      <c r="A41" s="27"/>
      <c r="B41" s="26"/>
      <c r="C41" s="26"/>
      <c r="D41" s="104" t="s">
        <v>7</v>
      </c>
      <c r="E41" s="105"/>
      <c r="F41" s="109" t="s">
        <v>14</v>
      </c>
      <c r="G41" s="110"/>
    </row>
    <row r="42" spans="1:15" ht="18.5" hidden="1" x14ac:dyDescent="0.45">
      <c r="A42" s="24" t="s">
        <v>12</v>
      </c>
      <c r="B42" s="25" t="s">
        <v>8</v>
      </c>
      <c r="C42" s="25"/>
      <c r="D42" s="33" t="s">
        <v>4</v>
      </c>
      <c r="E42" s="34" t="s">
        <v>5</v>
      </c>
      <c r="F42" s="33" t="s">
        <v>4</v>
      </c>
      <c r="G42" s="35" t="s">
        <v>5</v>
      </c>
    </row>
    <row r="43" spans="1:15" ht="18.5" hidden="1" x14ac:dyDescent="0.45">
      <c r="A43" s="20"/>
      <c r="D43" s="21"/>
      <c r="E43" s="22"/>
      <c r="F43" s="22"/>
      <c r="G43" s="22"/>
    </row>
    <row r="44" spans="1:15" ht="30" hidden="1" customHeight="1" x14ac:dyDescent="0.45">
      <c r="A44" s="43" t="s">
        <v>18</v>
      </c>
      <c r="B44" s="44">
        <v>17371.590050000003</v>
      </c>
      <c r="C44" s="44"/>
      <c r="D44" s="45">
        <v>9.1035181286132083E-3</v>
      </c>
      <c r="E44" s="45">
        <v>0.98102695688955843</v>
      </c>
      <c r="F44" s="45">
        <v>8.7918550996768818E-2</v>
      </c>
      <c r="G44" s="45">
        <v>0.97769818338602765</v>
      </c>
    </row>
    <row r="45" spans="1:15" ht="30" hidden="1" customHeight="1" x14ac:dyDescent="0.45">
      <c r="A45" s="43" t="s">
        <v>1</v>
      </c>
      <c r="B45" s="44">
        <v>17728.927540000001</v>
      </c>
      <c r="C45" s="44"/>
      <c r="D45" s="45">
        <v>9.31246637367944E-3</v>
      </c>
      <c r="E45" s="45">
        <v>1.0035439506614998</v>
      </c>
      <c r="F45" s="45">
        <v>9.3670495698720657E-2</v>
      </c>
      <c r="G45" s="45">
        <v>1.0416626803241298</v>
      </c>
      <c r="H45" s="43"/>
    </row>
    <row r="46" spans="1:15" ht="18.5" hidden="1" x14ac:dyDescent="0.45">
      <c r="A46" s="46"/>
      <c r="B46" s="47"/>
      <c r="C46" s="47"/>
      <c r="D46" s="48"/>
      <c r="E46" s="48"/>
      <c r="F46" s="48"/>
      <c r="G46" s="48"/>
    </row>
    <row r="47" spans="1:15" ht="18.75" hidden="1" customHeight="1" x14ac:dyDescent="0.35">
      <c r="A47" s="52" t="s">
        <v>11</v>
      </c>
      <c r="B47" s="53">
        <v>35100.517590000003</v>
      </c>
      <c r="C47" s="53"/>
      <c r="D47" s="54"/>
      <c r="E47" s="54"/>
      <c r="F47" s="54"/>
      <c r="G47" s="54"/>
    </row>
    <row r="48" spans="1:15" ht="16" hidden="1" thickBot="1" x14ac:dyDescent="0.4">
      <c r="A48" s="31" t="s">
        <v>13</v>
      </c>
      <c r="B48" s="32"/>
      <c r="C48" s="32"/>
      <c r="D48" s="32"/>
      <c r="E48" s="37">
        <v>9.2795799999999991E-3</v>
      </c>
      <c r="F48" s="37"/>
      <c r="G48" s="37">
        <v>8.9924020000000007E-2</v>
      </c>
    </row>
    <row r="49" spans="1:7" ht="15" hidden="1" thickTop="1" x14ac:dyDescent="0.35"/>
    <row r="50" spans="1:7" hidden="1" x14ac:dyDescent="0.35"/>
    <row r="51" spans="1:7" ht="15" hidden="1" thickBot="1" x14ac:dyDescent="0.4">
      <c r="A51" s="100" t="s">
        <v>21</v>
      </c>
      <c r="B51" s="101"/>
      <c r="C51" s="101"/>
      <c r="D51" s="101"/>
      <c r="E51" s="101"/>
      <c r="F51" s="101"/>
      <c r="G51" s="101"/>
    </row>
    <row r="52" spans="1:7" ht="13.5" hidden="1" customHeight="1" thickTop="1" x14ac:dyDescent="0.35"/>
    <row r="53" spans="1:7" ht="9.75" hidden="1" customHeight="1" x14ac:dyDescent="0.35"/>
    <row r="54" spans="1:7" ht="18.5" hidden="1" x14ac:dyDescent="0.45">
      <c r="A54" s="27" t="s">
        <v>3</v>
      </c>
      <c r="B54" s="26" t="s">
        <v>9</v>
      </c>
      <c r="C54" s="26"/>
      <c r="D54" s="104">
        <v>2018</v>
      </c>
      <c r="E54" s="105"/>
      <c r="F54" s="105"/>
      <c r="G54" s="106"/>
    </row>
    <row r="55" spans="1:7" ht="18.5" hidden="1" x14ac:dyDescent="0.45">
      <c r="A55" s="27"/>
      <c r="B55" s="26"/>
      <c r="C55" s="26"/>
      <c r="D55" s="104" t="s">
        <v>7</v>
      </c>
      <c r="E55" s="105"/>
      <c r="F55" s="109" t="s">
        <v>14</v>
      </c>
      <c r="G55" s="110"/>
    </row>
    <row r="56" spans="1:7" ht="18.5" hidden="1" x14ac:dyDescent="0.45">
      <c r="A56" s="24" t="s">
        <v>12</v>
      </c>
      <c r="B56" s="25" t="s">
        <v>8</v>
      </c>
      <c r="C56" s="25"/>
      <c r="D56" s="33" t="s">
        <v>4</v>
      </c>
      <c r="E56" s="34" t="s">
        <v>5</v>
      </c>
      <c r="F56" s="33" t="s">
        <v>4</v>
      </c>
      <c r="G56" s="35" t="s">
        <v>5</v>
      </c>
    </row>
    <row r="57" spans="1:7" ht="18.5" hidden="1" x14ac:dyDescent="0.45">
      <c r="A57" s="20"/>
      <c r="D57" s="21"/>
      <c r="E57" s="22"/>
      <c r="F57" s="22"/>
      <c r="G57" s="22"/>
    </row>
    <row r="58" spans="1:7" ht="30" hidden="1" customHeight="1" x14ac:dyDescent="0.45">
      <c r="A58" s="43" t="s">
        <v>40</v>
      </c>
      <c r="B58" s="44">
        <v>20226.058989999998</v>
      </c>
      <c r="C58" s="44"/>
      <c r="D58" s="45">
        <v>7.8537626526009596E-3</v>
      </c>
      <c r="E58" s="45">
        <v>0.84634893525363863</v>
      </c>
      <c r="F58" s="45">
        <v>8.2208544371783918E-2</v>
      </c>
      <c r="G58" s="45">
        <v>0.91420005880279731</v>
      </c>
    </row>
    <row r="59" spans="1:7" ht="30" hidden="1" customHeight="1" x14ac:dyDescent="0.45">
      <c r="A59" s="43" t="s">
        <v>37</v>
      </c>
      <c r="B59" s="44">
        <v>13523.406989999999</v>
      </c>
      <c r="C59" s="44"/>
      <c r="D59" s="45">
        <v>8.8734567187453983E-3</v>
      </c>
      <c r="E59" s="45">
        <v>0.95623473462650233</v>
      </c>
      <c r="F59" s="45">
        <v>8.7669641562024628E-2</v>
      </c>
      <c r="G59" s="45">
        <v>0.97493018619524152</v>
      </c>
    </row>
    <row r="60" spans="1:7" ht="30" hidden="1" customHeight="1" x14ac:dyDescent="0.45">
      <c r="A60" s="43" t="s">
        <v>38</v>
      </c>
      <c r="B60" s="44">
        <v>13586.10742</v>
      </c>
      <c r="C60" s="44"/>
      <c r="D60" s="45">
        <v>9.3337118938512376E-3</v>
      </c>
      <c r="E60" s="45">
        <v>1.0058334422302775</v>
      </c>
      <c r="F60" s="45">
        <v>0.10461163640280556</v>
      </c>
      <c r="G60" s="45">
        <v>1.1633336276870803</v>
      </c>
    </row>
    <row r="61" spans="1:7" ht="30" hidden="1" customHeight="1" x14ac:dyDescent="0.45">
      <c r="A61" s="43" t="s">
        <v>33</v>
      </c>
      <c r="B61" s="44">
        <v>8992.7841099999987</v>
      </c>
      <c r="C61" s="44"/>
      <c r="D61" s="45">
        <v>1.3400046922070974E-2</v>
      </c>
      <c r="E61" s="45">
        <v>1.444035928573381</v>
      </c>
      <c r="F61" s="45">
        <v>0.1115</v>
      </c>
      <c r="G61" s="45">
        <v>1.2399356701357436</v>
      </c>
    </row>
    <row r="62" spans="1:7" ht="30" hidden="1" customHeight="1" x14ac:dyDescent="0.45">
      <c r="A62" s="43" t="s">
        <v>2</v>
      </c>
      <c r="B62" s="44">
        <v>191.73625000000001</v>
      </c>
      <c r="C62" s="44"/>
      <c r="D62" s="45">
        <v>7.6111109019783019E-3</v>
      </c>
      <c r="E62" s="45">
        <v>0.82019993383087408</v>
      </c>
      <c r="F62" s="45">
        <v>7.3323171830679934E-2</v>
      </c>
      <c r="G62" s="45">
        <v>0.81539027982378831</v>
      </c>
    </row>
    <row r="63" spans="1:7" ht="30" hidden="1" customHeight="1" x14ac:dyDescent="0.45">
      <c r="A63" s="43" t="s">
        <v>6</v>
      </c>
      <c r="B63" s="44">
        <v>27067.400510000003</v>
      </c>
      <c r="C63" s="44"/>
      <c r="D63" s="45">
        <v>6.109747606384941E-3</v>
      </c>
      <c r="E63" s="45">
        <v>0.65840777345364132</v>
      </c>
      <c r="F63" s="45">
        <v>7.1958238498992966E-2</v>
      </c>
      <c r="G63" s="45">
        <v>0.800211539686426</v>
      </c>
    </row>
    <row r="64" spans="1:7" ht="30" hidden="1" customHeight="1" x14ac:dyDescent="0.45">
      <c r="A64" s="43" t="s">
        <v>15</v>
      </c>
      <c r="B64" s="44">
        <v>61126.862820000002</v>
      </c>
      <c r="C64" s="44"/>
      <c r="D64" s="45">
        <v>6.638677090531564E-3</v>
      </c>
      <c r="E64" s="45">
        <v>0.71540706481667971</v>
      </c>
      <c r="F64" s="45">
        <v>8.7133084013965689E-2</v>
      </c>
      <c r="G64" s="45">
        <v>0.96896339836637291</v>
      </c>
    </row>
    <row r="65" spans="1:7" ht="30" hidden="1" customHeight="1" x14ac:dyDescent="0.45">
      <c r="A65" s="43" t="s">
        <v>16</v>
      </c>
      <c r="B65" s="44">
        <v>77996.833859999999</v>
      </c>
      <c r="C65" s="44"/>
      <c r="D65" s="45">
        <v>9.2199324930524185E-3</v>
      </c>
      <c r="E65" s="45">
        <v>0.99357217600930414</v>
      </c>
      <c r="F65" s="45">
        <v>0.10635573523471198</v>
      </c>
      <c r="G65" s="45">
        <v>1.1827288774980476</v>
      </c>
    </row>
    <row r="66" spans="1:7" ht="30" hidden="1" customHeight="1" x14ac:dyDescent="0.45">
      <c r="A66" s="43" t="e">
        <v>#REF!</v>
      </c>
      <c r="B66" s="44" t="e">
        <v>#REF!</v>
      </c>
      <c r="C66" s="44"/>
      <c r="D66" s="45" t="e">
        <v>#REF!</v>
      </c>
      <c r="E66" s="45" t="e">
        <v>#REF!</v>
      </c>
      <c r="F66" s="45" t="e">
        <v>#REF!</v>
      </c>
      <c r="G66" s="45" t="e">
        <v>#REF!</v>
      </c>
    </row>
    <row r="67" spans="1:7" ht="18.5" hidden="1" x14ac:dyDescent="0.45">
      <c r="A67" s="46"/>
      <c r="B67" s="47"/>
      <c r="C67" s="47"/>
      <c r="D67" s="48"/>
      <c r="E67" s="48"/>
      <c r="F67" s="48"/>
      <c r="G67" s="48"/>
    </row>
    <row r="68" spans="1:7" ht="18.5" hidden="1" x14ac:dyDescent="0.35">
      <c r="A68" s="52" t="s">
        <v>11</v>
      </c>
      <c r="B68" s="53" t="e">
        <v>#REF!</v>
      </c>
      <c r="C68" s="53"/>
      <c r="D68" s="54"/>
      <c r="E68" s="54"/>
      <c r="F68" s="54"/>
      <c r="G68" s="54"/>
    </row>
    <row r="69" spans="1:7" ht="16" hidden="1" thickBot="1" x14ac:dyDescent="0.4">
      <c r="A69" s="31" t="s">
        <v>13</v>
      </c>
      <c r="B69" s="32"/>
      <c r="C69" s="32"/>
      <c r="D69" s="32"/>
      <c r="E69" s="37">
        <v>9.2795799999999991E-3</v>
      </c>
      <c r="F69" s="37"/>
      <c r="G69" s="37">
        <v>8.9924020000000007E-2</v>
      </c>
    </row>
    <row r="70" spans="1:7" ht="15" hidden="1" thickTop="1" x14ac:dyDescent="0.35"/>
    <row r="71" spans="1:7" ht="15" hidden="1" thickBot="1" x14ac:dyDescent="0.4">
      <c r="A71" s="100" t="s">
        <v>22</v>
      </c>
      <c r="B71" s="101"/>
      <c r="C71" s="101"/>
      <c r="D71" s="101"/>
      <c r="E71" s="101"/>
      <c r="F71" s="101"/>
      <c r="G71" s="101"/>
    </row>
    <row r="72" spans="1:7" ht="15" hidden="1" thickTop="1" x14ac:dyDescent="0.35"/>
    <row r="73" spans="1:7" ht="18.5" hidden="1" x14ac:dyDescent="0.45">
      <c r="A73" s="27" t="s">
        <v>3</v>
      </c>
      <c r="B73" s="26" t="s">
        <v>9</v>
      </c>
      <c r="C73" s="26"/>
      <c r="D73" s="104">
        <v>2018</v>
      </c>
      <c r="E73" s="105"/>
      <c r="F73" s="105"/>
      <c r="G73" s="106"/>
    </row>
    <row r="74" spans="1:7" ht="18.5" hidden="1" x14ac:dyDescent="0.45">
      <c r="A74" s="27"/>
      <c r="B74" s="26"/>
      <c r="C74" s="26"/>
      <c r="D74" s="104" t="s">
        <v>7</v>
      </c>
      <c r="E74" s="105"/>
      <c r="F74" s="109" t="s">
        <v>14</v>
      </c>
      <c r="G74" s="110"/>
    </row>
    <row r="75" spans="1:7" ht="18.5" hidden="1" x14ac:dyDescent="0.45">
      <c r="A75" s="24" t="s">
        <v>12</v>
      </c>
      <c r="B75" s="25" t="s">
        <v>8</v>
      </c>
      <c r="C75" s="25"/>
      <c r="D75" s="33" t="s">
        <v>4</v>
      </c>
      <c r="E75" s="34" t="s">
        <v>5</v>
      </c>
      <c r="F75" s="33" t="s">
        <v>4</v>
      </c>
      <c r="G75" s="35" t="s">
        <v>5</v>
      </c>
    </row>
    <row r="76" spans="1:7" ht="18.5" hidden="1" x14ac:dyDescent="0.45">
      <c r="A76" s="20"/>
      <c r="D76" s="21"/>
      <c r="E76" s="22"/>
      <c r="F76" s="22"/>
      <c r="G76" s="22"/>
    </row>
    <row r="77" spans="1:7" ht="18.5" hidden="1" x14ac:dyDescent="0.45">
      <c r="A77" s="43" t="s">
        <v>0</v>
      </c>
      <c r="B77" s="44">
        <v>17.83558</v>
      </c>
      <c r="C77" s="44"/>
      <c r="D77" s="45">
        <v>8.003136752445128E-3</v>
      </c>
      <c r="E77" s="45">
        <v>0.86244601075103922</v>
      </c>
      <c r="F77" s="45">
        <v>7.0273317522237422E-2</v>
      </c>
      <c r="G77" s="45">
        <v>0.78147437717127655</v>
      </c>
    </row>
    <row r="78" spans="1:7" ht="18.5" hidden="1" x14ac:dyDescent="0.45">
      <c r="A78" s="43" t="s">
        <v>17</v>
      </c>
      <c r="B78" s="44">
        <v>77.340240000000009</v>
      </c>
      <c r="C78" s="44"/>
      <c r="D78" s="45">
        <v>9.3087524073467431E-3</v>
      </c>
      <c r="E78" s="45">
        <v>1.0031437206583427</v>
      </c>
      <c r="F78" s="45">
        <v>9.8276002298926426E-2</v>
      </c>
      <c r="G78" s="45">
        <v>1.0928782131729256</v>
      </c>
    </row>
    <row r="79" spans="1:7" ht="18.5" hidden="1" x14ac:dyDescent="0.45">
      <c r="A79" s="43" t="s">
        <v>39</v>
      </c>
      <c r="B79" s="44">
        <v>18018.116389999999</v>
      </c>
      <c r="C79" s="44"/>
      <c r="D79" s="45">
        <v>9.329716199246274E-3</v>
      </c>
      <c r="E79" s="45">
        <v>1.0054028522030387</v>
      </c>
      <c r="F79" s="45">
        <v>9.0298272616520237E-2</v>
      </c>
      <c r="G79" s="45">
        <v>1.0041618759539468</v>
      </c>
    </row>
    <row r="80" spans="1:7" ht="18.5" hidden="1" x14ac:dyDescent="0.45">
      <c r="A80" s="43" t="s">
        <v>19</v>
      </c>
      <c r="B80" s="44">
        <v>39831.437479999993</v>
      </c>
      <c r="C80" s="44"/>
      <c r="D80" s="45">
        <v>9.4288772172763657E-3</v>
      </c>
      <c r="E80" s="45">
        <v>1.0160887903629654</v>
      </c>
      <c r="F80" s="45">
        <v>9.5196478421476272E-2</v>
      </c>
      <c r="G80" s="45">
        <v>1.0586323700995159</v>
      </c>
    </row>
    <row r="81" spans="1:15" ht="18.5" hidden="1" x14ac:dyDescent="0.45">
      <c r="A81" s="46"/>
      <c r="B81" s="47"/>
      <c r="C81" s="47"/>
      <c r="D81" s="48"/>
      <c r="E81" s="48"/>
      <c r="F81" s="48"/>
      <c r="G81" s="48"/>
    </row>
    <row r="82" spans="1:15" ht="18.5" hidden="1" x14ac:dyDescent="0.35">
      <c r="A82" s="29" t="s">
        <v>11</v>
      </c>
      <c r="B82" s="30">
        <v>57944.729689999993</v>
      </c>
      <c r="C82" s="30"/>
      <c r="D82" s="36"/>
      <c r="E82" s="36"/>
      <c r="F82" s="36"/>
      <c r="G82" s="36"/>
    </row>
    <row r="83" spans="1:15" ht="16" hidden="1" thickBot="1" x14ac:dyDescent="0.4">
      <c r="A83" s="31" t="s">
        <v>13</v>
      </c>
      <c r="B83" s="32"/>
      <c r="C83" s="32"/>
      <c r="D83" s="32"/>
      <c r="E83" s="37">
        <v>9.2795799999999991E-3</v>
      </c>
      <c r="F83" s="37"/>
      <c r="G83" s="37">
        <v>8.9924020000000007E-2</v>
      </c>
    </row>
    <row r="85" spans="1:15" ht="23.25" customHeight="1" thickBot="1" x14ac:dyDescent="0.4">
      <c r="A85" s="100" t="s">
        <v>55</v>
      </c>
      <c r="B85" s="101"/>
      <c r="C85" s="101"/>
      <c r="D85" s="101"/>
      <c r="E85" s="101"/>
      <c r="F85" s="101"/>
      <c r="G85" s="101"/>
    </row>
    <row r="86" spans="1:15" ht="8" customHeight="1" thickTop="1" x14ac:dyDescent="0.35"/>
    <row r="87" spans="1:15" ht="9.75" customHeight="1" x14ac:dyDescent="0.35"/>
    <row r="88" spans="1:15" ht="18.5" x14ac:dyDescent="0.45">
      <c r="A88" s="27" t="s">
        <v>29</v>
      </c>
      <c r="B88" s="26" t="s">
        <v>9</v>
      </c>
      <c r="C88" s="26"/>
      <c r="D88" s="104">
        <v>2024</v>
      </c>
      <c r="E88" s="105"/>
      <c r="F88" s="105"/>
      <c r="G88" s="106"/>
    </row>
    <row r="89" spans="1:15" ht="18.5" x14ac:dyDescent="0.45">
      <c r="A89" s="27"/>
      <c r="B89" s="26"/>
      <c r="C89" s="26"/>
      <c r="D89" s="104" t="s">
        <v>7</v>
      </c>
      <c r="E89" s="105"/>
      <c r="F89" s="109" t="s">
        <v>14</v>
      </c>
      <c r="G89" s="110"/>
      <c r="I89" s="60" t="s">
        <v>32</v>
      </c>
    </row>
    <row r="90" spans="1:15" ht="22.5" customHeight="1" thickBot="1" x14ac:dyDescent="0.5">
      <c r="A90" s="24" t="s">
        <v>12</v>
      </c>
      <c r="B90" s="25" t="s">
        <v>8</v>
      </c>
      <c r="C90" s="25" t="s">
        <v>47</v>
      </c>
      <c r="D90" s="33" t="s">
        <v>30</v>
      </c>
      <c r="E90" s="34" t="s">
        <v>5</v>
      </c>
      <c r="F90" s="33" t="s">
        <v>30</v>
      </c>
      <c r="G90" s="35" t="s">
        <v>5</v>
      </c>
      <c r="I90" s="100" t="s">
        <v>56</v>
      </c>
      <c r="J90" s="101"/>
      <c r="K90" s="101"/>
      <c r="L90" s="101"/>
      <c r="M90" s="101"/>
      <c r="N90" s="101"/>
      <c r="O90" s="101"/>
    </row>
    <row r="91" spans="1:15" ht="19" thickTop="1" x14ac:dyDescent="0.45">
      <c r="A91" s="20"/>
      <c r="D91" s="21"/>
      <c r="E91" s="22"/>
      <c r="F91" s="22"/>
      <c r="G91" s="22"/>
      <c r="I91" s="62" t="s">
        <v>29</v>
      </c>
      <c r="J91" s="63"/>
      <c r="K91" s="89"/>
      <c r="L91" s="66" t="s">
        <v>36</v>
      </c>
      <c r="M91" s="67"/>
      <c r="N91" s="64" t="s">
        <v>14</v>
      </c>
      <c r="O91" s="65"/>
    </row>
    <row r="92" spans="1:15" ht="18.5" x14ac:dyDescent="0.45">
      <c r="A92" s="43" t="s">
        <v>24</v>
      </c>
      <c r="B92" s="90">
        <v>68155.889880000002</v>
      </c>
      <c r="C92" s="90">
        <v>541.42830999999978</v>
      </c>
      <c r="D92" s="94">
        <v>8.7759579027844627E-3</v>
      </c>
      <c r="E92" s="94">
        <v>0.94572792117579274</v>
      </c>
      <c r="F92" s="94">
        <v>9.2739301360802495E-2</v>
      </c>
      <c r="G92" s="94">
        <v>1.0313073343562986</v>
      </c>
      <c r="I92" s="61" t="s">
        <v>34</v>
      </c>
      <c r="J92" s="25" t="s">
        <v>8</v>
      </c>
      <c r="K92" s="25" t="s">
        <v>47</v>
      </c>
      <c r="L92" s="33" t="s">
        <v>30</v>
      </c>
      <c r="M92" s="34" t="s">
        <v>5</v>
      </c>
      <c r="N92" s="33" t="s">
        <v>30</v>
      </c>
      <c r="O92" s="35" t="s">
        <v>5</v>
      </c>
    </row>
    <row r="93" spans="1:15" ht="18.5" x14ac:dyDescent="0.45">
      <c r="A93" s="43" t="s">
        <v>25</v>
      </c>
      <c r="B93" s="90">
        <v>107769.27652999999</v>
      </c>
      <c r="C93" s="90">
        <v>1003.69875</v>
      </c>
      <c r="D93" s="94">
        <v>9.678641206513669E-3</v>
      </c>
      <c r="E93" s="94">
        <v>1.0430042314968642</v>
      </c>
      <c r="F93" s="94">
        <v>9.5263911828712078E-2</v>
      </c>
      <c r="G93" s="94">
        <v>1.0593822632563812</v>
      </c>
      <c r="I93" s="70" t="s">
        <v>24</v>
      </c>
      <c r="J93" s="90">
        <v>50689.12401</v>
      </c>
      <c r="K93" s="90">
        <v>435.33488999999986</v>
      </c>
      <c r="L93" s="94">
        <v>8.6631592539055547E-3</v>
      </c>
      <c r="M93" s="94">
        <v>0.93357234421229796</v>
      </c>
      <c r="N93" s="94">
        <v>9.4390870307102179E-2</v>
      </c>
      <c r="O93" s="94">
        <v>1.0496736056406528</v>
      </c>
    </row>
    <row r="94" spans="1:15" ht="18.5" x14ac:dyDescent="0.45">
      <c r="A94" s="43" t="s">
        <v>26</v>
      </c>
      <c r="B94" s="90">
        <v>73653.319270000007</v>
      </c>
      <c r="C94" s="90">
        <v>560.71833000000379</v>
      </c>
      <c r="D94" s="94">
        <v>7.6725037341264686E-3</v>
      </c>
      <c r="E94" s="94">
        <v>0.82681584017018761</v>
      </c>
      <c r="F94" s="94">
        <v>8.3906805043736182E-2</v>
      </c>
      <c r="G94" s="94">
        <v>0.93308556538882703</v>
      </c>
      <c r="I94" s="70" t="s">
        <v>25</v>
      </c>
      <c r="J94" s="90">
        <v>89848.612739999997</v>
      </c>
      <c r="K94" s="90">
        <v>867.8558700000001</v>
      </c>
      <c r="L94" s="94">
        <v>9.7553069153719207E-3</v>
      </c>
      <c r="M94" s="94">
        <v>1.0512659964537103</v>
      </c>
      <c r="N94" s="94">
        <v>9.5625146057370145E-2</v>
      </c>
      <c r="O94" s="94">
        <v>1.0633993682374314</v>
      </c>
    </row>
    <row r="95" spans="1:15" ht="18.5" x14ac:dyDescent="0.45">
      <c r="A95" s="43" t="s">
        <v>27</v>
      </c>
      <c r="B95" s="90">
        <v>61126.862820000002</v>
      </c>
      <c r="C95" s="90">
        <v>403.12528000000117</v>
      </c>
      <c r="D95" s="94">
        <v>6.638677090531564E-3</v>
      </c>
      <c r="E95" s="94">
        <v>0.71540706481667971</v>
      </c>
      <c r="F95" s="94">
        <v>8.7133084013965689E-2</v>
      </c>
      <c r="G95" s="94">
        <v>0.96896339836637291</v>
      </c>
      <c r="I95" s="70" t="s">
        <v>26</v>
      </c>
      <c r="J95" s="90">
        <v>73653.319270000007</v>
      </c>
      <c r="K95" s="90">
        <v>560.71833000000379</v>
      </c>
      <c r="L95" s="94">
        <v>7.6725037341264686E-3</v>
      </c>
      <c r="M95" s="94">
        <v>0.82681584017018761</v>
      </c>
      <c r="N95" s="94">
        <v>8.3906805043736182E-2</v>
      </c>
      <c r="O95" s="94">
        <v>0.93308556538882703</v>
      </c>
    </row>
    <row r="96" spans="1:15" ht="18.5" x14ac:dyDescent="0.45">
      <c r="A96" s="43" t="s">
        <v>28</v>
      </c>
      <c r="B96" s="90">
        <v>77996.833859999999</v>
      </c>
      <c r="C96" s="90">
        <v>712.5558299999982</v>
      </c>
      <c r="D96" s="94">
        <v>9.2199324930524167E-3</v>
      </c>
      <c r="E96" s="94">
        <v>0.99357217600930392</v>
      </c>
      <c r="F96" s="94">
        <v>0.10635573523471198</v>
      </c>
      <c r="G96" s="94">
        <v>1.1827288774980476</v>
      </c>
      <c r="I96" s="70" t="s">
        <v>27</v>
      </c>
      <c r="J96" s="90">
        <v>61126.862820000002</v>
      </c>
      <c r="K96" s="90">
        <v>403.12528000000117</v>
      </c>
      <c r="L96" s="94">
        <v>6.638677090531564E-3</v>
      </c>
      <c r="M96" s="94">
        <v>0.71540706481667971</v>
      </c>
      <c r="N96" s="94">
        <v>8.7133084013965689E-2</v>
      </c>
      <c r="O96" s="94">
        <v>0.96896339836637291</v>
      </c>
    </row>
    <row r="97" spans="1:15" ht="18.5" x14ac:dyDescent="0.45">
      <c r="A97" s="43" t="s">
        <v>31</v>
      </c>
      <c r="B97" s="90">
        <v>39918.115189999997</v>
      </c>
      <c r="C97" s="90">
        <v>372.84493000000003</v>
      </c>
      <c r="D97" s="94">
        <v>9.4283064783651331E-3</v>
      </c>
      <c r="E97" s="94">
        <v>1.0160272855414936</v>
      </c>
      <c r="F97" s="94">
        <v>9.5193693336875787E-2</v>
      </c>
      <c r="G97" s="94">
        <v>1.058601398568211</v>
      </c>
      <c r="I97" s="70" t="s">
        <v>28</v>
      </c>
      <c r="J97" s="90">
        <v>77996.833859999999</v>
      </c>
      <c r="K97" s="90">
        <v>712.5558299999982</v>
      </c>
      <c r="L97" s="94">
        <v>9.2199324930524167E-3</v>
      </c>
      <c r="M97" s="94">
        <v>0.99357217600930392</v>
      </c>
      <c r="N97" s="94">
        <v>0.10635573523471198</v>
      </c>
      <c r="O97" s="94">
        <v>1.1827288774980476</v>
      </c>
    </row>
    <row r="98" spans="1:15" ht="18.5" x14ac:dyDescent="0.45">
      <c r="A98" s="46"/>
      <c r="B98" s="47"/>
      <c r="C98" s="47"/>
      <c r="D98" s="48"/>
      <c r="E98" s="48"/>
      <c r="F98" s="48"/>
      <c r="G98" s="48"/>
      <c r="I98" s="70" t="s">
        <v>31</v>
      </c>
      <c r="J98" s="90">
        <v>39831.437479999993</v>
      </c>
      <c r="K98" s="90">
        <v>372.05765000000002</v>
      </c>
      <c r="L98" s="94">
        <v>9.4288772172763657E-3</v>
      </c>
      <c r="M98" s="94">
        <v>1.0160887903629654</v>
      </c>
      <c r="N98" s="94">
        <v>9.5196478421476272E-2</v>
      </c>
      <c r="O98" s="94">
        <v>1.0586323700995159</v>
      </c>
    </row>
    <row r="99" spans="1:15" ht="18.5" x14ac:dyDescent="0.35">
      <c r="A99" s="52" t="s">
        <v>11</v>
      </c>
      <c r="B99" s="91">
        <v>428620.29755000002</v>
      </c>
      <c r="C99" s="91">
        <v>3594.3714300000029</v>
      </c>
      <c r="D99" s="54"/>
      <c r="E99" s="54"/>
      <c r="F99" s="54"/>
      <c r="G99" s="54"/>
      <c r="I99" s="68" t="s">
        <v>35</v>
      </c>
      <c r="J99" s="93">
        <v>393146.19018000003</v>
      </c>
      <c r="K99" s="93">
        <v>3351.6478500000035</v>
      </c>
      <c r="L99" s="69"/>
      <c r="M99" s="69"/>
      <c r="N99" s="69"/>
      <c r="O99" s="69"/>
    </row>
    <row r="100" spans="1:15" hidden="1" x14ac:dyDescent="0.35"/>
    <row r="101" spans="1:15" ht="15" hidden="1" thickBot="1" x14ac:dyDescent="0.4">
      <c r="A101" s="100" t="s">
        <v>23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</row>
    <row r="102" spans="1:15" ht="15" hidden="1" thickTop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</sheetData>
  <mergeCells count="26">
    <mergeCell ref="A101:O101"/>
    <mergeCell ref="D40:G40"/>
    <mergeCell ref="D41:E41"/>
    <mergeCell ref="F41:G41"/>
    <mergeCell ref="A37:G37"/>
    <mergeCell ref="D74:E74"/>
    <mergeCell ref="F74:G74"/>
    <mergeCell ref="A71:G71"/>
    <mergeCell ref="A51:G51"/>
    <mergeCell ref="D54:G54"/>
    <mergeCell ref="D55:E55"/>
    <mergeCell ref="A85:G85"/>
    <mergeCell ref="D89:E89"/>
    <mergeCell ref="F89:G89"/>
    <mergeCell ref="F55:G55"/>
    <mergeCell ref="D88:G88"/>
    <mergeCell ref="I90:O90"/>
    <mergeCell ref="A2:G2"/>
    <mergeCell ref="D73:G73"/>
    <mergeCell ref="A34:G34"/>
    <mergeCell ref="I2:O2"/>
    <mergeCell ref="D5:E5"/>
    <mergeCell ref="F5:G5"/>
    <mergeCell ref="D4:G4"/>
    <mergeCell ref="A35:G35"/>
    <mergeCell ref="I24:O24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9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I12" sqref="I12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7" width="2.7265625" style="1" customWidth="1"/>
    <col min="8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13" t="s">
        <v>57</v>
      </c>
      <c r="B3" s="114"/>
      <c r="C3" s="114"/>
      <c r="D3" s="114"/>
      <c r="E3" s="114"/>
      <c r="F3" s="114"/>
    </row>
    <row r="4" spans="1:11" ht="15" thickTop="1" x14ac:dyDescent="0.35">
      <c r="A4" s="71" t="s">
        <v>29</v>
      </c>
      <c r="B4" s="26"/>
      <c r="C4" s="104" t="s">
        <v>7</v>
      </c>
      <c r="D4" s="105"/>
      <c r="E4" s="109" t="s">
        <v>14</v>
      </c>
      <c r="F4" s="110"/>
    </row>
    <row r="5" spans="1:11" x14ac:dyDescent="0.35">
      <c r="A5" s="80" t="s">
        <v>12</v>
      </c>
      <c r="B5" s="74" t="s">
        <v>8</v>
      </c>
      <c r="C5" s="75" t="s">
        <v>30</v>
      </c>
      <c r="D5" s="76" t="s">
        <v>5</v>
      </c>
      <c r="E5" s="75" t="s">
        <v>30</v>
      </c>
      <c r="F5" s="23" t="s">
        <v>5</v>
      </c>
    </row>
    <row r="6" spans="1:11" x14ac:dyDescent="0.35">
      <c r="A6" t="s">
        <v>24</v>
      </c>
      <c r="B6" s="49">
        <v>68155.889880000002</v>
      </c>
      <c r="C6" s="96">
        <v>8.7759579027844627E-3</v>
      </c>
      <c r="D6" s="96">
        <v>0.94572792117579274</v>
      </c>
      <c r="E6" s="96">
        <v>9.2739301360802495E-2</v>
      </c>
      <c r="F6" s="96">
        <v>1.0313073343562986</v>
      </c>
      <c r="G6" s="98"/>
    </row>
    <row r="7" spans="1:11" x14ac:dyDescent="0.35">
      <c r="A7" t="s">
        <v>25</v>
      </c>
      <c r="B7" s="49">
        <v>107769.27652999999</v>
      </c>
      <c r="C7" s="96">
        <v>9.678641206513669E-3</v>
      </c>
      <c r="D7" s="96">
        <v>1.0430042314968642</v>
      </c>
      <c r="E7" s="96">
        <v>9.5263911828712078E-2</v>
      </c>
      <c r="F7" s="96">
        <v>1.0593822632563812</v>
      </c>
      <c r="G7" s="98"/>
      <c r="I7" s="51"/>
      <c r="J7" s="51"/>
      <c r="K7" s="49"/>
    </row>
    <row r="8" spans="1:11" x14ac:dyDescent="0.35">
      <c r="A8" t="s">
        <v>26</v>
      </c>
      <c r="B8" s="49">
        <v>73653.319270000007</v>
      </c>
      <c r="C8" s="96">
        <v>7.6725037341264686E-3</v>
      </c>
      <c r="D8" s="96">
        <v>0.82681584017018761</v>
      </c>
      <c r="E8" s="96">
        <v>8.3906805043736182E-2</v>
      </c>
      <c r="F8" s="96">
        <v>0.93308556538882703</v>
      </c>
      <c r="G8" s="98"/>
      <c r="I8" s="51"/>
      <c r="J8" s="51"/>
      <c r="K8" s="49"/>
    </row>
    <row r="9" spans="1:11" x14ac:dyDescent="0.35">
      <c r="A9" t="s">
        <v>27</v>
      </c>
      <c r="B9" s="49">
        <v>61126.862820000002</v>
      </c>
      <c r="C9" s="96">
        <v>6.638677090531564E-3</v>
      </c>
      <c r="D9" s="96">
        <v>0.71540706481667971</v>
      </c>
      <c r="E9" s="96">
        <v>8.7133084013965689E-2</v>
      </c>
      <c r="F9" s="96">
        <v>0.96896339836637291</v>
      </c>
      <c r="G9" s="98"/>
      <c r="I9" s="51"/>
      <c r="J9" s="51"/>
      <c r="K9" s="51"/>
    </row>
    <row r="10" spans="1:11" x14ac:dyDescent="0.35">
      <c r="A10" t="s">
        <v>28</v>
      </c>
      <c r="B10" s="49">
        <v>77996.833859999999</v>
      </c>
      <c r="C10" s="96">
        <v>9.2199324930524167E-3</v>
      </c>
      <c r="D10" s="96">
        <v>0.99357217600930392</v>
      </c>
      <c r="E10" s="96">
        <v>0.10635573523471198</v>
      </c>
      <c r="F10" s="96">
        <v>1.1827288774980476</v>
      </c>
      <c r="G10" s="98"/>
    </row>
    <row r="11" spans="1:11" x14ac:dyDescent="0.35">
      <c r="A11" t="s">
        <v>31</v>
      </c>
      <c r="B11" s="49">
        <v>39918.115189999997</v>
      </c>
      <c r="C11" s="96">
        <v>9.4283064783651331E-3</v>
      </c>
      <c r="D11" s="96">
        <v>1.0160272855414936</v>
      </c>
      <c r="E11" s="96">
        <v>9.5193693336875787E-2</v>
      </c>
      <c r="F11" s="96">
        <v>1.058601398568211</v>
      </c>
      <c r="G11" s="98"/>
      <c r="I11" s="49"/>
      <c r="J11" s="51"/>
    </row>
    <row r="12" spans="1:11" x14ac:dyDescent="0.35">
      <c r="A12" s="84" t="s">
        <v>11</v>
      </c>
      <c r="B12" s="85">
        <v>428620.29755000002</v>
      </c>
      <c r="C12" s="88">
        <v>8.6500476997609446E-3</v>
      </c>
      <c r="D12" s="88">
        <v>0.93215939727454755</v>
      </c>
      <c r="E12" s="88">
        <v>9.3763181304228643E-2</v>
      </c>
      <c r="F12" s="88">
        <v>1.0426933905337934</v>
      </c>
      <c r="G12" s="99"/>
      <c r="J12" s="51"/>
    </row>
    <row r="13" spans="1:11" x14ac:dyDescent="0.35">
      <c r="A13" s="82" t="s">
        <v>13</v>
      </c>
      <c r="B13" s="83"/>
      <c r="C13" s="83"/>
      <c r="D13" s="86">
        <v>9.2795799999999991E-3</v>
      </c>
      <c r="E13" s="87"/>
      <c r="F13" s="86">
        <v>8.9924020000000007E-2</v>
      </c>
      <c r="I13" s="51"/>
    </row>
    <row r="14" spans="1:11" x14ac:dyDescent="0.35">
      <c r="I14" s="51"/>
      <c r="J14" s="49"/>
    </row>
    <row r="15" spans="1:11" ht="15" thickBot="1" x14ac:dyDescent="0.4">
      <c r="A15" s="115" t="s">
        <v>56</v>
      </c>
      <c r="B15" s="116"/>
      <c r="C15" s="116"/>
      <c r="D15" s="116"/>
      <c r="E15" s="116"/>
      <c r="F15" s="116"/>
      <c r="I15" s="51"/>
    </row>
    <row r="16" spans="1:11" ht="15" thickTop="1" x14ac:dyDescent="0.35">
      <c r="A16" s="62" t="s">
        <v>29</v>
      </c>
      <c r="B16" s="63"/>
      <c r="C16" s="66" t="s">
        <v>36</v>
      </c>
      <c r="D16" s="67"/>
      <c r="E16" s="64" t="s">
        <v>14</v>
      </c>
      <c r="F16" s="65"/>
      <c r="I16" s="51"/>
    </row>
    <row r="17" spans="1:11" x14ac:dyDescent="0.35">
      <c r="A17" s="73" t="s">
        <v>34</v>
      </c>
      <c r="B17" s="74" t="s">
        <v>8</v>
      </c>
      <c r="C17" s="75" t="s">
        <v>30</v>
      </c>
      <c r="D17" s="76" t="s">
        <v>5</v>
      </c>
      <c r="E17" s="75" t="s">
        <v>30</v>
      </c>
      <c r="F17" s="23" t="s">
        <v>5</v>
      </c>
      <c r="I17" s="51"/>
    </row>
    <row r="18" spans="1:11" x14ac:dyDescent="0.35">
      <c r="A18" s="72" t="s">
        <v>24</v>
      </c>
      <c r="B18" s="49">
        <v>50689.12401</v>
      </c>
      <c r="C18" s="96">
        <v>8.6631592539055547E-3</v>
      </c>
      <c r="D18" s="96">
        <v>0.93357234421229796</v>
      </c>
      <c r="E18" s="96">
        <v>9.4390870307102179E-2</v>
      </c>
      <c r="F18" s="96">
        <v>1.0496736056406528</v>
      </c>
      <c r="G18" s="98"/>
      <c r="I18" s="51"/>
    </row>
    <row r="19" spans="1:11" x14ac:dyDescent="0.35">
      <c r="A19" s="72" t="s">
        <v>25</v>
      </c>
      <c r="B19" s="49">
        <v>89848.612739999997</v>
      </c>
      <c r="C19" s="96">
        <v>9.7553069153719207E-3</v>
      </c>
      <c r="D19" s="96">
        <v>1.0512659964537103</v>
      </c>
      <c r="E19" s="96">
        <v>9.5625146057370145E-2</v>
      </c>
      <c r="F19" s="96">
        <v>1.0633993682374314</v>
      </c>
      <c r="G19" s="98"/>
      <c r="I19" s="51"/>
    </row>
    <row r="20" spans="1:11" x14ac:dyDescent="0.35">
      <c r="A20" s="72" t="s">
        <v>26</v>
      </c>
      <c r="B20" s="49">
        <v>73653.319270000007</v>
      </c>
      <c r="C20" s="96">
        <v>7.6725037341264686E-3</v>
      </c>
      <c r="D20" s="96">
        <v>0.82681584017018761</v>
      </c>
      <c r="E20" s="96">
        <v>8.3906805043736182E-2</v>
      </c>
      <c r="F20" s="96">
        <v>0.93308556538882703</v>
      </c>
      <c r="G20" s="98"/>
      <c r="I20" s="51"/>
    </row>
    <row r="21" spans="1:11" x14ac:dyDescent="0.35">
      <c r="A21" s="72" t="s">
        <v>27</v>
      </c>
      <c r="B21" s="49">
        <v>61126.862820000002</v>
      </c>
      <c r="C21" s="96">
        <v>6.638677090531564E-3</v>
      </c>
      <c r="D21" s="96">
        <v>0.71540706481667971</v>
      </c>
      <c r="E21" s="96">
        <v>8.7133084013965689E-2</v>
      </c>
      <c r="F21" s="96">
        <v>0.96896339836637291</v>
      </c>
      <c r="G21" s="98"/>
      <c r="I21" s="51"/>
    </row>
    <row r="22" spans="1:11" x14ac:dyDescent="0.35">
      <c r="A22" s="72" t="s">
        <v>28</v>
      </c>
      <c r="B22" s="49">
        <v>77996.833859999999</v>
      </c>
      <c r="C22" s="96">
        <v>9.2199324930524167E-3</v>
      </c>
      <c r="D22" s="96">
        <v>0.99357217600930392</v>
      </c>
      <c r="E22" s="96">
        <v>0.10635573523471198</v>
      </c>
      <c r="F22" s="96">
        <v>1.1827288774980476</v>
      </c>
      <c r="G22" s="98"/>
      <c r="I22" s="51"/>
    </row>
    <row r="23" spans="1:11" x14ac:dyDescent="0.35">
      <c r="A23" s="72" t="s">
        <v>31</v>
      </c>
      <c r="B23" s="49">
        <v>39831.437479999993</v>
      </c>
      <c r="C23" s="96">
        <v>9.4288772172763657E-3</v>
      </c>
      <c r="D23" s="96">
        <v>1.0160887903629654</v>
      </c>
      <c r="E23" s="96">
        <v>9.5196478421476272E-2</v>
      </c>
      <c r="F23" s="96">
        <v>1.0586323700995159</v>
      </c>
      <c r="G23" s="98"/>
      <c r="I23" s="51"/>
    </row>
    <row r="24" spans="1:11" x14ac:dyDescent="0.35">
      <c r="A24" s="84" t="s">
        <v>35</v>
      </c>
      <c r="B24" s="85">
        <v>393146.19018000003</v>
      </c>
      <c r="C24" s="88">
        <v>8.6004315407133027E-3</v>
      </c>
      <c r="D24" s="88">
        <v>0.92681258642237074</v>
      </c>
      <c r="E24" s="88">
        <v>9.403572547386263E-2</v>
      </c>
      <c r="F24" s="88">
        <v>1.0457242177769925</v>
      </c>
      <c r="G24" s="99"/>
      <c r="I24" s="51"/>
      <c r="K24" s="49"/>
    </row>
    <row r="25" spans="1:11" x14ac:dyDescent="0.35">
      <c r="A25" s="82" t="s">
        <v>13</v>
      </c>
      <c r="B25" s="83"/>
      <c r="C25" s="83"/>
      <c r="D25" s="86">
        <v>9.2795799999999991E-3</v>
      </c>
      <c r="E25" s="87"/>
      <c r="F25" s="86">
        <v>8.9924020000000007E-2</v>
      </c>
      <c r="I25" s="49"/>
    </row>
    <row r="27" spans="1:11" ht="15" thickBot="1" x14ac:dyDescent="0.4">
      <c r="A27" s="117" t="s">
        <v>58</v>
      </c>
      <c r="B27" s="118"/>
      <c r="C27" s="118"/>
      <c r="D27" s="118"/>
      <c r="E27" s="118"/>
      <c r="F27" s="118"/>
      <c r="I27" s="49"/>
    </row>
    <row r="28" spans="1:11" ht="15" thickTop="1" x14ac:dyDescent="0.35">
      <c r="A28" s="62" t="s">
        <v>29</v>
      </c>
      <c r="B28" s="63"/>
      <c r="C28" s="66" t="s">
        <v>36</v>
      </c>
      <c r="D28" s="67"/>
      <c r="E28" s="64" t="s">
        <v>14</v>
      </c>
      <c r="F28" s="65"/>
    </row>
    <row r="29" spans="1:11" x14ac:dyDescent="0.35">
      <c r="A29" s="73" t="s">
        <v>34</v>
      </c>
      <c r="B29" s="74" t="s">
        <v>8</v>
      </c>
      <c r="C29" s="75" t="s">
        <v>30</v>
      </c>
      <c r="D29" s="76" t="s">
        <v>5</v>
      </c>
      <c r="E29" s="75" t="s">
        <v>30</v>
      </c>
      <c r="F29" s="23" t="s">
        <v>5</v>
      </c>
    </row>
    <row r="30" spans="1:11" x14ac:dyDescent="0.35">
      <c r="A30" s="77" t="s">
        <v>24</v>
      </c>
      <c r="B30" s="78">
        <v>17371.590050000003</v>
      </c>
      <c r="C30" s="97">
        <v>9.1035181286132083E-3</v>
      </c>
      <c r="D30" s="97">
        <v>0.98102695688955843</v>
      </c>
      <c r="E30" s="97">
        <v>8.7918550996768818E-2</v>
      </c>
      <c r="F30" s="97">
        <v>0.97769818338602765</v>
      </c>
      <c r="G30" s="98"/>
    </row>
    <row r="31" spans="1:11" x14ac:dyDescent="0.35">
      <c r="A31" s="77" t="s">
        <v>25</v>
      </c>
      <c r="B31" s="78">
        <v>17728.927540000001</v>
      </c>
      <c r="C31" s="97">
        <v>9.31246637367944E-3</v>
      </c>
      <c r="D31" s="97">
        <v>1.0035439506614998</v>
      </c>
      <c r="E31" s="97">
        <v>9.3670495698720657E-2</v>
      </c>
      <c r="F31" s="97">
        <v>1.0416626803241298</v>
      </c>
      <c r="G31" s="98"/>
      <c r="I31" s="51"/>
    </row>
    <row r="32" spans="1:11" x14ac:dyDescent="0.35">
      <c r="A32" s="84" t="s">
        <v>41</v>
      </c>
      <c r="B32" s="85">
        <v>35100.517590000003</v>
      </c>
      <c r="C32" s="88">
        <v>9.2090558400412803E-3</v>
      </c>
      <c r="D32" s="88">
        <v>0.99240006983519524</v>
      </c>
      <c r="E32" s="88">
        <v>9.0823801911474517E-2</v>
      </c>
      <c r="F32" s="88">
        <v>1.0100060241020643</v>
      </c>
      <c r="I32" s="51"/>
    </row>
    <row r="33" spans="1:10" x14ac:dyDescent="0.35">
      <c r="A33" s="82" t="s">
        <v>13</v>
      </c>
      <c r="B33" s="83"/>
      <c r="C33" s="83"/>
      <c r="D33" s="86">
        <v>9.2795799999999991E-3</v>
      </c>
      <c r="E33" s="87"/>
      <c r="F33" s="86">
        <v>8.9924020000000007E-2</v>
      </c>
      <c r="I33" s="51"/>
    </row>
    <row r="34" spans="1:10" x14ac:dyDescent="0.35">
      <c r="A34" s="77"/>
      <c r="B34" s="78"/>
      <c r="C34" s="79"/>
      <c r="D34" s="79"/>
      <c r="E34" s="79"/>
      <c r="F34" s="79"/>
    </row>
    <row r="35" spans="1:10" ht="15" thickBot="1" x14ac:dyDescent="0.4">
      <c r="A35" s="111" t="s">
        <v>59</v>
      </c>
      <c r="B35" s="112"/>
      <c r="C35" s="112"/>
      <c r="D35" s="112"/>
      <c r="E35" s="112"/>
      <c r="F35" s="112"/>
    </row>
    <row r="36" spans="1:10" ht="15" thickTop="1" x14ac:dyDescent="0.35">
      <c r="A36" s="62" t="s">
        <v>29</v>
      </c>
      <c r="B36" s="63"/>
      <c r="C36" s="66" t="s">
        <v>36</v>
      </c>
      <c r="D36" s="67"/>
      <c r="E36" s="64" t="s">
        <v>14</v>
      </c>
      <c r="F36" s="65"/>
      <c r="J36" s="81" t="s">
        <v>42</v>
      </c>
    </row>
    <row r="37" spans="1:10" x14ac:dyDescent="0.35">
      <c r="A37" s="73" t="s">
        <v>34</v>
      </c>
      <c r="B37" s="74" t="s">
        <v>8</v>
      </c>
      <c r="C37" s="75" t="s">
        <v>30</v>
      </c>
      <c r="D37" s="76" t="s">
        <v>5</v>
      </c>
      <c r="E37" s="75" t="s">
        <v>30</v>
      </c>
      <c r="F37" s="23" t="s">
        <v>5</v>
      </c>
    </row>
    <row r="38" spans="1:10" x14ac:dyDescent="0.35">
      <c r="A38" s="77" t="s">
        <v>0</v>
      </c>
      <c r="B38" s="49">
        <v>17.83558</v>
      </c>
      <c r="C38" s="97">
        <v>8.003136752445128E-3</v>
      </c>
      <c r="D38" s="97">
        <v>0.86244601075103922</v>
      </c>
      <c r="E38" s="97">
        <v>7.0273317522237422E-2</v>
      </c>
      <c r="F38" s="97">
        <v>0.78147437717127655</v>
      </c>
    </row>
    <row r="39" spans="1:10" x14ac:dyDescent="0.35">
      <c r="A39" s="77" t="s">
        <v>17</v>
      </c>
      <c r="B39" s="49">
        <v>77.340240000000009</v>
      </c>
      <c r="C39" s="97">
        <v>9.3087524073467431E-3</v>
      </c>
      <c r="D39" s="97">
        <v>1.0031437206583427</v>
      </c>
      <c r="E39" s="97">
        <v>9.8276002298926426E-2</v>
      </c>
      <c r="F39" s="97">
        <v>1.0928782131729256</v>
      </c>
    </row>
    <row r="40" spans="1:10" x14ac:dyDescent="0.35">
      <c r="A40" s="77" t="s">
        <v>2</v>
      </c>
      <c r="B40" s="49">
        <v>191.73625000000001</v>
      </c>
      <c r="C40" s="97">
        <v>7.6111109019783019E-3</v>
      </c>
      <c r="D40" s="97">
        <v>0.82019993383087408</v>
      </c>
      <c r="E40" s="97">
        <v>7.3323171830679934E-2</v>
      </c>
      <c r="F40" s="97">
        <v>0.81539027982378831</v>
      </c>
    </row>
    <row r="41" spans="1:10" x14ac:dyDescent="0.35">
      <c r="A41" s="77" t="s">
        <v>10</v>
      </c>
      <c r="B41" s="49">
        <v>86.677710000000005</v>
      </c>
      <c r="C41" s="97">
        <v>9.1660319990307659E-3</v>
      </c>
      <c r="D41" s="97">
        <v>0.98776367023408029</v>
      </c>
      <c r="E41" s="97">
        <v>9.3913849613030731E-2</v>
      </c>
      <c r="F41" s="97">
        <v>1.0443688973539076</v>
      </c>
    </row>
    <row r="42" spans="1:10" x14ac:dyDescent="0.35">
      <c r="A42" s="84" t="s">
        <v>44</v>
      </c>
      <c r="B42" s="85">
        <v>373.58978000000002</v>
      </c>
      <c r="C42" s="88">
        <v>8.3420329571812606E-3</v>
      </c>
      <c r="D42" s="88">
        <v>0.8989666512041774</v>
      </c>
      <c r="E42" s="88">
        <v>8.3120588596494488E-2</v>
      </c>
      <c r="F42" s="88">
        <v>0.92434244595042003</v>
      </c>
    </row>
    <row r="43" spans="1:10" x14ac:dyDescent="0.35">
      <c r="A43" s="82" t="s">
        <v>13</v>
      </c>
      <c r="B43" s="83"/>
      <c r="C43" s="83"/>
      <c r="D43" s="86">
        <v>9.2795799999999991E-3</v>
      </c>
      <c r="E43" s="87"/>
      <c r="F43" s="86">
        <v>8.9924020000000007E-2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Performance por Instituição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2024-11-08T11:54:31Z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